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1_Receita" sheetId="2" state="visible" r:id="rId4"/>
    <sheet name="2_Categorias" sheetId="3" state="visible" r:id="rId5"/>
    <sheet name="3_Canais" sheetId="4" state="visible" r:id="rId6"/>
    <sheet name="4_Geografia" sheetId="5" state="visible" r:id="rId7"/>
    <sheet name="5_Clientes" sheetId="6" state="visible" r:id="rId8"/>
    <sheet name="6_Desconto" sheetId="7" state="visible" r:id="rId9"/>
    <sheet name="Dados" sheetId="8" state="visible" r:id="rId10"/>
    <sheet name="aux_clientes" sheetId="9" state="visible" r:id="rId11"/>
    <sheet name="aux_pareto" sheetId="10" state="visible" r:id="rId12"/>
  </sheets>
  <definedNames>
    <definedName function="false" hidden="false" name="rfv_atencao" vbProcedure="false">5_Clientes!$C$73</definedName>
    <definedName function="false" hidden="false" name="rfv_campeoes" vbProcedure="false">5_Clientes!$C$71</definedName>
    <definedName function="false" hidden="false" name="rfv_leais" vbProcedure="false">5_Clientes!$C$72</definedName>
    <definedName function="false" hidden="false" name="rfv_ref" vbProcedure="false">5_Clientes!$C$70</definedName>
    <definedName function="false" hidden="false" name="v_canal" vbProcedure="false">Dados!$I$2:$I$1001</definedName>
    <definedName function="false" hidden="false" name="v_categoria" vbProcedure="false">Dados!$H$2:$H$1001</definedName>
    <definedName function="false" hidden="false" name="v_cliente" vbProcedure="false">Dados!$G$2:$G$1001</definedName>
    <definedName function="false" hidden="false" name="v_data" vbProcedure="false">Dados!$B$2:$B$1001</definedName>
    <definedName function="false" hidden="false" name="v_desc" vbProcedure="false">Dados!$M$2:$M$1001</definedName>
    <definedName function="false" hidden="false" name="v_desc_origem" vbProcedure="false">Dados!$P$2:$P$1001</definedName>
    <definedName function="false" hidden="false" name="v_dia_semana" vbProcedure="false">Dados!$F$2:$F$1001</definedName>
    <definedName function="false" hidden="false" name="v_id" vbProcedure="false">Dados!$A$2:$A$1001</definedName>
    <definedName function="false" hidden="false" name="v_mes" vbProcedure="false">Dados!$C$2:$C$1001</definedName>
    <definedName function="false" hidden="false" name="v_preco" vbProcedure="false">Dados!$L$2:$L$1001</definedName>
    <definedName function="false" hidden="false" name="v_preco_origem" vbProcedure="false">Dados!$O$2:$O$1001</definedName>
    <definedName function="false" hidden="false" name="v_qtd" vbProcedure="false">Dados!$K$2:$K$1001</definedName>
    <definedName function="false" hidden="false" name="v_uf" vbProcedure="false">Dados!$J$2:$J$1001</definedName>
    <definedName function="false" hidden="false" name="v_valor" vbProcedure="false">Dados!$N$2:$N$1001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<sst xmlns="http://schemas.openxmlformats.org/spreadsheetml/2006/main" count="8786" uniqueCount="577">
  <si>
    <t xml:space="preserve">Projeto Varejo — Esboço do dashboard em Excel</t>
  </si>
  <si>
    <t xml:space="preserve">As 20 perguntas de negócio, com tabelas de fórmulas, gráficos e espaço para as suas conclusões</t>
  </si>
  <si>
    <t xml:space="preserve">Base</t>
  </si>
  <si>
    <t xml:space="preserve">Aba Dados: cópia de data/processed/varejo_limpo, gerada pelo notebooks/03-diagnostico.ipynb (v1.1). 1.000 vendas de 2024, 17 colunas. Dataset fictício, para estudo.</t>
  </si>
  <si>
    <t xml:space="preserve">Como usar</t>
  </si>
  <si>
    <t xml:space="preserve">Cada aba numerada reúne um bloco de perguntas. Leia a tabela, olhe o gráfico e escreva a sua conclusão na área amarela. Atualize o Status no índice abaixo.</t>
  </si>
  <si>
    <t xml:space="preserve">Fórmulas</t>
  </si>
  <si>
    <t xml:space="preserve">Todos os números são fórmulas sobre a aba Dados, por nomes de intervalo (v_valor, v_mes, v_categoria…). Veja-os em Fórmulas → Gerenciador de Nomes. Se a base mudar, cole os novos dados na aba Dados mantendo as colunas e ajuste o tamanho dos nomes.</t>
  </si>
  <si>
    <t xml:space="preserve">Regras de filtro</t>
  </si>
  <si>
    <t xml:space="preserve">Pergunta 7 ignora as 260 vendas com preço imputado (preco_origem). Perguntas 18 a 20 ignoram as 69 vendas com desconto imputado (desconto_origem). 'Não informado' (canal) e 'NI' (UF) aparecem como linha própria e entram no faturamento.</t>
  </si>
  <si>
    <t xml:space="preserve">Próximo passo</t>
  </si>
  <si>
    <t xml:space="preserve">Este é um esboço. Para virar dashboard: recriar as tabelas como Tabelas Dinâmicas, ligar Segmentações de Dados (mês, canal, UF) e reunir os gráficos numa aba de painel.</t>
  </si>
  <si>
    <t xml:space="preserve">Legenda</t>
  </si>
  <si>
    <t xml:space="preserve">Área amarela</t>
  </si>
  <si>
    <t xml:space="preserve">Você preenche: conclusões, parâmetros e o Status do índice.</t>
  </si>
  <si>
    <t xml:space="preserve">Texto azul</t>
  </si>
  <si>
    <t xml:space="preserve">Parâmetro editável (limites RFV, faixas de desconto, massa mínima de UF).</t>
  </si>
  <si>
    <t xml:space="preserve">Azul-claro</t>
  </si>
  <si>
    <t xml:space="preserve">Indicador-chave calculado por fórmula. Não edite.</t>
  </si>
  <si>
    <t xml:space="preserve">Texto preto</t>
  </si>
  <si>
    <t xml:space="preserve">Fórmula. Não edite: altere os dados ou os parâmetros.</t>
  </si>
  <si>
    <t xml:space="preserve">Exemplo de conclusão</t>
  </si>
  <si>
    <t xml:space="preserve">"A receita mensal fica entre R$ X e R$ Y, sem tendência clara de alta ou queda; o pico de &lt;mês&gt; não se repete nos meses seguintes." — escreva no presente e cite os números.</t>
  </si>
  <si>
    <t xml:space="preserve">Índice das 20 perguntas</t>
  </si>
  <si>
    <t xml:space="preserve">Nº</t>
  </si>
  <si>
    <t xml:space="preserve">Bloco</t>
  </si>
  <si>
    <t xml:space="preserve">Pergunta</t>
  </si>
  <si>
    <t xml:space="preserve">Ir para</t>
  </si>
  <si>
    <t xml:space="preserve">Visual sugerido</t>
  </si>
  <si>
    <t xml:space="preserve">Status</t>
  </si>
  <si>
    <t xml:space="preserve">Receita e Tendência</t>
  </si>
  <si>
    <t xml:space="preserve">A receita está crescendo, caindo ou estável ao longo de 2024?</t>
  </si>
  <si>
    <t xml:space="preserve">1_Receita →</t>
  </si>
  <si>
    <t xml:space="preserve">Linha</t>
  </si>
  <si>
    <t xml:space="preserve">A fazer</t>
  </si>
  <si>
    <t xml:space="preserve">Quais meses concentram mais vendas, acima da média do ano?</t>
  </si>
  <si>
    <t xml:space="preserve">Barras + linha de média</t>
  </si>
  <si>
    <t xml:space="preserve">O cliente está gastando mais ou menos por compra?</t>
  </si>
  <si>
    <t xml:space="preserve">Quantas transações respondem por 80% da receita?</t>
  </si>
  <si>
    <t xml:space="preserve">Pareto (curva acumulada)</t>
  </si>
  <si>
    <t xml:space="preserve">Mix de Categorias</t>
  </si>
  <si>
    <t xml:space="preserve">Quais categorias sustentam o faturamento?</t>
  </si>
  <si>
    <t xml:space="preserve">2_Categorias →</t>
  </si>
  <si>
    <t xml:space="preserve">Barras horizontais</t>
  </si>
  <si>
    <t xml:space="preserve">Quais categorias vendem muito em unidades mas pouco em dinheiro?</t>
  </si>
  <si>
    <t xml:space="preserve">Dispersão (ou bolhas)</t>
  </si>
  <si>
    <t xml:space="preserve">Qual o posicionamento e a variação de preço de cada categoria?</t>
  </si>
  <si>
    <t xml:space="preserve">Caixa (boxplot)</t>
  </si>
  <si>
    <t xml:space="preserve">Alguma categoria está ganhando ou perdendo espaço ao longo do ano?</t>
  </si>
  <si>
    <t xml:space="preserve">Área empilhada 100%</t>
  </si>
  <si>
    <t xml:space="preserve">Canais de Venda</t>
  </si>
  <si>
    <t xml:space="preserve">Quanto cada canal representa?</t>
  </si>
  <si>
    <t xml:space="preserve">3_Canais →</t>
  </si>
  <si>
    <t xml:space="preserve">Rosca ou barras</t>
  </si>
  <si>
    <t xml:space="preserve">Em qual canal o cliente gasta mais por compra?</t>
  </si>
  <si>
    <t xml:space="preserve">O comportamento de compra muda conforme o canal?</t>
  </si>
  <si>
    <t xml:space="preserve">Mapa de calor</t>
  </si>
  <si>
    <t xml:space="preserve">Geografia</t>
  </si>
  <si>
    <t xml:space="preserve">Onde está concentrada a operação?</t>
  </si>
  <si>
    <t xml:space="preserve">4_Geografia →</t>
  </si>
  <si>
    <t xml:space="preserve">Mapa preenchido ou barras</t>
  </si>
  <si>
    <t xml:space="preserve">Qual a dependência das praças principais?</t>
  </si>
  <si>
    <t xml:space="preserve">Cartões de indicador</t>
  </si>
  <si>
    <t xml:space="preserve">O canal de compra varia geograficamente?</t>
  </si>
  <si>
    <t xml:space="preserve">Barras empilhadas 100%</t>
  </si>
  <si>
    <t xml:space="preserve">Clientes</t>
  </si>
  <si>
    <t xml:space="preserve">Qual a proporção de clientes recorrentes na base?</t>
  </si>
  <si>
    <t xml:space="preserve">5_Clientes →</t>
  </si>
  <si>
    <t xml:space="preserve">Histograma</t>
  </si>
  <si>
    <t xml:space="preserve">Quem são os clientes de maior valor?</t>
  </si>
  <si>
    <t xml:space="preserve">Como classificar a base em grupos acionáveis?</t>
  </si>
  <si>
    <t xml:space="preserve">Barras + dispersão</t>
  </si>
  <si>
    <t xml:space="preserve">Preço e Desconto</t>
  </si>
  <si>
    <t xml:space="preserve">Como os descontos estão sendo aplicados na prática?</t>
  </si>
  <si>
    <t xml:space="preserve">6_Desconto →</t>
  </si>
  <si>
    <t xml:space="preserve">Onde a empresa concede mais desconto?</t>
  </si>
  <si>
    <t xml:space="preserve">Desconto maior gera venda maior?</t>
  </si>
  <si>
    <t xml:space="preserve">Dispersão com tendência</t>
  </si>
  <si>
    <t xml:space="preserve">Gerado em 27/10/2026 · esboço v1.0</t>
  </si>
  <si>
    <t xml:space="preserve">Bloco 1 — Receita e Tendência</t>
  </si>
  <si>
    <t xml:space="preserve">Perguntas 1 a 4</t>
  </si>
  <si>
    <t xml:space="preserve">1. Evolução mensal da receita</t>
  </si>
  <si>
    <t xml:space="preserve">Pergunta: a receita está crescendo, caindo ou estável ao longo de 2024?</t>
  </si>
  <si>
    <t xml:space="preserve">Como ler: a coluna Receita soma valor_total por mês. Olhe a tendência da linha, não um mês isolado.</t>
  </si>
  <si>
    <t xml:space="preserve">mês</t>
  </si>
  <si>
    <t xml:space="preserve">nome</t>
  </si>
  <si>
    <t xml:space="preserve">Receita</t>
  </si>
  <si>
    <t xml:space="preserve">Vendas</t>
  </si>
  <si>
    <t xml:space="preserve">Ticket médio</t>
  </si>
  <si>
    <t xml:space="preserve">Desvio vs média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</si>
  <si>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</si>
  <si>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</si>
  <si>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</si>
  <si>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</si>
  <si>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</si>
  <si>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</si>
  <si>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</si>
  <si>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</si>
  <si>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</si>
  <si>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</si>
  <si>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</si>
  <si>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</si>
  <si>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</si>
  <si>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Média mensal</t>
  </si>
  <si>
    <t xml:space="preserve">Conferência</t>
  </si>
  <si>
    <t xml:space="preserve">Sua conclusão:</t>
  </si>
  <si>
    <t xml:space="preserve">Escreva aqui, com suas palavras, o que a tabela e o gráfico mostram.</t>
  </si>
  <si>
    <t xml:space="preserve">2. Sazonalidade por mês</t>
  </si>
  <si>
    <t xml:space="preserve">Pergunta: quais meses concentram mais vendas, acima da média do ano?</t>
  </si>
  <si>
    <t xml:space="preserve">Como ler: use a coluna 'Desvio vs média' da tabela da pergunta 1: positivo = mês acima da média. No gráfico, as barras acima da linha são os meses fortes.</t>
  </si>
  <si>
    <t xml:space="preserve">Média do ano</t>
  </si>
  <si>
    <t xml:space="preserve">Acima da média?</t>
  </si>
  <si>
    <t xml:space="preserve">Meses acima</t>
  </si>
  <si>
    <t xml:space="preserve">3. Ticket médio ao longo do tempo</t>
  </si>
  <si>
    <t xml:space="preserve">Pergunta: o cliente está gastando mais ou menos por compra?</t>
  </si>
  <si>
    <t xml:space="preserve">Como ler: ticket médio = receita do mês ÷ número de vendas do mês. Separa crescimento por mais vendas de crescimento por vendas maiores.</t>
  </si>
  <si>
    <t xml:space="preserve">4. Concentração de receita (Pareto)</t>
  </si>
  <si>
    <t xml:space="preserve">Pergunta: quantas transações respondem por 80% da receita?</t>
  </si>
  <si>
    <t xml:space="preserve">Como ler: as vendas são ordenadas da maior para a menor na aba aux_pareto. Quanto menor o percentual de vendas que forma 80% da receita, mais concentrada ela é.</t>
  </si>
  <si>
    <t xml:space="preserve">Indicador</t>
  </si>
  <si>
    <t xml:space="preserve">Valor</t>
  </si>
  <si>
    <t xml:space="preserve">Vendas p/ 80% da receita</t>
  </si>
  <si>
    <t xml:space="preserve">% do total de vendas</t>
  </si>
  <si>
    <t xml:space="preserve">Maior venda</t>
  </si>
  <si>
    <t xml:space="preserve">% receita: 10% maiores</t>
  </si>
  <si>
    <t xml:space="preserve">Dica para o dashboard final: no Excel 2016+, Inserir → Gráficos Estatísticos → Pareto, selecionando a coluna valor_total da aba Dados.</t>
  </si>
  <si>
    <t xml:space="preserve">Bloco 2 — Mix de Categorias</t>
  </si>
  <si>
    <t xml:space="preserve">Perguntas 5 a 8</t>
  </si>
  <si>
    <t xml:space="preserve">5. Ranking de categorias por receita</t>
  </si>
  <si>
    <t xml:space="preserve">Pergunta: quais categorias sustentam o faturamento?</t>
  </si>
  <si>
    <t xml:space="preserve">Como ler: receita e participação de cada categoria. A coluna Posição ordena da maior para a menor.</t>
  </si>
  <si>
    <t xml:space="preserve">Categoria</t>
  </si>
  <si>
    <t xml:space="preserve">% da receita</t>
  </si>
  <si>
    <t xml:space="preserve">Posição</t>
  </si>
  <si>
    <t xml:space="preserve">Mercearia</t>
  </si>
  <si>
    <t xml:space="preserve">Bebidas</t>
  </si>
  <si>
    <t xml:space="preserve">Limpeza</t>
  </si>
  <si>
    <t xml:space="preserve">Frios</t>
  </si>
  <si>
    <t xml:space="preserve">Higiene</t>
  </si>
  <si>
    <t xml:space="preserve">Padaria</t>
  </si>
  <si>
    <t xml:space="preserve">Hortifruti</t>
  </si>
  <si>
    <t xml:space="preserve">6. Receita versus volume por categoria</t>
  </si>
  <si>
    <t xml:space="preserve">Pergunta: quais categorias vendem muito em unidades mas pouco em dinheiro — e vice-versa?</t>
  </si>
  <si>
    <t xml:space="preserve">Como ler: compare a participação em unidades com a participação em receita. Categoria com mais % de unidades que de receita atrai movimento; o contrário sustenta o caixa.</t>
  </si>
  <si>
    <t xml:space="preserve">Unidades</t>
  </si>
  <si>
    <t xml:space="preserve">% unidades</t>
  </si>
  <si>
    <t xml:space="preserve">% receita</t>
  </si>
  <si>
    <t xml:space="preserve">Receita/unidade</t>
  </si>
  <si>
    <t xml:space="preserve">Perfil</t>
  </si>
  <si>
    <t xml:space="preserve">Dica: para rotular cada ponto com o nome da categoria, clique na série → Adicionar Rótulos de Dados → Valor das Células (A da tabela).</t>
  </si>
  <si>
    <t xml:space="preserve">7. Dispersão de preço unitário por categoria</t>
  </si>
  <si>
    <t xml:space="preserve">Pergunta: qual o posicionamento e a variação de preço de cada categoria?</t>
  </si>
  <si>
    <t xml:space="preserve">Como ler: cinco números por categoria: mínimo, 1º quartil, mediana, 3º quartil e máximo. Usa só preços observados: as 260 vendas com preço imputado ficam de fora.</t>
  </si>
  <si>
    <t xml:space="preserve">Preços usados</t>
  </si>
  <si>
    <t xml:space="preserve">Mínimo</t>
  </si>
  <si>
    <t xml:space="preserve">1º quartil</t>
  </si>
  <si>
    <t xml:space="preserve">Mediana</t>
  </si>
  <si>
    <t xml:space="preserve">3º quartil</t>
  </si>
  <si>
    <t xml:space="preserve">Máximo</t>
  </si>
  <si>
    <t xml:space="preserve">Média</t>
  </si>
  <si>
    <t xml:space="preserve">Dica para o dashboard final: o gráfico de Caixa e Caixa Estreita (Excel 2016+) precisa dos preços brutos. Filtre a aba Dados por preco_origem diferente de imputado_mediana_categoria e insira o gráfico sobre preco_unit e categoria.</t>
  </si>
  <si>
    <t xml:space="preserve">8. Evolução da participação das categorias</t>
  </si>
  <si>
    <t xml:space="preserve">Pergunta: alguma categoria está ganhando ou perdendo espaço ao longo do ano?</t>
  </si>
  <si>
    <t xml:space="preserve">Como ler: cada linha é um mês e cada coluna é a participação da categoria na receita daquele mês. No gráfico de área 100%, uma faixa que engorda está ganhando espaço.</t>
  </si>
  <si>
    <t xml:space="preserve">Bloco 3 — Canais de Venda</t>
  </si>
  <si>
    <t xml:space="preserve">Perguntas 9 a 11 · 'Não informado' reúne as vendas sem canal registrado</t>
  </si>
  <si>
    <t xml:space="preserve">9. Participação de receita por canal</t>
  </si>
  <si>
    <t xml:space="preserve">Pergunta: quanto cada canal (Loja, Site, App, Televendas) representa?</t>
  </si>
  <si>
    <t xml:space="preserve">Como ler: '% com canal' ignora as vendas sem canal; '% do total' as inclui. Os dois números contam histórias diferentes — cite qual está usando.</t>
  </si>
  <si>
    <t xml:space="preserve">Canal</t>
  </si>
  <si>
    <t xml:space="preserve">% do total</t>
  </si>
  <si>
    <t xml:space="preserve">% com canal</t>
  </si>
  <si>
    <t xml:space="preserve">Loja</t>
  </si>
  <si>
    <t xml:space="preserve">Site</t>
  </si>
  <si>
    <t xml:space="preserve">App</t>
  </si>
  <si>
    <t xml:space="preserve">Televendas</t>
  </si>
  <si>
    <t xml:space="preserve">Não informado</t>
  </si>
  <si>
    <t xml:space="preserve">10. Ticket médio por canal</t>
  </si>
  <si>
    <t xml:space="preserve">Pergunta: em qual canal o cliente gasta mais por compra?</t>
  </si>
  <si>
    <t xml:space="preserve">Como ler: receita do canal ÷ número de vendas do canal.</t>
  </si>
  <si>
    <t xml:space="preserve">vs ticket geral</t>
  </si>
  <si>
    <t xml:space="preserve">11. Mix de categorias dentro de cada canal</t>
  </si>
  <si>
    <t xml:space="preserve">Pergunta: o comportamento de compra muda conforme o canal?</t>
  </si>
  <si>
    <t xml:space="preserve">Como ler: participação de cada categoria na receita do canal (cada linha soma 100%). Cores mais fortes = categoria mais relevante naquele canal.</t>
  </si>
  <si>
    <t xml:space="preserve">Bloco 4 — Geografia</t>
  </si>
  <si>
    <t xml:space="preserve">Perguntas 12 a 14 · 'NI' reúne as vendas sem UF registrada</t>
  </si>
  <si>
    <t xml:space="preserve">12. Receita por unidade federativa</t>
  </si>
  <si>
    <t xml:space="preserve">Pergunta: onde está concentrada a operação?</t>
  </si>
  <si>
    <t xml:space="preserve">Como ler: UFs ordenadas pela receita; 'NI' fica sempre por último. Atenção às UFs com poucas vendas: a média delas oscila muito.</t>
  </si>
  <si>
    <t xml:space="preserve">UF</t>
  </si>
  <si>
    <t xml:space="preserve">Massa ≥ 15?</t>
  </si>
  <si>
    <t xml:space="preserve">SP</t>
  </si>
  <si>
    <t xml:space="preserve">MG</t>
  </si>
  <si>
    <t xml:space="preserve">BA</t>
  </si>
  <si>
    <t xml:space="preserve">RJ</t>
  </si>
  <si>
    <t xml:space="preserve">CE</t>
  </si>
  <si>
    <t xml:space="preserve">RS</t>
  </si>
  <si>
    <t xml:space="preserve">PE</t>
  </si>
  <si>
    <t xml:space="preserve">ES</t>
  </si>
  <si>
    <t xml:space="preserve">PR</t>
  </si>
  <si>
    <t xml:space="preserve">GO</t>
  </si>
  <si>
    <t xml:space="preserve">MA</t>
  </si>
  <si>
    <t xml:space="preserve">PA</t>
  </si>
  <si>
    <t xml:space="preserve">AM</t>
  </si>
  <si>
    <t xml:space="preserve">SC</t>
  </si>
  <si>
    <t xml:space="preserve">PB</t>
  </si>
  <si>
    <t xml:space="preserve">NI</t>
  </si>
  <si>
    <t xml:space="preserve">—</t>
  </si>
  <si>
    <t xml:space="preserve">Mínimo de vendas para considerar a UF:</t>
  </si>
  <si>
    <t xml:space="preserve">Dica para o dashboard final: selecione UF e Receita e use Inserir → Mapas → Mapa Preenchido. O 'NI' deve ficar fora do mapa.</t>
  </si>
  <si>
    <t xml:space="preserve">13. Grau de concentração geográfica</t>
  </si>
  <si>
    <t xml:space="preserve">Pergunta: qual a dependência das praças principais?</t>
  </si>
  <si>
    <t xml:space="preserve">Como ler: quanto da receita vem das 3 e das 5 maiores UFs. Dois denominadores: o faturamento total e só a receita com UF informada.</t>
  </si>
  <si>
    <t xml:space="preserve">% com UF</t>
  </si>
  <si>
    <t xml:space="preserve">Top 3 UFs</t>
  </si>
  <si>
    <t xml:space="preserve">Top 5 UFs</t>
  </si>
  <si>
    <t xml:space="preserve">14. Canal preferencial por região</t>
  </si>
  <si>
    <t xml:space="preserve">Pergunta: o canal de compra varia geograficamente?</t>
  </si>
  <si>
    <t xml:space="preserve">Como ler: participação de cada canal no número de vendas da UF (cada linha soma 100%). Compare só UFs com 'Massa ≥ 15?' = sim.</t>
  </si>
  <si>
    <t xml:space="preserve">Bloco 5 — Clientes</t>
  </si>
  <si>
    <t xml:space="preserve">Perguntas 15 a 17 · cálculos por cliente na aba aux_clientes (245 clientes)</t>
  </si>
  <si>
    <t xml:space="preserve">15. Recorrência de compra</t>
  </si>
  <si>
    <t xml:space="preserve">Pergunta: qual a proporção de clientes recorrentes na base?</t>
  </si>
  <si>
    <t xml:space="preserve">Como ler: quantos clientes compraram 1 vez, 2 vezes, e assim por diante. Recorrente = 2 compras ou mais.</t>
  </si>
  <si>
    <t xml:space="preserve">Compras</t>
  </si>
  <si>
    <t xml:space="preserve">% dos clientes</t>
  </si>
  <si>
    <t xml:space="preserve">Recorrentes (2+ compras)</t>
  </si>
  <si>
    <t xml:space="preserve">% recorrentes</t>
  </si>
  <si>
    <t xml:space="preserve">Compras por cliente (média)</t>
  </si>
  <si>
    <t xml:space="preserve">16. Top clientes por receita</t>
  </si>
  <si>
    <t xml:space="preserve">Pergunta: quem são os clientes de maior valor?</t>
  </si>
  <si>
    <t xml:space="preserve">Como ler: os 20 clientes com maior receita no ano. A coluna '% acumulado' mostra quanto eles somam juntos.</t>
  </si>
  <si>
    <t xml:space="preserve">Cliente</t>
  </si>
  <si>
    <t xml:space="preserve">% acumulado</t>
  </si>
  <si>
    <t xml:space="preserve">17. Segmentação RFV (Recência, Frequência, Valor)</t>
  </si>
  <si>
    <t xml:space="preserve">Pergunta: como classificar a base em grupos acionáveis?</t>
  </si>
  <si>
    <t xml:space="preserve">Como ler: cada cliente recebe nota de 1 a 4 em Recência, Frequência e Valor, por quartis (aba aux_clientes). A soma (3 a 12) define o segmento pelos limites em azul, que você pode mudar.</t>
  </si>
  <si>
    <t xml:space="preserve">Parâmetro</t>
  </si>
  <si>
    <t xml:space="preserve">Data de referência (dia após a última venda)</t>
  </si>
  <si>
    <t xml:space="preserve">RFV mínimo para 'Campeões'</t>
  </si>
  <si>
    <t xml:space="preserve">← parâmetros editáveis (azul)</t>
  </si>
  <si>
    <t xml:space="preserve">RFV mínimo para 'Leais'</t>
  </si>
  <si>
    <t xml:space="preserve">RFV mínimo para 'Atenção'</t>
  </si>
  <si>
    <t xml:space="preserve">Segmento</t>
  </si>
  <si>
    <t xml:space="preserve">Compras médias</t>
  </si>
  <si>
    <t xml:space="preserve">Campeões</t>
  </si>
  <si>
    <t xml:space="preserve">Leais</t>
  </si>
  <si>
    <t xml:space="preserve">Atenção</t>
  </si>
  <si>
    <t xml:space="preserve">Em risco</t>
  </si>
  <si>
    <t xml:space="preserve">Leitura: Campeões compraram recentemente, com frequência e alto valor. Em risco são os que pararam de comprar ou compram pouco. Ajuste os limites e veja os grupos mudarem.</t>
  </si>
  <si>
    <t xml:space="preserve">Bloco 6 — Preço e Desconto</t>
  </si>
  <si>
    <t xml:space="preserve">Perguntas 18 a 20 · exclui as 69 vendas com desconto imputado pela mediana</t>
  </si>
  <si>
    <t xml:space="preserve">18. Distribuição da política de desconto</t>
  </si>
  <si>
    <t xml:space="preserve">Pergunta: como os descontos estão sendo aplicados na prática?</t>
  </si>
  <si>
    <t xml:space="preserve">Como ler: quantas vendas caem em cada faixa de desconto. Só descontos observados ou recalculados da própria venda.</t>
  </si>
  <si>
    <t xml:space="preserve">Faixa</t>
  </si>
  <si>
    <t xml:space="preserve">de (&gt;)</t>
  </si>
  <si>
    <t xml:space="preserve">até (≤)</t>
  </si>
  <si>
    <t xml:space="preserve">% das vendas</t>
  </si>
  <si>
    <t xml:space="preserve">Sem desconto</t>
  </si>
  <si>
    <t xml:space="preserve">até 1%</t>
  </si>
  <si>
    <t xml:space="preserve">1% a 2%</t>
  </si>
  <si>
    <t xml:space="preserve">2% a 3%</t>
  </si>
  <si>
    <t xml:space="preserve">3% a 5%</t>
  </si>
  <si>
    <t xml:space="preserve">5% a 10%</t>
  </si>
  <si>
    <t xml:space="preserve">10% a 20%</t>
  </si>
  <si>
    <t xml:space="preserve">Conferência: vendas consideradas</t>
  </si>
  <si>
    <t xml:space="preserve">Desconto médio</t>
  </si>
  <si>
    <t xml:space="preserve">valores em pontos percentuais</t>
  </si>
  <si>
    <t xml:space="preserve">Desconto mediano</t>
  </si>
  <si>
    <t xml:space="preserve">Maior desconto</t>
  </si>
  <si>
    <t xml:space="preserve">As faixas (azul) são editáveis. A coluna 'até' de uma faixa deve ser igual à coluna 'de' da seguinte, para nenhuma venda ficar de fora — confira pela linha 'Conferência'.</t>
  </si>
  <si>
    <t xml:space="preserve">19. Desconto médio por categoria e canal</t>
  </si>
  <si>
    <t xml:space="preserve">Pergunta: onde a empresa concede mais desconto?</t>
  </si>
  <si>
    <t xml:space="preserve">Como ler: desconto médio em pontos percentuais para cada combinação. Células vazias = sem vendas na combinação. Cores mais fortes = mais desconto.</t>
  </si>
  <si>
    <t xml:space="preserve">20. Relação entre desconto e valor da venda</t>
  </si>
  <si>
    <t xml:space="preserve">Pergunta: desconto maior gera venda maior?</t>
  </si>
  <si>
    <t xml:space="preserve">Como ler: a correlação vai de −1 a +1. Perto de zero = não há relação linear. É calculada pela fórmula de Pearson, passo a passo, só com descontos observados ou recalculados.</t>
  </si>
  <si>
    <t xml:space="preserve">Componente</t>
  </si>
  <si>
    <t xml:space="preserve">n (vendas consideradas)</t>
  </si>
  <si>
    <t xml:space="preserve">Σx (desconto)</t>
  </si>
  <si>
    <t xml:space="preserve">Σy (valor)</t>
  </si>
  <si>
    <t xml:space="preserve">Σxy</t>
  </si>
  <si>
    <t xml:space="preserve">Σx²</t>
  </si>
  <si>
    <t xml:space="preserve">Σy²</t>
  </si>
  <si>
    <t xml:space="preserve">Correlação (descontos válidos)</t>
  </si>
  <si>
    <t xml:space="preserve">Correlação (todas as vendas)</t>
  </si>
  <si>
    <t xml:space="preserve">R² (força da relação linear)</t>
  </si>
  <si>
    <t xml:space="preserve">Cuidado ao interpretar: correlação não prova causa. Uma relação positiva pode significar que vendas maiores recebem mais desconto (política por volume), e não que o desconto gera a venda. O gráfico mostra todas as vendas; as 69 com desconto imputado ficam empilhadas em 1,90%.</t>
  </si>
  <si>
    <t xml:space="preserve">id_venda</t>
  </si>
  <si>
    <t xml:space="preserve">data</t>
  </si>
  <si>
    <t xml:space="preserve">mes</t>
  </si>
  <si>
    <t xml:space="preserve">ano</t>
  </si>
  <si>
    <t xml:space="preserve">dia</t>
  </si>
  <si>
    <t xml:space="preserve">dia_semana</t>
  </si>
  <si>
    <t xml:space="preserve">cliente</t>
  </si>
  <si>
    <t xml:space="preserve">categoria</t>
  </si>
  <si>
    <t xml:space="preserve">canal</t>
  </si>
  <si>
    <t xml:space="preserve">uf</t>
  </si>
  <si>
    <t xml:space="preserve">quantidade</t>
  </si>
  <si>
    <t xml:space="preserve">preco_unit</t>
  </si>
  <si>
    <t xml:space="preserve">desconto_pct</t>
  </si>
  <si>
    <t xml:space="preserve">valor_total</t>
  </si>
  <si>
    <t xml:space="preserve">preco_origem</t>
  </si>
  <si>
    <t xml:space="preserve">desconto_origem</t>
  </si>
  <si>
    <t xml:space="preserve">valor_origem</t>
  </si>
  <si>
    <t xml:space="preserve">Quinta-feira</t>
  </si>
  <si>
    <t xml:space="preserve">CLI-0069</t>
  </si>
  <si>
    <t xml:space="preserve">imputado_mediana_categoria</t>
  </si>
  <si>
    <t xml:space="preserve">original</t>
  </si>
  <si>
    <t xml:space="preserve">Terça-feira</t>
  </si>
  <si>
    <t xml:space="preserve">CLI-0050</t>
  </si>
  <si>
    <t xml:space="preserve">Domingo</t>
  </si>
  <si>
    <t xml:space="preserve">CLI-0149</t>
  </si>
  <si>
    <t xml:space="preserve">corrigido_decimal</t>
  </si>
  <si>
    <t xml:space="preserve">CLI-0044</t>
  </si>
  <si>
    <t xml:space="preserve">CLI-0140</t>
  </si>
  <si>
    <t xml:space="preserve">reconstruido</t>
  </si>
  <si>
    <t xml:space="preserve">Sábado</t>
  </si>
  <si>
    <t xml:space="preserve">CLI-0127</t>
  </si>
  <si>
    <t xml:space="preserve">CLI-0232</t>
  </si>
  <si>
    <t xml:space="preserve">Quarta-feira</t>
  </si>
  <si>
    <t xml:space="preserve">CLI-0091</t>
  </si>
  <si>
    <t xml:space="preserve">CLI-0177</t>
  </si>
  <si>
    <t xml:space="preserve">CLI-0109</t>
  </si>
  <si>
    <t xml:space="preserve">Sexta-feira</t>
  </si>
  <si>
    <t xml:space="preserve">CLI-0211</t>
  </si>
  <si>
    <t xml:space="preserve">CLI-0175</t>
  </si>
  <si>
    <t xml:space="preserve">Segunda-feira</t>
  </si>
  <si>
    <t xml:space="preserve">CLI-0244</t>
  </si>
  <si>
    <t xml:space="preserve">CLI-0084</t>
  </si>
  <si>
    <t xml:space="preserve">CLI-0216</t>
  </si>
  <si>
    <t xml:space="preserve">CLI-0151</t>
  </si>
  <si>
    <t xml:space="preserve">CLI-0085</t>
  </si>
  <si>
    <t xml:space="preserve">CLI-0141</t>
  </si>
  <si>
    <t xml:space="preserve">CLI-0224</t>
  </si>
  <si>
    <t xml:space="preserve">CLI-0075</t>
  </si>
  <si>
    <t xml:space="preserve">CLI-0079</t>
  </si>
  <si>
    <t xml:space="preserve">CLI-0203</t>
  </si>
  <si>
    <t xml:space="preserve">CLI-0037</t>
  </si>
  <si>
    <t xml:space="preserve">CLI-0215</t>
  </si>
  <si>
    <t xml:space="preserve">CLI-0191</t>
  </si>
  <si>
    <t xml:space="preserve">CLI-0112</t>
  </si>
  <si>
    <t xml:space="preserve">CLI-0038</t>
  </si>
  <si>
    <t xml:space="preserve">CLI-0117</t>
  </si>
  <si>
    <t xml:space="preserve">CLI-0143</t>
  </si>
  <si>
    <t xml:space="preserve">CLI-0118</t>
  </si>
  <si>
    <t xml:space="preserve">CLI-0133</t>
  </si>
  <si>
    <t xml:space="preserve">CLI-0018</t>
  </si>
  <si>
    <t xml:space="preserve">CLI-0058</t>
  </si>
  <si>
    <t xml:space="preserve">CLI-0138</t>
  </si>
  <si>
    <t xml:space="preserve">CLI-0169</t>
  </si>
  <si>
    <t xml:space="preserve">CLI-0209</t>
  </si>
  <si>
    <t xml:space="preserve">CLI-0234</t>
  </si>
  <si>
    <t xml:space="preserve">CLI-0172</t>
  </si>
  <si>
    <t xml:space="preserve">CLI-0167</t>
  </si>
  <si>
    <t xml:space="preserve">CLI-0134</t>
  </si>
  <si>
    <t xml:space="preserve">CLI-0122</t>
  </si>
  <si>
    <t xml:space="preserve">CLI-0226</t>
  </si>
  <si>
    <t xml:space="preserve">CLI-0111</t>
  </si>
  <si>
    <t xml:space="preserve">CLI-0094</t>
  </si>
  <si>
    <t xml:space="preserve">CLI-0068</t>
  </si>
  <si>
    <t xml:space="preserve">CLI-0060</t>
  </si>
  <si>
    <t xml:space="preserve">CLI-0028</t>
  </si>
  <si>
    <t xml:space="preserve">CLI-0061</t>
  </si>
  <si>
    <t xml:space="preserve">CLI-0184</t>
  </si>
  <si>
    <t xml:space="preserve">CLI-0194</t>
  </si>
  <si>
    <t xml:space="preserve">CLI-0139</t>
  </si>
  <si>
    <t xml:space="preserve">CLI-0071</t>
  </si>
  <si>
    <t xml:space="preserve">imputado_mediana</t>
  </si>
  <si>
    <t xml:space="preserve">CLI-0046</t>
  </si>
  <si>
    <t xml:space="preserve">CLI-0053</t>
  </si>
  <si>
    <t xml:space="preserve">CLI-0208</t>
  </si>
  <si>
    <t xml:space="preserve">CLI-0125</t>
  </si>
  <si>
    <t xml:space="preserve">CLI-0001</t>
  </si>
  <si>
    <t xml:space="preserve">CLI-0031</t>
  </si>
  <si>
    <t xml:space="preserve">CLI-0016</t>
  </si>
  <si>
    <t xml:space="preserve">CLI-0247</t>
  </si>
  <si>
    <t xml:space="preserve">CLI-0249</t>
  </si>
  <si>
    <t xml:space="preserve">CLI-0114</t>
  </si>
  <si>
    <t xml:space="preserve">CLI-0035</t>
  </si>
  <si>
    <t xml:space="preserve">CLI-0185</t>
  </si>
  <si>
    <t xml:space="preserve">CLI-0096</t>
  </si>
  <si>
    <t xml:space="preserve">CLI-0148</t>
  </si>
  <si>
    <t xml:space="preserve">CLI-0158</t>
  </si>
  <si>
    <t xml:space="preserve">CLI-0009</t>
  </si>
  <si>
    <t xml:space="preserve">CLI-0087</t>
  </si>
  <si>
    <t xml:space="preserve">CLI-0146</t>
  </si>
  <si>
    <t xml:space="preserve">CLI-0245</t>
  </si>
  <si>
    <t xml:space="preserve">CLI-0248</t>
  </si>
  <si>
    <t xml:space="preserve">CLI-0055</t>
  </si>
  <si>
    <t xml:space="preserve">CLI-0045</t>
  </si>
  <si>
    <t xml:space="preserve">CLI-0002</t>
  </si>
  <si>
    <t xml:space="preserve">CLI-0011</t>
  </si>
  <si>
    <t xml:space="preserve">CLI-0086</t>
  </si>
  <si>
    <t xml:space="preserve">CLI-0222</t>
  </si>
  <si>
    <t xml:space="preserve">CLI-0236</t>
  </si>
  <si>
    <t xml:space="preserve">CLI-0132</t>
  </si>
  <si>
    <t xml:space="preserve">CLI-0135</t>
  </si>
  <si>
    <t xml:space="preserve">CLI-0056</t>
  </si>
  <si>
    <t xml:space="preserve">CLI-0073</t>
  </si>
  <si>
    <t xml:space="preserve">CLI-0121</t>
  </si>
  <si>
    <t xml:space="preserve">CLI-0173</t>
  </si>
  <si>
    <t xml:space="preserve">CLI-0206</t>
  </si>
  <si>
    <t xml:space="preserve">CLI-0003</t>
  </si>
  <si>
    <t xml:space="preserve">CLI-0004</t>
  </si>
  <si>
    <t xml:space="preserve">CLI-0239</t>
  </si>
  <si>
    <t xml:space="preserve">CLI-0136</t>
  </si>
  <si>
    <t xml:space="preserve">CLI-0105</t>
  </si>
  <si>
    <t xml:space="preserve">CLI-0152</t>
  </si>
  <si>
    <t xml:space="preserve">CLI-0021</t>
  </si>
  <si>
    <t xml:space="preserve">CLI-0231</t>
  </si>
  <si>
    <t xml:space="preserve">CLI-0065</t>
  </si>
  <si>
    <t xml:space="preserve">CLI-0161</t>
  </si>
  <si>
    <t xml:space="preserve">CLI-0092</t>
  </si>
  <si>
    <t xml:space="preserve">CLI-0089</t>
  </si>
  <si>
    <t xml:space="preserve">CLI-0033</t>
  </si>
  <si>
    <t xml:space="preserve">CLI-0180</t>
  </si>
  <si>
    <t xml:space="preserve">CLI-0181</t>
  </si>
  <si>
    <t xml:space="preserve">CLI-0205</t>
  </si>
  <si>
    <t xml:space="preserve">CLI-0099</t>
  </si>
  <si>
    <t xml:space="preserve">CLI-0242</t>
  </si>
  <si>
    <t xml:space="preserve">CLI-0072</t>
  </si>
  <si>
    <t xml:space="preserve">CLI-0155</t>
  </si>
  <si>
    <t xml:space="preserve">CLI-0070</t>
  </si>
  <si>
    <t xml:space="preserve">CLI-0131</t>
  </si>
  <si>
    <t xml:space="preserve">CLI-0156</t>
  </si>
  <si>
    <t xml:space="preserve">CLI-0214</t>
  </si>
  <si>
    <t xml:space="preserve">CLI-0243</t>
  </si>
  <si>
    <t xml:space="preserve">CLI-0159</t>
  </si>
  <si>
    <t xml:space="preserve">CLI-0043</t>
  </si>
  <si>
    <t xml:space="preserve">CLI-0062</t>
  </si>
  <si>
    <t xml:space="preserve">CLI-0101</t>
  </si>
  <si>
    <t xml:space="preserve">CLI-0219</t>
  </si>
  <si>
    <t xml:space="preserve">CLI-0100</t>
  </si>
  <si>
    <t xml:space="preserve">CLI-0165</t>
  </si>
  <si>
    <t xml:space="preserve">CLI-0124</t>
  </si>
  <si>
    <t xml:space="preserve">CLI-0108</t>
  </si>
  <si>
    <t xml:space="preserve">CLI-0207</t>
  </si>
  <si>
    <t xml:space="preserve">CLI-0054</t>
  </si>
  <si>
    <t xml:space="preserve">CLI-0040</t>
  </si>
  <si>
    <t xml:space="preserve">CLI-0123</t>
  </si>
  <si>
    <t xml:space="preserve">CLI-0022</t>
  </si>
  <si>
    <t xml:space="preserve">CLI-0183</t>
  </si>
  <si>
    <t xml:space="preserve">CLI-0116</t>
  </si>
  <si>
    <t xml:space="preserve">CLI-0235</t>
  </si>
  <si>
    <t xml:space="preserve">CLI-0201</t>
  </si>
  <si>
    <t xml:space="preserve">CLI-0074</t>
  </si>
  <si>
    <t xml:space="preserve">CLI-0013</t>
  </si>
  <si>
    <t xml:space="preserve">CLI-0077</t>
  </si>
  <si>
    <t xml:space="preserve">CLI-0076</t>
  </si>
  <si>
    <t xml:space="preserve">CLI-0047</t>
  </si>
  <si>
    <t xml:space="preserve">CLI-0164</t>
  </si>
  <si>
    <t xml:space="preserve">CLI-0120</t>
  </si>
  <si>
    <t xml:space="preserve">CLI-0088</t>
  </si>
  <si>
    <t xml:space="preserve">CLI-0024</t>
  </si>
  <si>
    <t xml:space="preserve">CLI-0036</t>
  </si>
  <si>
    <t xml:space="preserve">CLI-0168</t>
  </si>
  <si>
    <t xml:space="preserve">CLI-0171</t>
  </si>
  <si>
    <t xml:space="preserve">CLI-0170</t>
  </si>
  <si>
    <t xml:space="preserve">CLI-0048</t>
  </si>
  <si>
    <t xml:space="preserve">CLI-0012</t>
  </si>
  <si>
    <t xml:space="preserve">CLI-0182</t>
  </si>
  <si>
    <t xml:space="preserve">CLI-0115</t>
  </si>
  <si>
    <t xml:space="preserve">CLI-0189</t>
  </si>
  <si>
    <t xml:space="preserve">CLI-0137</t>
  </si>
  <si>
    <t xml:space="preserve">CLI-0213</t>
  </si>
  <si>
    <t xml:space="preserve">CLI-0034</t>
  </si>
  <si>
    <t xml:space="preserve">CLI-0145</t>
  </si>
  <si>
    <t xml:space="preserve">CLI-0032</t>
  </si>
  <si>
    <t xml:space="preserve">CLI-0008</t>
  </si>
  <si>
    <t xml:space="preserve">CLI-0240</t>
  </si>
  <si>
    <t xml:space="preserve">CLI-0007</t>
  </si>
  <si>
    <t xml:space="preserve">CLI-0066</t>
  </si>
  <si>
    <t xml:space="preserve">CLI-0082</t>
  </si>
  <si>
    <t xml:space="preserve">CLI-0192</t>
  </si>
  <si>
    <t xml:space="preserve">CLI-0246</t>
  </si>
  <si>
    <t xml:space="preserve">CLI-0128</t>
  </si>
  <si>
    <t xml:space="preserve">CLI-0227</t>
  </si>
  <si>
    <t xml:space="preserve">CLI-0027</t>
  </si>
  <si>
    <t xml:space="preserve">CLI-0106</t>
  </si>
  <si>
    <t xml:space="preserve">CLI-0080</t>
  </si>
  <si>
    <t xml:space="preserve">CLI-0153</t>
  </si>
  <si>
    <t xml:space="preserve">CLI-0052</t>
  </si>
  <si>
    <t xml:space="preserve">CLI-0098</t>
  </si>
  <si>
    <t xml:space="preserve">CLI-0026</t>
  </si>
  <si>
    <t xml:space="preserve">CLI-0104</t>
  </si>
  <si>
    <t xml:space="preserve">CLI-0019</t>
  </si>
  <si>
    <t xml:space="preserve">CLI-0210</t>
  </si>
  <si>
    <t xml:space="preserve">CLI-0250</t>
  </si>
  <si>
    <t xml:space="preserve">CLI-0241</t>
  </si>
  <si>
    <t xml:space="preserve">CLI-0193</t>
  </si>
  <si>
    <t xml:space="preserve">CLI-0217</t>
  </si>
  <si>
    <t xml:space="preserve">CLI-0107</t>
  </si>
  <si>
    <t xml:space="preserve">CLI-0147</t>
  </si>
  <si>
    <t xml:space="preserve">CLI-0178</t>
  </si>
  <si>
    <t xml:space="preserve">CLI-0150</t>
  </si>
  <si>
    <t xml:space="preserve">CLI-0202</t>
  </si>
  <si>
    <t xml:space="preserve">CLI-0014</t>
  </si>
  <si>
    <t xml:space="preserve">CLI-0023</t>
  </si>
  <si>
    <t xml:space="preserve">CLI-0095</t>
  </si>
  <si>
    <t xml:space="preserve">CLI-0228</t>
  </si>
  <si>
    <t xml:space="preserve">CLI-0225</t>
  </si>
  <si>
    <t xml:space="preserve">CLI-0129</t>
  </si>
  <si>
    <t xml:space="preserve">CLI-0163</t>
  </si>
  <si>
    <t xml:space="preserve">CLI-0081</t>
  </si>
  <si>
    <t xml:space="preserve">CLI-0233</t>
  </si>
  <si>
    <t xml:space="preserve">CLI-0063</t>
  </si>
  <si>
    <t xml:space="preserve">CLI-0160</t>
  </si>
  <si>
    <t xml:space="preserve">CLI-0197</t>
  </si>
  <si>
    <t xml:space="preserve">CLI-0190</t>
  </si>
  <si>
    <t xml:space="preserve">CLI-0187</t>
  </si>
  <si>
    <t xml:space="preserve">CLI-0199</t>
  </si>
  <si>
    <t xml:space="preserve">CLI-0204</t>
  </si>
  <si>
    <t xml:space="preserve">CLI-0230</t>
  </si>
  <si>
    <t xml:space="preserve">CLI-0102</t>
  </si>
  <si>
    <t xml:space="preserve">CLI-0144</t>
  </si>
  <si>
    <t xml:space="preserve">CLI-0237</t>
  </si>
  <si>
    <t xml:space="preserve">CLI-0154</t>
  </si>
  <si>
    <t xml:space="preserve">CLI-0103</t>
  </si>
  <si>
    <t xml:space="preserve">CLI-0126</t>
  </si>
  <si>
    <t xml:space="preserve">CLI-0093</t>
  </si>
  <si>
    <t xml:space="preserve">CLI-0179</t>
  </si>
  <si>
    <t xml:space="preserve">CLI-0030</t>
  </si>
  <si>
    <t xml:space="preserve">CLI-0010</t>
  </si>
  <si>
    <t xml:space="preserve">CLI-0218</t>
  </si>
  <si>
    <t xml:space="preserve">CLI-0042</t>
  </si>
  <si>
    <t xml:space="preserve">CLI-0188</t>
  </si>
  <si>
    <t xml:space="preserve">CLI-0200</t>
  </si>
  <si>
    <t xml:space="preserve">CLI-0113</t>
  </si>
  <si>
    <t xml:space="preserve">CLI-0174</t>
  </si>
  <si>
    <t xml:space="preserve">CLI-0078</t>
  </si>
  <si>
    <t xml:space="preserve">CLI-0090</t>
  </si>
  <si>
    <t xml:space="preserve">CLI-0097</t>
  </si>
  <si>
    <t xml:space="preserve">CLI-0025</t>
  </si>
  <si>
    <t xml:space="preserve">CLI-0166</t>
  </si>
  <si>
    <t xml:space="preserve">CLI-0221</t>
  </si>
  <si>
    <t xml:space="preserve">CLI-0029</t>
  </si>
  <si>
    <t xml:space="preserve">CLI-0176</t>
  </si>
  <si>
    <t xml:space="preserve">CLI-0020</t>
  </si>
  <si>
    <t xml:space="preserve">CLI-0196</t>
  </si>
  <si>
    <t xml:space="preserve">CLI-0142</t>
  </si>
  <si>
    <t xml:space="preserve">CLI-0220</t>
  </si>
  <si>
    <t xml:space="preserve">CLI-0005</t>
  </si>
  <si>
    <t xml:space="preserve">CLI-0006</t>
  </si>
  <si>
    <t xml:space="preserve">CLI-0195</t>
  </si>
  <si>
    <t xml:space="preserve">CLI-0017</t>
  </si>
  <si>
    <t xml:space="preserve">CLI-0130</t>
  </si>
  <si>
    <t xml:space="preserve">CLI-0041</t>
  </si>
  <si>
    <t xml:space="preserve">CLI-0162</t>
  </si>
  <si>
    <t xml:space="preserve">CLI-0229</t>
  </si>
  <si>
    <t xml:space="preserve">CLI-0059</t>
  </si>
  <si>
    <t xml:space="preserve">CLI-0083</t>
  </si>
  <si>
    <t xml:space="preserve">CLI-0015</t>
  </si>
  <si>
    <t xml:space="preserve">CLI-0186</t>
  </si>
  <si>
    <t xml:space="preserve">CLI-0064</t>
  </si>
  <si>
    <t xml:space="preserve">CLI-0110</t>
  </si>
  <si>
    <t xml:space="preserve">CLI-0119</t>
  </si>
  <si>
    <t xml:space="preserve">CLI-0198</t>
  </si>
  <si>
    <t xml:space="preserve">CLI-0057</t>
  </si>
  <si>
    <t xml:space="preserve">CLI-0051</t>
  </si>
  <si>
    <t xml:space="preserve">CLI-0157</t>
  </si>
  <si>
    <t xml:space="preserve">CLI-0212</t>
  </si>
  <si>
    <t xml:space="preserve">compras</t>
  </si>
  <si>
    <t xml:space="preserve">receita</t>
  </si>
  <si>
    <t xml:space="preserve">última compra</t>
  </si>
  <si>
    <t xml:space="preserve">recência (dias)</t>
  </si>
  <si>
    <t xml:space="preserve">chave de ranking</t>
  </si>
  <si>
    <t xml:space="preserve">R</t>
  </si>
  <si>
    <t xml:space="preserve">F</t>
  </si>
  <si>
    <t xml:space="preserve">V</t>
  </si>
  <si>
    <t xml:space="preserve">RFV total</t>
  </si>
  <si>
    <t xml:space="preserve">segmento</t>
  </si>
  <si>
    <t xml:space="preserve">posição</t>
  </si>
  <si>
    <t xml:space="preserve">valor da venda</t>
  </si>
  <si>
    <t xml:space="preserve">acumulado</t>
  </si>
  <si>
    <t xml:space="preserve">% acumulado da receita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</si>
</sst>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R$ &quot;#,##0.00"/>
    <numFmt numFmtId="166" formatCode="#,##0"/>
    <numFmt numFmtId="167" formatCode="0.0%"/>
    <numFmt numFmtId="168" formatCode="&quot;R$ &quot;#,##0"/>
    <numFmt numFmtId="169" formatCode="0.00"/>
    <numFmt numFmtId="170" formatCode="dd/mm/yyyy"/>
    <numFmt numFmtId="171" formatCode="0.0"/>
    <numFmt numFmtId="172" formatCode="0.00\%"/>
    <numFmt numFmtId="173" formatCode="#,##0.00"/>
    <numFmt numFmtId="174" formatCode="0.000"/>
    <numFmt numFmtId="175" formatCode="0.0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DEEAF6"/>
        <bgColor rgb="FFD9D9D9"/>
      </patternFill>
    </fill>
    <fill>
      <patternFill patternType="solid">
        <fgColor rgb="FF2E75B6"/>
        <bgColor rgb="FF4672A8"/>
      </patternFill>
    </fill>
    <fill>
      <patternFill patternType="solid">
        <fgColor rgb="FF1F3864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672A8"/>
      <rgbColor rgb="FFBFBFBF"/>
      <rgbColor rgb="FF7F7F7F"/>
      <rgbColor rgb="FF93A9CE"/>
      <rgbColor rgb="FFAB4744"/>
      <rgbColor rgb="FFFFF2CC"/>
      <rgbColor rgb="FFDEEAF6"/>
      <rgbColor rgb="FF660066"/>
      <rgbColor rgb="FFDC853E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F9F9F9"/>
      <rgbColor rgb="FFCCFFCC"/>
      <rgbColor rgb="FFFFFF99"/>
      <rgbColor rgb="FF4F81BD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C0504D"/>
      <rgbColor rgb="FFBE4B48"/>
      <rgbColor rgb="FF8064A2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mensal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1_Receita!C8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1_Receita!$B$9:$B$20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1_Receita!$C$9:$C$20</c:f>
              <c:numCache>
                <c:formatCode>"R$ "#,##0.00</c:formatCode>
                <c:ptCount val="12"/>
                <c:pt idx="0">
                  <c:v>8995.65</c:v>
                </c:pt>
                <c:pt idx="1">
                  <c:v>7046.33</c:v>
                </c:pt>
                <c:pt idx="2">
                  <c:v>8135.14</c:v>
                </c:pt>
                <c:pt idx="3">
                  <c:v>6542.71</c:v>
                </c:pt>
                <c:pt idx="4">
                  <c:v>10142.67</c:v>
                </c:pt>
                <c:pt idx="5">
                  <c:v>7362.53</c:v>
                </c:pt>
                <c:pt idx="6">
                  <c:v>11652.93</c:v>
                </c:pt>
                <c:pt idx="7">
                  <c:v>10403.65</c:v>
                </c:pt>
                <c:pt idx="8">
                  <c:v>10750.49</c:v>
                </c:pt>
                <c:pt idx="9">
                  <c:v>10432.27</c:v>
                </c:pt>
                <c:pt idx="10">
                  <c:v>10521.63</c:v>
                </c:pt>
                <c:pt idx="11">
                  <c:v>7358.37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894876"/>
        <c:axId val="54925644"/>
      </c:lineChart>
      <c:catAx>
        <c:axId val="79894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25644"/>
        <c:crosses val="autoZero"/>
        <c:auto val="1"/>
        <c:lblAlgn val="ctr"/>
        <c:lblOffset val="100"/>
        <c:noMultiLvlLbl val="0"/>
      </c:catAx>
      <c:valAx>
        <c:axId val="54925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48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mensal × média do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1_Receita!C35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1_Receita!$B$36:$B$47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1_Receita!$C$36:$C$47</c:f>
              <c:numCache>
                <c:formatCode>"R$ "#,##0.00</c:formatCode>
                <c:ptCount val="12"/>
                <c:pt idx="0">
                  <c:v>8995.65</c:v>
                </c:pt>
                <c:pt idx="1">
                  <c:v>7046.33</c:v>
                </c:pt>
                <c:pt idx="2">
                  <c:v>8135.14</c:v>
                </c:pt>
                <c:pt idx="3">
                  <c:v>6542.71</c:v>
                </c:pt>
                <c:pt idx="4">
                  <c:v>10142.67</c:v>
                </c:pt>
                <c:pt idx="5">
                  <c:v>7362.53</c:v>
                </c:pt>
                <c:pt idx="6">
                  <c:v>11652.93</c:v>
                </c:pt>
                <c:pt idx="7">
                  <c:v>10403.65</c:v>
                </c:pt>
                <c:pt idx="8">
                  <c:v>10750.49</c:v>
                </c:pt>
                <c:pt idx="9">
                  <c:v>10432.27</c:v>
                </c:pt>
                <c:pt idx="10">
                  <c:v>10521.63</c:v>
                </c:pt>
                <c:pt idx="11">
                  <c:v>7358.37</c:v>
                </c:pt>
              </c:numCache>
            </c:numRef>
          </c:val>
        </c:ser>
        <c:gapWidth val="150"/>
        <c:overlap val="0"/>
        <c:axId val="12781540"/>
        <c:axId val="2343798"/>
      </c:barChart>
      <c:lineChart>
        <c:grouping val="standard"/>
        <c:varyColors val="0"/>
        <c:ser>
          <c:idx val="1"/>
          <c:order val="1"/>
          <c:tx>
            <c:strRef>
              <c:f>1_Receita!D35</c:f>
              <c:strCache>
                <c:ptCount val="1"/>
                <c:pt idx="0">
                  <c:v>Média do ano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1_Receita!$B$36:$B$47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1_Receita!$D$36:$D$47</c:f>
              <c:numCache>
                <c:formatCode>"R$ "#,##0.00</c:formatCode>
                <c:ptCount val="12"/>
                <c:pt idx="0">
                  <c:v>9112.03083333333</c:v>
                </c:pt>
                <c:pt idx="1">
                  <c:v>9112.03083333333</c:v>
                </c:pt>
                <c:pt idx="2">
                  <c:v>9112.03083333333</c:v>
                </c:pt>
                <c:pt idx="3">
                  <c:v>9112.03083333333</c:v>
                </c:pt>
                <c:pt idx="4">
                  <c:v>9112.03083333333</c:v>
                </c:pt>
                <c:pt idx="5">
                  <c:v>9112.03083333333</c:v>
                </c:pt>
                <c:pt idx="6">
                  <c:v>9112.03083333333</c:v>
                </c:pt>
                <c:pt idx="7">
                  <c:v>9112.03083333333</c:v>
                </c:pt>
                <c:pt idx="8">
                  <c:v>9112.03083333333</c:v>
                </c:pt>
                <c:pt idx="9">
                  <c:v>9112.03083333333</c:v>
                </c:pt>
                <c:pt idx="10">
                  <c:v>9112.03083333333</c:v>
                </c:pt>
                <c:pt idx="11">
                  <c:v>9112.03083333333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781540"/>
        <c:axId val="2343798"/>
      </c:lineChart>
      <c:catAx>
        <c:axId val="12781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3798"/>
        <c:crosses val="autoZero"/>
        <c:auto val="1"/>
        <c:lblAlgn val="ctr"/>
        <c:lblOffset val="100"/>
        <c:noMultiLvlLbl val="0"/>
      </c:catAx>
      <c:valAx>
        <c:axId val="2343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8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médio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1_Receita!C60</c:f>
              <c:strCache>
                <c:ptCount val="1"/>
                <c:pt idx="0">
                  <c:v>Ticket médio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1_Receita!$B$61:$B$72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1_Receita!$C$61:$C$72</c:f>
              <c:numCache>
                <c:formatCode>"R$ "#,##0.00</c:formatCode>
                <c:ptCount val="12"/>
                <c:pt idx="0">
                  <c:v>93.7046875</c:v>
                </c:pt>
                <c:pt idx="1">
                  <c:v>99.2440845070423</c:v>
                </c:pt>
                <c:pt idx="2">
                  <c:v>81.3514</c:v>
                </c:pt>
                <c:pt idx="3">
                  <c:v>97.6523880597015</c:v>
                </c:pt>
                <c:pt idx="4">
                  <c:v>111.457912087912</c:v>
                </c:pt>
                <c:pt idx="5">
                  <c:v>98.1670666666667</c:v>
                </c:pt>
                <c:pt idx="6">
                  <c:v>138.725357142857</c:v>
                </c:pt>
                <c:pt idx="7">
                  <c:v>107.25412371134</c:v>
                </c:pt>
                <c:pt idx="8">
                  <c:v>129.523975903614</c:v>
                </c:pt>
                <c:pt idx="9">
                  <c:v>146.93338028169</c:v>
                </c:pt>
                <c:pt idx="10">
                  <c:v>140.2884</c:v>
                </c:pt>
                <c:pt idx="11">
                  <c:v>81.7596666666667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498571"/>
        <c:axId val="24435679"/>
      </c:lineChart>
      <c:catAx>
        <c:axId val="28498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35679"/>
        <c:crosses val="autoZero"/>
        <c:auto val="1"/>
        <c:lblAlgn val="ctr"/>
        <c:lblOffset val="100"/>
        <c:noMultiLvlLbl val="0"/>
      </c:catAx>
      <c:valAx>
        <c:axId val="24435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98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de Pareto — % acumulado da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"Receita acumulada"</c:f>
              <c:strCache>
                <c:ptCount val="1"/>
                <c:pt idx="0">
                  <c:v>Receita acumulada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aux_pareto!$E$2:$E$1001</c:f>
              <c:numCache>
                <c:formatCode>0.0%</c:formatCode>
                <c:ptCount val="1000"/>
                <c:pt idx="0">
                  <c:v>0.001</c:v>
                </c:pt>
                <c:pt idx="1">
                  <c:v>0.002</c:v>
                </c:pt>
                <c:pt idx="2">
                  <c:v>0.003</c:v>
                </c:pt>
                <c:pt idx="3">
                  <c:v>0.004</c:v>
                </c:pt>
                <c:pt idx="4">
                  <c:v>0.005</c:v>
                </c:pt>
                <c:pt idx="5">
                  <c:v>0.006</c:v>
                </c:pt>
                <c:pt idx="6">
                  <c:v>0.007</c:v>
                </c:pt>
                <c:pt idx="7">
                  <c:v>0.008</c:v>
                </c:pt>
                <c:pt idx="8">
                  <c:v>0.009</c:v>
                </c:pt>
                <c:pt idx="9">
                  <c:v>0.01</c:v>
                </c:pt>
                <c:pt idx="10">
                  <c:v>0.011</c:v>
                </c:pt>
                <c:pt idx="11">
                  <c:v>0.012</c:v>
                </c:pt>
                <c:pt idx="12">
                  <c:v>0.013</c:v>
                </c:pt>
                <c:pt idx="13">
                  <c:v>0.014</c:v>
                </c:pt>
                <c:pt idx="14">
                  <c:v>0.015</c:v>
                </c:pt>
                <c:pt idx="15">
                  <c:v>0.016</c:v>
                </c:pt>
                <c:pt idx="16">
                  <c:v>0.017</c:v>
                </c:pt>
                <c:pt idx="17">
                  <c:v>0.018</c:v>
                </c:pt>
                <c:pt idx="18">
                  <c:v>0.019</c:v>
                </c:pt>
                <c:pt idx="19">
                  <c:v>0.02</c:v>
                </c:pt>
                <c:pt idx="20">
                  <c:v>0.021</c:v>
                </c:pt>
                <c:pt idx="21">
                  <c:v>0.022</c:v>
                </c:pt>
                <c:pt idx="22">
                  <c:v>0.023</c:v>
                </c:pt>
                <c:pt idx="23">
                  <c:v>0.024</c:v>
                </c:pt>
                <c:pt idx="24">
                  <c:v>0.025</c:v>
                </c:pt>
                <c:pt idx="25">
                  <c:v>0.026</c:v>
                </c:pt>
                <c:pt idx="26">
                  <c:v>0.027</c:v>
                </c:pt>
                <c:pt idx="27">
                  <c:v>0.028</c:v>
                </c:pt>
                <c:pt idx="28">
                  <c:v>0.029</c:v>
                </c:pt>
                <c:pt idx="29">
                  <c:v>0.03</c:v>
                </c:pt>
                <c:pt idx="30">
                  <c:v>0.031</c:v>
                </c:pt>
                <c:pt idx="31">
                  <c:v>0.032</c:v>
                </c:pt>
                <c:pt idx="32">
                  <c:v>0.033</c:v>
                </c:pt>
                <c:pt idx="33">
                  <c:v>0.034</c:v>
                </c:pt>
                <c:pt idx="34">
                  <c:v>0.035</c:v>
                </c:pt>
                <c:pt idx="35">
                  <c:v>0.036</c:v>
                </c:pt>
                <c:pt idx="36">
                  <c:v>0.037</c:v>
                </c:pt>
                <c:pt idx="37">
                  <c:v>0.038</c:v>
                </c:pt>
                <c:pt idx="38">
                  <c:v>0.039</c:v>
                </c:pt>
                <c:pt idx="39">
                  <c:v>0.04</c:v>
                </c:pt>
                <c:pt idx="40">
                  <c:v>0.041</c:v>
                </c:pt>
                <c:pt idx="41">
                  <c:v>0.042</c:v>
                </c:pt>
                <c:pt idx="42">
                  <c:v>0.043</c:v>
                </c:pt>
                <c:pt idx="43">
                  <c:v>0.044</c:v>
                </c:pt>
                <c:pt idx="44">
                  <c:v>0.045</c:v>
                </c:pt>
                <c:pt idx="45">
                  <c:v>0.046</c:v>
                </c:pt>
                <c:pt idx="46">
                  <c:v>0.047</c:v>
                </c:pt>
                <c:pt idx="47">
                  <c:v>0.048</c:v>
                </c:pt>
                <c:pt idx="48">
                  <c:v>0.049</c:v>
                </c:pt>
                <c:pt idx="49">
                  <c:v>0.05</c:v>
                </c:pt>
                <c:pt idx="50">
                  <c:v>0.051</c:v>
                </c:pt>
                <c:pt idx="51">
                  <c:v>0.052</c:v>
                </c:pt>
                <c:pt idx="52">
                  <c:v>0.053</c:v>
                </c:pt>
                <c:pt idx="53">
                  <c:v>0.054</c:v>
                </c:pt>
                <c:pt idx="54">
                  <c:v>0.055</c:v>
                </c:pt>
                <c:pt idx="55">
                  <c:v>0.056</c:v>
                </c:pt>
                <c:pt idx="56">
                  <c:v>0.057</c:v>
                </c:pt>
                <c:pt idx="57">
                  <c:v>0.058</c:v>
                </c:pt>
                <c:pt idx="58">
                  <c:v>0.059</c:v>
                </c:pt>
                <c:pt idx="59">
                  <c:v>0.06</c:v>
                </c:pt>
                <c:pt idx="60">
                  <c:v>0.061</c:v>
                </c:pt>
                <c:pt idx="61">
                  <c:v>0.062</c:v>
                </c:pt>
                <c:pt idx="62">
                  <c:v>0.063</c:v>
                </c:pt>
                <c:pt idx="63">
                  <c:v>0.064</c:v>
                </c:pt>
                <c:pt idx="64">
                  <c:v>0.065</c:v>
                </c:pt>
                <c:pt idx="65">
                  <c:v>0.066</c:v>
                </c:pt>
                <c:pt idx="66">
                  <c:v>0.067</c:v>
                </c:pt>
                <c:pt idx="67">
                  <c:v>0.068</c:v>
                </c:pt>
                <c:pt idx="68">
                  <c:v>0.069</c:v>
                </c:pt>
                <c:pt idx="69">
                  <c:v>0.07</c:v>
                </c:pt>
                <c:pt idx="70">
                  <c:v>0.071</c:v>
                </c:pt>
                <c:pt idx="71">
                  <c:v>0.072</c:v>
                </c:pt>
                <c:pt idx="72">
                  <c:v>0.073</c:v>
                </c:pt>
                <c:pt idx="73">
                  <c:v>0.074</c:v>
                </c:pt>
                <c:pt idx="74">
                  <c:v>0.075</c:v>
                </c:pt>
                <c:pt idx="75">
                  <c:v>0.076</c:v>
                </c:pt>
                <c:pt idx="76">
                  <c:v>0.077</c:v>
                </c:pt>
                <c:pt idx="77">
                  <c:v>0.078</c:v>
                </c:pt>
                <c:pt idx="78">
                  <c:v>0.079</c:v>
                </c:pt>
                <c:pt idx="79">
                  <c:v>0.08</c:v>
                </c:pt>
                <c:pt idx="80">
                  <c:v>0.081</c:v>
                </c:pt>
                <c:pt idx="81">
                  <c:v>0.082</c:v>
                </c:pt>
                <c:pt idx="82">
                  <c:v>0.083</c:v>
                </c:pt>
                <c:pt idx="83">
                  <c:v>0.084</c:v>
                </c:pt>
                <c:pt idx="84">
                  <c:v>0.085</c:v>
                </c:pt>
                <c:pt idx="85">
                  <c:v>0.086</c:v>
                </c:pt>
                <c:pt idx="86">
                  <c:v>0.087</c:v>
                </c:pt>
                <c:pt idx="87">
                  <c:v>0.088</c:v>
                </c:pt>
                <c:pt idx="88">
                  <c:v>0.089</c:v>
                </c:pt>
                <c:pt idx="89">
                  <c:v>0.09</c:v>
                </c:pt>
                <c:pt idx="90">
                  <c:v>0.091</c:v>
                </c:pt>
                <c:pt idx="91">
                  <c:v>0.092</c:v>
                </c:pt>
                <c:pt idx="92">
                  <c:v>0.093</c:v>
                </c:pt>
                <c:pt idx="93">
                  <c:v>0.094</c:v>
                </c:pt>
                <c:pt idx="94">
                  <c:v>0.095</c:v>
                </c:pt>
                <c:pt idx="95">
                  <c:v>0.096</c:v>
                </c:pt>
                <c:pt idx="96">
                  <c:v>0.097</c:v>
                </c:pt>
                <c:pt idx="97">
                  <c:v>0.098</c:v>
                </c:pt>
                <c:pt idx="98">
                  <c:v>0.099</c:v>
                </c:pt>
                <c:pt idx="99">
                  <c:v>0.1</c:v>
                </c:pt>
                <c:pt idx="100">
                  <c:v>0.101</c:v>
                </c:pt>
                <c:pt idx="101">
                  <c:v>0.102</c:v>
                </c:pt>
                <c:pt idx="102">
                  <c:v>0.103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</c:v>
                </c:pt>
                <c:pt idx="116">
                  <c:v>0.117</c:v>
                </c:pt>
                <c:pt idx="117">
                  <c:v>0.118</c:v>
                </c:pt>
                <c:pt idx="118">
                  <c:v>0.119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</c:v>
                </c:pt>
                <c:pt idx="131">
                  <c:v>0.132</c:v>
                </c:pt>
                <c:pt idx="132">
                  <c:v>0.133</c:v>
                </c:pt>
                <c:pt idx="133">
                  <c:v>0.134</c:v>
                </c:pt>
                <c:pt idx="134">
                  <c:v>0.135</c:v>
                </c:pt>
                <c:pt idx="135">
                  <c:v>0.136</c:v>
                </c:pt>
                <c:pt idx="136">
                  <c:v>0.137</c:v>
                </c:pt>
                <c:pt idx="137">
                  <c:v>0.138</c:v>
                </c:pt>
                <c:pt idx="138">
                  <c:v>0.139</c:v>
                </c:pt>
                <c:pt idx="139">
                  <c:v>0.14</c:v>
                </c:pt>
                <c:pt idx="140">
                  <c:v>0.141</c:v>
                </c:pt>
                <c:pt idx="141">
                  <c:v>0.142</c:v>
                </c:pt>
                <c:pt idx="142">
                  <c:v>0.143</c:v>
                </c:pt>
                <c:pt idx="143">
                  <c:v>0.144</c:v>
                </c:pt>
                <c:pt idx="144">
                  <c:v>0.145</c:v>
                </c:pt>
                <c:pt idx="145">
                  <c:v>0.146</c:v>
                </c:pt>
                <c:pt idx="146">
                  <c:v>0.147</c:v>
                </c:pt>
                <c:pt idx="147">
                  <c:v>0.148</c:v>
                </c:pt>
                <c:pt idx="148">
                  <c:v>0.149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</c:v>
                </c:pt>
                <c:pt idx="162">
                  <c:v>0.163</c:v>
                </c:pt>
                <c:pt idx="163">
                  <c:v>0.164</c:v>
                </c:pt>
                <c:pt idx="164">
                  <c:v>0.165</c:v>
                </c:pt>
                <c:pt idx="165">
                  <c:v>0.166</c:v>
                </c:pt>
                <c:pt idx="166">
                  <c:v>0.167</c:v>
                </c:pt>
                <c:pt idx="167">
                  <c:v>0.168</c:v>
                </c:pt>
                <c:pt idx="168">
                  <c:v>0.169</c:v>
                </c:pt>
                <c:pt idx="169">
                  <c:v>0.17</c:v>
                </c:pt>
                <c:pt idx="170">
                  <c:v>0.171</c:v>
                </c:pt>
                <c:pt idx="171">
                  <c:v>0.172</c:v>
                </c:pt>
                <c:pt idx="172">
                  <c:v>0.173</c:v>
                </c:pt>
                <c:pt idx="173">
                  <c:v>0.174</c:v>
                </c:pt>
                <c:pt idx="174">
                  <c:v>0.175</c:v>
                </c:pt>
                <c:pt idx="175">
                  <c:v>0.176</c:v>
                </c:pt>
                <c:pt idx="176">
                  <c:v>0.177</c:v>
                </c:pt>
                <c:pt idx="177">
                  <c:v>0.178</c:v>
                </c:pt>
                <c:pt idx="178">
                  <c:v>0.179</c:v>
                </c:pt>
                <c:pt idx="179">
                  <c:v>0.18</c:v>
                </c:pt>
                <c:pt idx="180">
                  <c:v>0.181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</c:v>
                </c:pt>
                <c:pt idx="194">
                  <c:v>0.195</c:v>
                </c:pt>
                <c:pt idx="195">
                  <c:v>0.196</c:v>
                </c:pt>
                <c:pt idx="196">
                  <c:v>0.197</c:v>
                </c:pt>
                <c:pt idx="197">
                  <c:v>0.198</c:v>
                </c:pt>
                <c:pt idx="198">
                  <c:v>0.199</c:v>
                </c:pt>
                <c:pt idx="199">
                  <c:v>0.2</c:v>
                </c:pt>
                <c:pt idx="200">
                  <c:v>0.201</c:v>
                </c:pt>
                <c:pt idx="201">
                  <c:v>0.202</c:v>
                </c:pt>
                <c:pt idx="202">
                  <c:v>0.203</c:v>
                </c:pt>
                <c:pt idx="203">
                  <c:v>0.204</c:v>
                </c:pt>
                <c:pt idx="204">
                  <c:v>0.205</c:v>
                </c:pt>
                <c:pt idx="205">
                  <c:v>0.206</c:v>
                </c:pt>
                <c:pt idx="206">
                  <c:v>0.207</c:v>
                </c:pt>
                <c:pt idx="207">
                  <c:v>0.208</c:v>
                </c:pt>
                <c:pt idx="208">
                  <c:v>0.209</c:v>
                </c:pt>
                <c:pt idx="209">
                  <c:v>0.21</c:v>
                </c:pt>
                <c:pt idx="210">
                  <c:v>0.211</c:v>
                </c:pt>
                <c:pt idx="211">
                  <c:v>0.212</c:v>
                </c:pt>
                <c:pt idx="212">
                  <c:v>0.213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</c:v>
                </c:pt>
                <c:pt idx="225">
                  <c:v>0.226</c:v>
                </c:pt>
                <c:pt idx="226">
                  <c:v>0.227</c:v>
                </c:pt>
                <c:pt idx="227">
                  <c:v>0.228</c:v>
                </c:pt>
                <c:pt idx="228">
                  <c:v>0.229</c:v>
                </c:pt>
                <c:pt idx="229">
                  <c:v>0.23</c:v>
                </c:pt>
                <c:pt idx="230">
                  <c:v>0.231</c:v>
                </c:pt>
                <c:pt idx="231">
                  <c:v>0.232</c:v>
                </c:pt>
                <c:pt idx="232">
                  <c:v>0.233</c:v>
                </c:pt>
                <c:pt idx="233">
                  <c:v>0.234</c:v>
                </c:pt>
                <c:pt idx="234">
                  <c:v>0.235</c:v>
                </c:pt>
                <c:pt idx="235">
                  <c:v>0.236</c:v>
                </c:pt>
                <c:pt idx="236">
                  <c:v>0.237</c:v>
                </c:pt>
                <c:pt idx="237">
                  <c:v>0.238</c:v>
                </c:pt>
                <c:pt idx="238">
                  <c:v>0.239</c:v>
                </c:pt>
                <c:pt idx="239">
                  <c:v>0.24</c:v>
                </c:pt>
                <c:pt idx="240">
                  <c:v>0.241</c:v>
                </c:pt>
                <c:pt idx="241">
                  <c:v>0.242</c:v>
                </c:pt>
                <c:pt idx="242">
                  <c:v>0.243</c:v>
                </c:pt>
                <c:pt idx="243">
                  <c:v>0.244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</c:v>
                </c:pt>
                <c:pt idx="256">
                  <c:v>0.257</c:v>
                </c:pt>
                <c:pt idx="257">
                  <c:v>0.258</c:v>
                </c:pt>
                <c:pt idx="258">
                  <c:v>0.259</c:v>
                </c:pt>
                <c:pt idx="259">
                  <c:v>0.26</c:v>
                </c:pt>
                <c:pt idx="260">
                  <c:v>0.261</c:v>
                </c:pt>
                <c:pt idx="261">
                  <c:v>0.262</c:v>
                </c:pt>
                <c:pt idx="262">
                  <c:v>0.263</c:v>
                </c:pt>
                <c:pt idx="263">
                  <c:v>0.264</c:v>
                </c:pt>
                <c:pt idx="264">
                  <c:v>0.265</c:v>
                </c:pt>
                <c:pt idx="265">
                  <c:v>0.266</c:v>
                </c:pt>
                <c:pt idx="266">
                  <c:v>0.267</c:v>
                </c:pt>
                <c:pt idx="267">
                  <c:v>0.268</c:v>
                </c:pt>
                <c:pt idx="268">
                  <c:v>0.269</c:v>
                </c:pt>
                <c:pt idx="269">
                  <c:v>0.27</c:v>
                </c:pt>
                <c:pt idx="270">
                  <c:v>0.271</c:v>
                </c:pt>
                <c:pt idx="271">
                  <c:v>0.272</c:v>
                </c:pt>
                <c:pt idx="272">
                  <c:v>0.273</c:v>
                </c:pt>
                <c:pt idx="273">
                  <c:v>0.274</c:v>
                </c:pt>
                <c:pt idx="274">
                  <c:v>0.275</c:v>
                </c:pt>
                <c:pt idx="275">
                  <c:v>0.276</c:v>
                </c:pt>
                <c:pt idx="276">
                  <c:v>0.277</c:v>
                </c:pt>
                <c:pt idx="277">
                  <c:v>0.278</c:v>
                </c:pt>
                <c:pt idx="278">
                  <c:v>0.279</c:v>
                </c:pt>
                <c:pt idx="279">
                  <c:v>0.28</c:v>
                </c:pt>
                <c:pt idx="280">
                  <c:v>0.281</c:v>
                </c:pt>
                <c:pt idx="281">
                  <c:v>0.282</c:v>
                </c:pt>
                <c:pt idx="282">
                  <c:v>0.283</c:v>
                </c:pt>
                <c:pt idx="283">
                  <c:v>0.284</c:v>
                </c:pt>
                <c:pt idx="284">
                  <c:v>0.285</c:v>
                </c:pt>
                <c:pt idx="285">
                  <c:v>0.286</c:v>
                </c:pt>
                <c:pt idx="286">
                  <c:v>0.287</c:v>
                </c:pt>
                <c:pt idx="287">
                  <c:v>0.288</c:v>
                </c:pt>
                <c:pt idx="288">
                  <c:v>0.289</c:v>
                </c:pt>
                <c:pt idx="289">
                  <c:v>0.29</c:v>
                </c:pt>
                <c:pt idx="290">
                  <c:v>0.291</c:v>
                </c:pt>
                <c:pt idx="291">
                  <c:v>0.292</c:v>
                </c:pt>
                <c:pt idx="292">
                  <c:v>0.293</c:v>
                </c:pt>
                <c:pt idx="293">
                  <c:v>0.294</c:v>
                </c:pt>
                <c:pt idx="294">
                  <c:v>0.295</c:v>
                </c:pt>
                <c:pt idx="295">
                  <c:v>0.296</c:v>
                </c:pt>
                <c:pt idx="296">
                  <c:v>0.297</c:v>
                </c:pt>
                <c:pt idx="297">
                  <c:v>0.298</c:v>
                </c:pt>
                <c:pt idx="298">
                  <c:v>0.299</c:v>
                </c:pt>
                <c:pt idx="299">
                  <c:v>0.3</c:v>
                </c:pt>
                <c:pt idx="300">
                  <c:v>0.301</c:v>
                </c:pt>
                <c:pt idx="301">
                  <c:v>0.302</c:v>
                </c:pt>
                <c:pt idx="302">
                  <c:v>0.303</c:v>
                </c:pt>
                <c:pt idx="303">
                  <c:v>0.304</c:v>
                </c:pt>
                <c:pt idx="304">
                  <c:v>0.305</c:v>
                </c:pt>
                <c:pt idx="305">
                  <c:v>0.306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</c:v>
                </c:pt>
                <c:pt idx="319">
                  <c:v>0.32</c:v>
                </c:pt>
                <c:pt idx="320">
                  <c:v>0.321</c:v>
                </c:pt>
                <c:pt idx="321">
                  <c:v>0.322</c:v>
                </c:pt>
                <c:pt idx="322">
                  <c:v>0.323</c:v>
                </c:pt>
                <c:pt idx="323">
                  <c:v>0.324</c:v>
                </c:pt>
                <c:pt idx="324">
                  <c:v>0.325</c:v>
                </c:pt>
                <c:pt idx="325">
                  <c:v>0.326</c:v>
                </c:pt>
                <c:pt idx="326">
                  <c:v>0.327</c:v>
                </c:pt>
                <c:pt idx="327">
                  <c:v>0.328</c:v>
                </c:pt>
                <c:pt idx="328">
                  <c:v>0.329</c:v>
                </c:pt>
                <c:pt idx="329">
                  <c:v>0.33</c:v>
                </c:pt>
                <c:pt idx="330">
                  <c:v>0.331</c:v>
                </c:pt>
                <c:pt idx="331">
                  <c:v>0.332</c:v>
                </c:pt>
                <c:pt idx="332">
                  <c:v>0.333</c:v>
                </c:pt>
                <c:pt idx="333">
                  <c:v>0.334</c:v>
                </c:pt>
                <c:pt idx="334">
                  <c:v>0.335</c:v>
                </c:pt>
                <c:pt idx="335">
                  <c:v>0.336</c:v>
                </c:pt>
                <c:pt idx="336">
                  <c:v>0.337</c:v>
                </c:pt>
                <c:pt idx="337">
                  <c:v>0.338</c:v>
                </c:pt>
                <c:pt idx="338">
                  <c:v>0.339</c:v>
                </c:pt>
                <c:pt idx="339">
                  <c:v>0.34</c:v>
                </c:pt>
                <c:pt idx="340">
                  <c:v>0.341</c:v>
                </c:pt>
                <c:pt idx="341">
                  <c:v>0.342</c:v>
                </c:pt>
                <c:pt idx="342">
                  <c:v>0.343</c:v>
                </c:pt>
                <c:pt idx="343">
                  <c:v>0.344</c:v>
                </c:pt>
                <c:pt idx="344">
                  <c:v>0.345</c:v>
                </c:pt>
                <c:pt idx="345">
                  <c:v>0.346</c:v>
                </c:pt>
                <c:pt idx="346">
                  <c:v>0.347</c:v>
                </c:pt>
                <c:pt idx="347">
                  <c:v>0.348</c:v>
                </c:pt>
                <c:pt idx="348">
                  <c:v>0.349</c:v>
                </c:pt>
                <c:pt idx="349">
                  <c:v>0.35</c:v>
                </c:pt>
                <c:pt idx="350">
                  <c:v>0.351</c:v>
                </c:pt>
                <c:pt idx="351">
                  <c:v>0.352</c:v>
                </c:pt>
                <c:pt idx="352">
                  <c:v>0.353</c:v>
                </c:pt>
                <c:pt idx="353">
                  <c:v>0.354</c:v>
                </c:pt>
                <c:pt idx="354">
                  <c:v>0.355</c:v>
                </c:pt>
                <c:pt idx="355">
                  <c:v>0.356</c:v>
                </c:pt>
                <c:pt idx="356">
                  <c:v>0.357</c:v>
                </c:pt>
                <c:pt idx="357">
                  <c:v>0.358</c:v>
                </c:pt>
                <c:pt idx="358">
                  <c:v>0.359</c:v>
                </c:pt>
                <c:pt idx="359">
                  <c:v>0.36</c:v>
                </c:pt>
                <c:pt idx="360">
                  <c:v>0.361</c:v>
                </c:pt>
                <c:pt idx="361">
                  <c:v>0.362</c:v>
                </c:pt>
                <c:pt idx="362">
                  <c:v>0.363</c:v>
                </c:pt>
                <c:pt idx="363">
                  <c:v>0.364</c:v>
                </c:pt>
                <c:pt idx="364">
                  <c:v>0.365</c:v>
                </c:pt>
                <c:pt idx="365">
                  <c:v>0.366</c:v>
                </c:pt>
                <c:pt idx="366">
                  <c:v>0.367</c:v>
                </c:pt>
                <c:pt idx="367">
                  <c:v>0.368</c:v>
                </c:pt>
                <c:pt idx="368">
                  <c:v>0.369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</c:v>
                </c:pt>
                <c:pt idx="381">
                  <c:v>0.382</c:v>
                </c:pt>
                <c:pt idx="382">
                  <c:v>0.383</c:v>
                </c:pt>
                <c:pt idx="383">
                  <c:v>0.384</c:v>
                </c:pt>
                <c:pt idx="384">
                  <c:v>0.385</c:v>
                </c:pt>
                <c:pt idx="385">
                  <c:v>0.386</c:v>
                </c:pt>
                <c:pt idx="386">
                  <c:v>0.387</c:v>
                </c:pt>
                <c:pt idx="387">
                  <c:v>0.388</c:v>
                </c:pt>
                <c:pt idx="388">
                  <c:v>0.389</c:v>
                </c:pt>
                <c:pt idx="389">
                  <c:v>0.39</c:v>
                </c:pt>
                <c:pt idx="390">
                  <c:v>0.391</c:v>
                </c:pt>
                <c:pt idx="391">
                  <c:v>0.392</c:v>
                </c:pt>
                <c:pt idx="392">
                  <c:v>0.393</c:v>
                </c:pt>
                <c:pt idx="393">
                  <c:v>0.394</c:v>
                </c:pt>
                <c:pt idx="394">
                  <c:v>0.395</c:v>
                </c:pt>
                <c:pt idx="395">
                  <c:v>0.396</c:v>
                </c:pt>
                <c:pt idx="396">
                  <c:v>0.397</c:v>
                </c:pt>
                <c:pt idx="397">
                  <c:v>0.398</c:v>
                </c:pt>
                <c:pt idx="398">
                  <c:v>0.399</c:v>
                </c:pt>
                <c:pt idx="399">
                  <c:v>0.4</c:v>
                </c:pt>
                <c:pt idx="400">
                  <c:v>0.401</c:v>
                </c:pt>
                <c:pt idx="401">
                  <c:v>0.402</c:v>
                </c:pt>
                <c:pt idx="402">
                  <c:v>0.403</c:v>
                </c:pt>
                <c:pt idx="403">
                  <c:v>0.404</c:v>
                </c:pt>
                <c:pt idx="404">
                  <c:v>0.405</c:v>
                </c:pt>
                <c:pt idx="405">
                  <c:v>0.406</c:v>
                </c:pt>
                <c:pt idx="406">
                  <c:v>0.407</c:v>
                </c:pt>
                <c:pt idx="407">
                  <c:v>0.408</c:v>
                </c:pt>
                <c:pt idx="408">
                  <c:v>0.409</c:v>
                </c:pt>
                <c:pt idx="409">
                  <c:v>0.41</c:v>
                </c:pt>
                <c:pt idx="410">
                  <c:v>0.411</c:v>
                </c:pt>
                <c:pt idx="411">
                  <c:v>0.412</c:v>
                </c:pt>
                <c:pt idx="412">
                  <c:v>0.413</c:v>
                </c:pt>
                <c:pt idx="413">
                  <c:v>0.414</c:v>
                </c:pt>
                <c:pt idx="414">
                  <c:v>0.415</c:v>
                </c:pt>
                <c:pt idx="415">
                  <c:v>0.416</c:v>
                </c:pt>
                <c:pt idx="416">
                  <c:v>0.417</c:v>
                </c:pt>
                <c:pt idx="417">
                  <c:v>0.418</c:v>
                </c:pt>
                <c:pt idx="418">
                  <c:v>0.419</c:v>
                </c:pt>
                <c:pt idx="419">
                  <c:v>0.42</c:v>
                </c:pt>
                <c:pt idx="420">
                  <c:v>0.421</c:v>
                </c:pt>
                <c:pt idx="421">
                  <c:v>0.422</c:v>
                </c:pt>
                <c:pt idx="422">
                  <c:v>0.423</c:v>
                </c:pt>
                <c:pt idx="423">
                  <c:v>0.424</c:v>
                </c:pt>
                <c:pt idx="424">
                  <c:v>0.425</c:v>
                </c:pt>
                <c:pt idx="425">
                  <c:v>0.426</c:v>
                </c:pt>
                <c:pt idx="426">
                  <c:v>0.427</c:v>
                </c:pt>
                <c:pt idx="427">
                  <c:v>0.428</c:v>
                </c:pt>
                <c:pt idx="428">
                  <c:v>0.429</c:v>
                </c:pt>
                <c:pt idx="429">
                  <c:v>0.43</c:v>
                </c:pt>
                <c:pt idx="430">
                  <c:v>0.431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</c:v>
                </c:pt>
                <c:pt idx="444">
                  <c:v>0.445</c:v>
                </c:pt>
                <c:pt idx="445">
                  <c:v>0.446</c:v>
                </c:pt>
                <c:pt idx="446">
                  <c:v>0.447</c:v>
                </c:pt>
                <c:pt idx="447">
                  <c:v>0.448</c:v>
                </c:pt>
                <c:pt idx="448">
                  <c:v>0.449</c:v>
                </c:pt>
                <c:pt idx="449">
                  <c:v>0.45</c:v>
                </c:pt>
                <c:pt idx="450">
                  <c:v>0.451</c:v>
                </c:pt>
                <c:pt idx="451">
                  <c:v>0.452</c:v>
                </c:pt>
                <c:pt idx="452">
                  <c:v>0.453</c:v>
                </c:pt>
                <c:pt idx="453">
                  <c:v>0.454</c:v>
                </c:pt>
                <c:pt idx="454">
                  <c:v>0.455</c:v>
                </c:pt>
                <c:pt idx="455">
                  <c:v>0.456</c:v>
                </c:pt>
                <c:pt idx="456">
                  <c:v>0.457</c:v>
                </c:pt>
                <c:pt idx="457">
                  <c:v>0.458</c:v>
                </c:pt>
                <c:pt idx="458">
                  <c:v>0.459</c:v>
                </c:pt>
                <c:pt idx="459">
                  <c:v>0.46</c:v>
                </c:pt>
                <c:pt idx="460">
                  <c:v>0.461</c:v>
                </c:pt>
                <c:pt idx="461">
                  <c:v>0.462</c:v>
                </c:pt>
                <c:pt idx="462">
                  <c:v>0.463</c:v>
                </c:pt>
                <c:pt idx="463">
                  <c:v>0.464</c:v>
                </c:pt>
                <c:pt idx="464">
                  <c:v>0.465</c:v>
                </c:pt>
                <c:pt idx="465">
                  <c:v>0.466</c:v>
                </c:pt>
                <c:pt idx="466">
                  <c:v>0.467</c:v>
                </c:pt>
                <c:pt idx="467">
                  <c:v>0.468</c:v>
                </c:pt>
                <c:pt idx="468">
                  <c:v>0.469</c:v>
                </c:pt>
                <c:pt idx="469">
                  <c:v>0.47</c:v>
                </c:pt>
                <c:pt idx="470">
                  <c:v>0.471</c:v>
                </c:pt>
                <c:pt idx="471">
                  <c:v>0.472</c:v>
                </c:pt>
                <c:pt idx="472">
                  <c:v>0.473</c:v>
                </c:pt>
                <c:pt idx="473">
                  <c:v>0.474</c:v>
                </c:pt>
                <c:pt idx="474">
                  <c:v>0.475</c:v>
                </c:pt>
                <c:pt idx="475">
                  <c:v>0.476</c:v>
                </c:pt>
                <c:pt idx="476">
                  <c:v>0.477</c:v>
                </c:pt>
                <c:pt idx="477">
                  <c:v>0.478</c:v>
                </c:pt>
                <c:pt idx="478">
                  <c:v>0.479</c:v>
                </c:pt>
                <c:pt idx="479">
                  <c:v>0.48</c:v>
                </c:pt>
                <c:pt idx="480">
                  <c:v>0.481</c:v>
                </c:pt>
                <c:pt idx="481">
                  <c:v>0.482</c:v>
                </c:pt>
                <c:pt idx="482">
                  <c:v>0.483</c:v>
                </c:pt>
                <c:pt idx="483">
                  <c:v>0.484</c:v>
                </c:pt>
                <c:pt idx="484">
                  <c:v>0.485</c:v>
                </c:pt>
                <c:pt idx="485">
                  <c:v>0.486</c:v>
                </c:pt>
                <c:pt idx="486">
                  <c:v>0.487</c:v>
                </c:pt>
                <c:pt idx="487">
                  <c:v>0.488</c:v>
                </c:pt>
                <c:pt idx="488">
                  <c:v>0.489</c:v>
                </c:pt>
                <c:pt idx="489">
                  <c:v>0.49</c:v>
                </c:pt>
                <c:pt idx="490">
                  <c:v>0.491</c:v>
                </c:pt>
                <c:pt idx="491">
                  <c:v>0.492</c:v>
                </c:pt>
                <c:pt idx="492">
                  <c:v>0.493</c:v>
                </c:pt>
                <c:pt idx="493">
                  <c:v>0.494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</c:v>
                </c:pt>
                <c:pt idx="506">
                  <c:v>0.507</c:v>
                </c:pt>
                <c:pt idx="507">
                  <c:v>0.508</c:v>
                </c:pt>
                <c:pt idx="508">
                  <c:v>0.509</c:v>
                </c:pt>
                <c:pt idx="509">
                  <c:v>0.51</c:v>
                </c:pt>
                <c:pt idx="510">
                  <c:v>0.511</c:v>
                </c:pt>
                <c:pt idx="511">
                  <c:v>0.512</c:v>
                </c:pt>
                <c:pt idx="512">
                  <c:v>0.513</c:v>
                </c:pt>
                <c:pt idx="513">
                  <c:v>0.514</c:v>
                </c:pt>
                <c:pt idx="514">
                  <c:v>0.515</c:v>
                </c:pt>
                <c:pt idx="515">
                  <c:v>0.516</c:v>
                </c:pt>
                <c:pt idx="516">
                  <c:v>0.517</c:v>
                </c:pt>
                <c:pt idx="517">
                  <c:v>0.518</c:v>
                </c:pt>
                <c:pt idx="518">
                  <c:v>0.519</c:v>
                </c:pt>
                <c:pt idx="519">
                  <c:v>0.52</c:v>
                </c:pt>
                <c:pt idx="520">
                  <c:v>0.521</c:v>
                </c:pt>
                <c:pt idx="521">
                  <c:v>0.522</c:v>
                </c:pt>
                <c:pt idx="522">
                  <c:v>0.523</c:v>
                </c:pt>
                <c:pt idx="523">
                  <c:v>0.524</c:v>
                </c:pt>
                <c:pt idx="524">
                  <c:v>0.525</c:v>
                </c:pt>
                <c:pt idx="525">
                  <c:v>0.526</c:v>
                </c:pt>
                <c:pt idx="526">
                  <c:v>0.527</c:v>
                </c:pt>
                <c:pt idx="527">
                  <c:v>0.528</c:v>
                </c:pt>
                <c:pt idx="528">
                  <c:v>0.529</c:v>
                </c:pt>
                <c:pt idx="529">
                  <c:v>0.53</c:v>
                </c:pt>
                <c:pt idx="530">
                  <c:v>0.531</c:v>
                </c:pt>
                <c:pt idx="531">
                  <c:v>0.532</c:v>
                </c:pt>
                <c:pt idx="532">
                  <c:v>0.533</c:v>
                </c:pt>
                <c:pt idx="533">
                  <c:v>0.534</c:v>
                </c:pt>
                <c:pt idx="534">
                  <c:v>0.535</c:v>
                </c:pt>
                <c:pt idx="535">
                  <c:v>0.536</c:v>
                </c:pt>
                <c:pt idx="536">
                  <c:v>0.537</c:v>
                </c:pt>
                <c:pt idx="537">
                  <c:v>0.538</c:v>
                </c:pt>
                <c:pt idx="538">
                  <c:v>0.539</c:v>
                </c:pt>
                <c:pt idx="539">
                  <c:v>0.54</c:v>
                </c:pt>
                <c:pt idx="540">
                  <c:v>0.541</c:v>
                </c:pt>
                <c:pt idx="541">
                  <c:v>0.542</c:v>
                </c:pt>
                <c:pt idx="542">
                  <c:v>0.543</c:v>
                </c:pt>
                <c:pt idx="543">
                  <c:v>0.544</c:v>
                </c:pt>
                <c:pt idx="544">
                  <c:v>0.545</c:v>
                </c:pt>
                <c:pt idx="545">
                  <c:v>0.546</c:v>
                </c:pt>
                <c:pt idx="546">
                  <c:v>0.547</c:v>
                </c:pt>
                <c:pt idx="547">
                  <c:v>0.548</c:v>
                </c:pt>
                <c:pt idx="548">
                  <c:v>0.549</c:v>
                </c:pt>
                <c:pt idx="549">
                  <c:v>0.55</c:v>
                </c:pt>
                <c:pt idx="550">
                  <c:v>0.551</c:v>
                </c:pt>
                <c:pt idx="551">
                  <c:v>0.552</c:v>
                </c:pt>
                <c:pt idx="552">
                  <c:v>0.553</c:v>
                </c:pt>
                <c:pt idx="553">
                  <c:v>0.554</c:v>
                </c:pt>
                <c:pt idx="554">
                  <c:v>0.555</c:v>
                </c:pt>
                <c:pt idx="555">
                  <c:v>0.556</c:v>
                </c:pt>
                <c:pt idx="556">
                  <c:v>0.557</c:v>
                </c:pt>
                <c:pt idx="557">
                  <c:v>0.558</c:v>
                </c:pt>
                <c:pt idx="558">
                  <c:v>0.559</c:v>
                </c:pt>
                <c:pt idx="559">
                  <c:v>0.56</c:v>
                </c:pt>
                <c:pt idx="560">
                  <c:v>0.561</c:v>
                </c:pt>
                <c:pt idx="561">
                  <c:v>0.562</c:v>
                </c:pt>
                <c:pt idx="562">
                  <c:v>0.563</c:v>
                </c:pt>
                <c:pt idx="563">
                  <c:v>0.564</c:v>
                </c:pt>
                <c:pt idx="564">
                  <c:v>0.565</c:v>
                </c:pt>
                <c:pt idx="565">
                  <c:v>0.566</c:v>
                </c:pt>
                <c:pt idx="566">
                  <c:v>0.567</c:v>
                </c:pt>
                <c:pt idx="567">
                  <c:v>0.568</c:v>
                </c:pt>
                <c:pt idx="568">
                  <c:v>0.569</c:v>
                </c:pt>
                <c:pt idx="569">
                  <c:v>0.57</c:v>
                </c:pt>
                <c:pt idx="570">
                  <c:v>0.571</c:v>
                </c:pt>
                <c:pt idx="571">
                  <c:v>0.572</c:v>
                </c:pt>
                <c:pt idx="572">
                  <c:v>0.573</c:v>
                </c:pt>
                <c:pt idx="573">
                  <c:v>0.574</c:v>
                </c:pt>
                <c:pt idx="574">
                  <c:v>0.575</c:v>
                </c:pt>
                <c:pt idx="575">
                  <c:v>0.576</c:v>
                </c:pt>
                <c:pt idx="576">
                  <c:v>0.577</c:v>
                </c:pt>
                <c:pt idx="577">
                  <c:v>0.578</c:v>
                </c:pt>
                <c:pt idx="578">
                  <c:v>0.579</c:v>
                </c:pt>
                <c:pt idx="579">
                  <c:v>0.58</c:v>
                </c:pt>
                <c:pt idx="580">
                  <c:v>0.581</c:v>
                </c:pt>
                <c:pt idx="581">
                  <c:v>0.582</c:v>
                </c:pt>
                <c:pt idx="582">
                  <c:v>0.583</c:v>
                </c:pt>
                <c:pt idx="583">
                  <c:v>0.584</c:v>
                </c:pt>
                <c:pt idx="584">
                  <c:v>0.585</c:v>
                </c:pt>
                <c:pt idx="585">
                  <c:v>0.586</c:v>
                </c:pt>
                <c:pt idx="586">
                  <c:v>0.587</c:v>
                </c:pt>
                <c:pt idx="587">
                  <c:v>0.588</c:v>
                </c:pt>
                <c:pt idx="588">
                  <c:v>0.589</c:v>
                </c:pt>
                <c:pt idx="589">
                  <c:v>0.59</c:v>
                </c:pt>
                <c:pt idx="590">
                  <c:v>0.591</c:v>
                </c:pt>
                <c:pt idx="591">
                  <c:v>0.592</c:v>
                </c:pt>
                <c:pt idx="592">
                  <c:v>0.593</c:v>
                </c:pt>
                <c:pt idx="593">
                  <c:v>0.594</c:v>
                </c:pt>
                <c:pt idx="594">
                  <c:v>0.595</c:v>
                </c:pt>
                <c:pt idx="595">
                  <c:v>0.596</c:v>
                </c:pt>
                <c:pt idx="596">
                  <c:v>0.597</c:v>
                </c:pt>
                <c:pt idx="597">
                  <c:v>0.598</c:v>
                </c:pt>
                <c:pt idx="598">
                  <c:v>0.599</c:v>
                </c:pt>
                <c:pt idx="599">
                  <c:v>0.6</c:v>
                </c:pt>
                <c:pt idx="600">
                  <c:v>0.601</c:v>
                </c:pt>
                <c:pt idx="601">
                  <c:v>0.602</c:v>
                </c:pt>
                <c:pt idx="602">
                  <c:v>0.603</c:v>
                </c:pt>
                <c:pt idx="603">
                  <c:v>0.604</c:v>
                </c:pt>
                <c:pt idx="604">
                  <c:v>0.605</c:v>
                </c:pt>
                <c:pt idx="605">
                  <c:v>0.606</c:v>
                </c:pt>
                <c:pt idx="606">
                  <c:v>0.607</c:v>
                </c:pt>
                <c:pt idx="607">
                  <c:v>0.608</c:v>
                </c:pt>
                <c:pt idx="608">
                  <c:v>0.609</c:v>
                </c:pt>
                <c:pt idx="609">
                  <c:v>0.61</c:v>
                </c:pt>
                <c:pt idx="610">
                  <c:v>0.611</c:v>
                </c:pt>
                <c:pt idx="611">
                  <c:v>0.612</c:v>
                </c:pt>
                <c:pt idx="612">
                  <c:v>0.613</c:v>
                </c:pt>
                <c:pt idx="613">
                  <c:v>0.614</c:v>
                </c:pt>
                <c:pt idx="614">
                  <c:v>0.615</c:v>
                </c:pt>
                <c:pt idx="615">
                  <c:v>0.616</c:v>
                </c:pt>
                <c:pt idx="616">
                  <c:v>0.617</c:v>
                </c:pt>
                <c:pt idx="617">
                  <c:v>0.618</c:v>
                </c:pt>
                <c:pt idx="618">
                  <c:v>0.619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</c:v>
                </c:pt>
                <c:pt idx="631">
                  <c:v>0.632</c:v>
                </c:pt>
                <c:pt idx="632">
                  <c:v>0.633</c:v>
                </c:pt>
                <c:pt idx="633">
                  <c:v>0.634</c:v>
                </c:pt>
                <c:pt idx="634">
                  <c:v>0.635</c:v>
                </c:pt>
                <c:pt idx="635">
                  <c:v>0.636</c:v>
                </c:pt>
                <c:pt idx="636">
                  <c:v>0.637</c:v>
                </c:pt>
                <c:pt idx="637">
                  <c:v>0.638</c:v>
                </c:pt>
                <c:pt idx="638">
                  <c:v>0.639</c:v>
                </c:pt>
                <c:pt idx="639">
                  <c:v>0.64</c:v>
                </c:pt>
                <c:pt idx="640">
                  <c:v>0.641</c:v>
                </c:pt>
                <c:pt idx="641">
                  <c:v>0.642</c:v>
                </c:pt>
                <c:pt idx="642">
                  <c:v>0.643</c:v>
                </c:pt>
                <c:pt idx="643">
                  <c:v>0.644</c:v>
                </c:pt>
                <c:pt idx="644">
                  <c:v>0.645</c:v>
                </c:pt>
                <c:pt idx="645">
                  <c:v>0.646</c:v>
                </c:pt>
                <c:pt idx="646">
                  <c:v>0.647</c:v>
                </c:pt>
                <c:pt idx="647">
                  <c:v>0.648</c:v>
                </c:pt>
                <c:pt idx="648">
                  <c:v>0.649</c:v>
                </c:pt>
                <c:pt idx="649">
                  <c:v>0.65</c:v>
                </c:pt>
                <c:pt idx="650">
                  <c:v>0.651</c:v>
                </c:pt>
                <c:pt idx="651">
                  <c:v>0.652</c:v>
                </c:pt>
                <c:pt idx="652">
                  <c:v>0.653</c:v>
                </c:pt>
                <c:pt idx="653">
                  <c:v>0.654</c:v>
                </c:pt>
                <c:pt idx="654">
                  <c:v>0.655</c:v>
                </c:pt>
                <c:pt idx="655">
                  <c:v>0.656</c:v>
                </c:pt>
                <c:pt idx="656">
                  <c:v>0.657</c:v>
                </c:pt>
                <c:pt idx="657">
                  <c:v>0.658</c:v>
                </c:pt>
                <c:pt idx="658">
                  <c:v>0.659</c:v>
                </c:pt>
                <c:pt idx="659">
                  <c:v>0.66</c:v>
                </c:pt>
                <c:pt idx="660">
                  <c:v>0.661</c:v>
                </c:pt>
                <c:pt idx="661">
                  <c:v>0.662</c:v>
                </c:pt>
                <c:pt idx="662">
                  <c:v>0.663</c:v>
                </c:pt>
                <c:pt idx="663">
                  <c:v>0.664</c:v>
                </c:pt>
                <c:pt idx="664">
                  <c:v>0.665</c:v>
                </c:pt>
                <c:pt idx="665">
                  <c:v>0.666</c:v>
                </c:pt>
                <c:pt idx="666">
                  <c:v>0.667</c:v>
                </c:pt>
                <c:pt idx="667">
                  <c:v>0.668</c:v>
                </c:pt>
                <c:pt idx="668">
                  <c:v>0.669</c:v>
                </c:pt>
                <c:pt idx="669">
                  <c:v>0.67</c:v>
                </c:pt>
                <c:pt idx="670">
                  <c:v>0.671</c:v>
                </c:pt>
                <c:pt idx="671">
                  <c:v>0.672</c:v>
                </c:pt>
                <c:pt idx="672">
                  <c:v>0.673</c:v>
                </c:pt>
                <c:pt idx="673">
                  <c:v>0.674</c:v>
                </c:pt>
                <c:pt idx="674">
                  <c:v>0.675</c:v>
                </c:pt>
                <c:pt idx="675">
                  <c:v>0.676</c:v>
                </c:pt>
                <c:pt idx="676">
                  <c:v>0.677</c:v>
                </c:pt>
                <c:pt idx="677">
                  <c:v>0.678</c:v>
                </c:pt>
                <c:pt idx="678">
                  <c:v>0.679</c:v>
                </c:pt>
                <c:pt idx="679">
                  <c:v>0.68</c:v>
                </c:pt>
                <c:pt idx="680">
                  <c:v>0.681</c:v>
                </c:pt>
                <c:pt idx="681">
                  <c:v>0.682</c:v>
                </c:pt>
                <c:pt idx="682">
                  <c:v>0.683</c:v>
                </c:pt>
                <c:pt idx="683">
                  <c:v>0.684</c:v>
                </c:pt>
                <c:pt idx="684">
                  <c:v>0.685</c:v>
                </c:pt>
                <c:pt idx="685">
                  <c:v>0.686</c:v>
                </c:pt>
                <c:pt idx="686">
                  <c:v>0.687</c:v>
                </c:pt>
                <c:pt idx="687">
                  <c:v>0.688</c:v>
                </c:pt>
                <c:pt idx="688">
                  <c:v>0.689</c:v>
                </c:pt>
                <c:pt idx="689">
                  <c:v>0.69</c:v>
                </c:pt>
                <c:pt idx="690">
                  <c:v>0.691</c:v>
                </c:pt>
                <c:pt idx="691">
                  <c:v>0.692</c:v>
                </c:pt>
                <c:pt idx="692">
                  <c:v>0.693</c:v>
                </c:pt>
                <c:pt idx="693">
                  <c:v>0.694</c:v>
                </c:pt>
                <c:pt idx="694">
                  <c:v>0.695</c:v>
                </c:pt>
                <c:pt idx="695">
                  <c:v>0.696</c:v>
                </c:pt>
                <c:pt idx="696">
                  <c:v>0.697</c:v>
                </c:pt>
                <c:pt idx="697">
                  <c:v>0.698</c:v>
                </c:pt>
                <c:pt idx="698">
                  <c:v>0.699</c:v>
                </c:pt>
                <c:pt idx="699">
                  <c:v>0.7</c:v>
                </c:pt>
                <c:pt idx="700">
                  <c:v>0.701</c:v>
                </c:pt>
                <c:pt idx="701">
                  <c:v>0.702</c:v>
                </c:pt>
                <c:pt idx="702">
                  <c:v>0.703</c:v>
                </c:pt>
                <c:pt idx="703">
                  <c:v>0.704</c:v>
                </c:pt>
                <c:pt idx="704">
                  <c:v>0.705</c:v>
                </c:pt>
                <c:pt idx="705">
                  <c:v>0.706</c:v>
                </c:pt>
                <c:pt idx="706">
                  <c:v>0.707</c:v>
                </c:pt>
                <c:pt idx="707">
                  <c:v>0.708</c:v>
                </c:pt>
                <c:pt idx="708">
                  <c:v>0.709</c:v>
                </c:pt>
                <c:pt idx="709">
                  <c:v>0.71</c:v>
                </c:pt>
                <c:pt idx="710">
                  <c:v>0.711</c:v>
                </c:pt>
                <c:pt idx="711">
                  <c:v>0.712</c:v>
                </c:pt>
                <c:pt idx="712">
                  <c:v>0.713</c:v>
                </c:pt>
                <c:pt idx="713">
                  <c:v>0.714</c:v>
                </c:pt>
                <c:pt idx="714">
                  <c:v>0.715</c:v>
                </c:pt>
                <c:pt idx="715">
                  <c:v>0.716</c:v>
                </c:pt>
                <c:pt idx="716">
                  <c:v>0.717</c:v>
                </c:pt>
                <c:pt idx="717">
                  <c:v>0.718</c:v>
                </c:pt>
                <c:pt idx="718">
                  <c:v>0.719</c:v>
                </c:pt>
                <c:pt idx="719">
                  <c:v>0.72</c:v>
                </c:pt>
                <c:pt idx="720">
                  <c:v>0.721</c:v>
                </c:pt>
                <c:pt idx="721">
                  <c:v>0.722</c:v>
                </c:pt>
                <c:pt idx="722">
                  <c:v>0.723</c:v>
                </c:pt>
                <c:pt idx="723">
                  <c:v>0.724</c:v>
                </c:pt>
                <c:pt idx="724">
                  <c:v>0.725</c:v>
                </c:pt>
                <c:pt idx="725">
                  <c:v>0.726</c:v>
                </c:pt>
                <c:pt idx="726">
                  <c:v>0.727</c:v>
                </c:pt>
                <c:pt idx="727">
                  <c:v>0.728</c:v>
                </c:pt>
                <c:pt idx="728">
                  <c:v>0.729</c:v>
                </c:pt>
                <c:pt idx="729">
                  <c:v>0.73</c:v>
                </c:pt>
                <c:pt idx="730">
                  <c:v>0.731</c:v>
                </c:pt>
                <c:pt idx="731">
                  <c:v>0.732</c:v>
                </c:pt>
                <c:pt idx="732">
                  <c:v>0.733</c:v>
                </c:pt>
                <c:pt idx="733">
                  <c:v>0.734</c:v>
                </c:pt>
                <c:pt idx="734">
                  <c:v>0.735</c:v>
                </c:pt>
                <c:pt idx="735">
                  <c:v>0.736</c:v>
                </c:pt>
                <c:pt idx="736">
                  <c:v>0.737</c:v>
                </c:pt>
                <c:pt idx="737">
                  <c:v>0.738</c:v>
                </c:pt>
                <c:pt idx="738">
                  <c:v>0.739</c:v>
                </c:pt>
                <c:pt idx="739">
                  <c:v>0.74</c:v>
                </c:pt>
                <c:pt idx="740">
                  <c:v>0.741</c:v>
                </c:pt>
                <c:pt idx="741">
                  <c:v>0.742</c:v>
                </c:pt>
                <c:pt idx="742">
                  <c:v>0.743</c:v>
                </c:pt>
                <c:pt idx="743">
                  <c:v>0.744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</c:v>
                </c:pt>
                <c:pt idx="756">
                  <c:v>0.757</c:v>
                </c:pt>
                <c:pt idx="757">
                  <c:v>0.758</c:v>
                </c:pt>
                <c:pt idx="758">
                  <c:v>0.759</c:v>
                </c:pt>
                <c:pt idx="759">
                  <c:v>0.76</c:v>
                </c:pt>
                <c:pt idx="760">
                  <c:v>0.761</c:v>
                </c:pt>
                <c:pt idx="761">
                  <c:v>0.762</c:v>
                </c:pt>
                <c:pt idx="762">
                  <c:v>0.763</c:v>
                </c:pt>
                <c:pt idx="763">
                  <c:v>0.764</c:v>
                </c:pt>
                <c:pt idx="764">
                  <c:v>0.765</c:v>
                </c:pt>
                <c:pt idx="765">
                  <c:v>0.766</c:v>
                </c:pt>
                <c:pt idx="766">
                  <c:v>0.767</c:v>
                </c:pt>
                <c:pt idx="767">
                  <c:v>0.768</c:v>
                </c:pt>
                <c:pt idx="768">
                  <c:v>0.769</c:v>
                </c:pt>
                <c:pt idx="769">
                  <c:v>0.77</c:v>
                </c:pt>
                <c:pt idx="770">
                  <c:v>0.771</c:v>
                </c:pt>
                <c:pt idx="771">
                  <c:v>0.772</c:v>
                </c:pt>
                <c:pt idx="772">
                  <c:v>0.773</c:v>
                </c:pt>
                <c:pt idx="773">
                  <c:v>0.774</c:v>
                </c:pt>
                <c:pt idx="774">
                  <c:v>0.775</c:v>
                </c:pt>
                <c:pt idx="775">
                  <c:v>0.776</c:v>
                </c:pt>
                <c:pt idx="776">
                  <c:v>0.777</c:v>
                </c:pt>
                <c:pt idx="777">
                  <c:v>0.778</c:v>
                </c:pt>
                <c:pt idx="778">
                  <c:v>0.779</c:v>
                </c:pt>
                <c:pt idx="779">
                  <c:v>0.78</c:v>
                </c:pt>
                <c:pt idx="780">
                  <c:v>0.781</c:v>
                </c:pt>
                <c:pt idx="781">
                  <c:v>0.782</c:v>
                </c:pt>
                <c:pt idx="782">
                  <c:v>0.783</c:v>
                </c:pt>
                <c:pt idx="783">
                  <c:v>0.784</c:v>
                </c:pt>
                <c:pt idx="784">
                  <c:v>0.785</c:v>
                </c:pt>
                <c:pt idx="785">
                  <c:v>0.786</c:v>
                </c:pt>
                <c:pt idx="786">
                  <c:v>0.787</c:v>
                </c:pt>
                <c:pt idx="787">
                  <c:v>0.788</c:v>
                </c:pt>
                <c:pt idx="788">
                  <c:v>0.789</c:v>
                </c:pt>
                <c:pt idx="789">
                  <c:v>0.79</c:v>
                </c:pt>
                <c:pt idx="790">
                  <c:v>0.791</c:v>
                </c:pt>
                <c:pt idx="791">
                  <c:v>0.792</c:v>
                </c:pt>
                <c:pt idx="792">
                  <c:v>0.793</c:v>
                </c:pt>
                <c:pt idx="793">
                  <c:v>0.794</c:v>
                </c:pt>
                <c:pt idx="794">
                  <c:v>0.795</c:v>
                </c:pt>
                <c:pt idx="795">
                  <c:v>0.796</c:v>
                </c:pt>
                <c:pt idx="796">
                  <c:v>0.797</c:v>
                </c:pt>
                <c:pt idx="797">
                  <c:v>0.798</c:v>
                </c:pt>
                <c:pt idx="798">
                  <c:v>0.799</c:v>
                </c:pt>
                <c:pt idx="799">
                  <c:v>0.8</c:v>
                </c:pt>
                <c:pt idx="800">
                  <c:v>0.801</c:v>
                </c:pt>
                <c:pt idx="801">
                  <c:v>0.802</c:v>
                </c:pt>
                <c:pt idx="802">
                  <c:v>0.803</c:v>
                </c:pt>
                <c:pt idx="803">
                  <c:v>0.804</c:v>
                </c:pt>
                <c:pt idx="804">
                  <c:v>0.805</c:v>
                </c:pt>
                <c:pt idx="805">
                  <c:v>0.806</c:v>
                </c:pt>
                <c:pt idx="806">
                  <c:v>0.807</c:v>
                </c:pt>
                <c:pt idx="807">
                  <c:v>0.808</c:v>
                </c:pt>
                <c:pt idx="808">
                  <c:v>0.809</c:v>
                </c:pt>
                <c:pt idx="809">
                  <c:v>0.81</c:v>
                </c:pt>
                <c:pt idx="810">
                  <c:v>0.811</c:v>
                </c:pt>
                <c:pt idx="811">
                  <c:v>0.812</c:v>
                </c:pt>
                <c:pt idx="812">
                  <c:v>0.813</c:v>
                </c:pt>
                <c:pt idx="813">
                  <c:v>0.814</c:v>
                </c:pt>
                <c:pt idx="814">
                  <c:v>0.815</c:v>
                </c:pt>
                <c:pt idx="815">
                  <c:v>0.816</c:v>
                </c:pt>
                <c:pt idx="816">
                  <c:v>0.817</c:v>
                </c:pt>
                <c:pt idx="817">
                  <c:v>0.818</c:v>
                </c:pt>
                <c:pt idx="818">
                  <c:v>0.819</c:v>
                </c:pt>
                <c:pt idx="819">
                  <c:v>0.82</c:v>
                </c:pt>
                <c:pt idx="820">
                  <c:v>0.821</c:v>
                </c:pt>
                <c:pt idx="821">
                  <c:v>0.822</c:v>
                </c:pt>
                <c:pt idx="822">
                  <c:v>0.823</c:v>
                </c:pt>
                <c:pt idx="823">
                  <c:v>0.824</c:v>
                </c:pt>
                <c:pt idx="824">
                  <c:v>0.825</c:v>
                </c:pt>
                <c:pt idx="825">
                  <c:v>0.826</c:v>
                </c:pt>
                <c:pt idx="826">
                  <c:v>0.827</c:v>
                </c:pt>
                <c:pt idx="827">
                  <c:v>0.828</c:v>
                </c:pt>
                <c:pt idx="828">
                  <c:v>0.829</c:v>
                </c:pt>
                <c:pt idx="829">
                  <c:v>0.83</c:v>
                </c:pt>
                <c:pt idx="830">
                  <c:v>0.831</c:v>
                </c:pt>
                <c:pt idx="831">
                  <c:v>0.832</c:v>
                </c:pt>
                <c:pt idx="832">
                  <c:v>0.833</c:v>
                </c:pt>
                <c:pt idx="833">
                  <c:v>0.834</c:v>
                </c:pt>
                <c:pt idx="834">
                  <c:v>0.835</c:v>
                </c:pt>
                <c:pt idx="835">
                  <c:v>0.836</c:v>
                </c:pt>
                <c:pt idx="836">
                  <c:v>0.837</c:v>
                </c:pt>
                <c:pt idx="837">
                  <c:v>0.838</c:v>
                </c:pt>
                <c:pt idx="838">
                  <c:v>0.839</c:v>
                </c:pt>
                <c:pt idx="839">
                  <c:v>0.84</c:v>
                </c:pt>
                <c:pt idx="840">
                  <c:v>0.841</c:v>
                </c:pt>
                <c:pt idx="841">
                  <c:v>0.842</c:v>
                </c:pt>
                <c:pt idx="842">
                  <c:v>0.843</c:v>
                </c:pt>
                <c:pt idx="843">
                  <c:v>0.844</c:v>
                </c:pt>
                <c:pt idx="844">
                  <c:v>0.845</c:v>
                </c:pt>
                <c:pt idx="845">
                  <c:v>0.846</c:v>
                </c:pt>
                <c:pt idx="846">
                  <c:v>0.847</c:v>
                </c:pt>
                <c:pt idx="847">
                  <c:v>0.848</c:v>
                </c:pt>
                <c:pt idx="848">
                  <c:v>0.849</c:v>
                </c:pt>
                <c:pt idx="849">
                  <c:v>0.85</c:v>
                </c:pt>
                <c:pt idx="850">
                  <c:v>0.851</c:v>
                </c:pt>
                <c:pt idx="851">
                  <c:v>0.852</c:v>
                </c:pt>
                <c:pt idx="852">
                  <c:v>0.853</c:v>
                </c:pt>
                <c:pt idx="853">
                  <c:v>0.854</c:v>
                </c:pt>
                <c:pt idx="854">
                  <c:v>0.855</c:v>
                </c:pt>
                <c:pt idx="855">
                  <c:v>0.856</c:v>
                </c:pt>
                <c:pt idx="856">
                  <c:v>0.857</c:v>
                </c:pt>
                <c:pt idx="857">
                  <c:v>0.858</c:v>
                </c:pt>
                <c:pt idx="858">
                  <c:v>0.859</c:v>
                </c:pt>
                <c:pt idx="859">
                  <c:v>0.86</c:v>
                </c:pt>
                <c:pt idx="860">
                  <c:v>0.861</c:v>
                </c:pt>
                <c:pt idx="861">
                  <c:v>0.862</c:v>
                </c:pt>
                <c:pt idx="862">
                  <c:v>0.863</c:v>
                </c:pt>
                <c:pt idx="863">
                  <c:v>0.864</c:v>
                </c:pt>
                <c:pt idx="864">
                  <c:v>0.865</c:v>
                </c:pt>
                <c:pt idx="865">
                  <c:v>0.866</c:v>
                </c:pt>
                <c:pt idx="866">
                  <c:v>0.867</c:v>
                </c:pt>
                <c:pt idx="867">
                  <c:v>0.868</c:v>
                </c:pt>
                <c:pt idx="868">
                  <c:v>0.869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</c:v>
                </c:pt>
                <c:pt idx="881">
                  <c:v>0.882</c:v>
                </c:pt>
                <c:pt idx="882">
                  <c:v>0.883</c:v>
                </c:pt>
                <c:pt idx="883">
                  <c:v>0.884</c:v>
                </c:pt>
                <c:pt idx="884">
                  <c:v>0.885</c:v>
                </c:pt>
                <c:pt idx="885">
                  <c:v>0.886</c:v>
                </c:pt>
                <c:pt idx="886">
                  <c:v>0.887</c:v>
                </c:pt>
                <c:pt idx="887">
                  <c:v>0.888</c:v>
                </c:pt>
                <c:pt idx="888">
                  <c:v>0.889</c:v>
                </c:pt>
                <c:pt idx="889">
                  <c:v>0.89</c:v>
                </c:pt>
                <c:pt idx="890">
                  <c:v>0.891</c:v>
                </c:pt>
                <c:pt idx="891">
                  <c:v>0.892</c:v>
                </c:pt>
                <c:pt idx="892">
                  <c:v>0.893</c:v>
                </c:pt>
                <c:pt idx="893">
                  <c:v>0.894</c:v>
                </c:pt>
                <c:pt idx="894">
                  <c:v>0.895</c:v>
                </c:pt>
                <c:pt idx="895">
                  <c:v>0.896</c:v>
                </c:pt>
                <c:pt idx="896">
                  <c:v>0.897</c:v>
                </c:pt>
                <c:pt idx="897">
                  <c:v>0.898</c:v>
                </c:pt>
                <c:pt idx="898">
                  <c:v>0.899</c:v>
                </c:pt>
                <c:pt idx="899">
                  <c:v>0.9</c:v>
                </c:pt>
                <c:pt idx="900">
                  <c:v>0.901</c:v>
                </c:pt>
                <c:pt idx="901">
                  <c:v>0.902</c:v>
                </c:pt>
                <c:pt idx="902">
                  <c:v>0.903</c:v>
                </c:pt>
                <c:pt idx="903">
                  <c:v>0.904</c:v>
                </c:pt>
                <c:pt idx="904">
                  <c:v>0.905</c:v>
                </c:pt>
                <c:pt idx="905">
                  <c:v>0.906</c:v>
                </c:pt>
                <c:pt idx="906">
                  <c:v>0.907</c:v>
                </c:pt>
                <c:pt idx="907">
                  <c:v>0.908</c:v>
                </c:pt>
                <c:pt idx="908">
                  <c:v>0.909</c:v>
                </c:pt>
                <c:pt idx="909">
                  <c:v>0.91</c:v>
                </c:pt>
                <c:pt idx="910">
                  <c:v>0.911</c:v>
                </c:pt>
                <c:pt idx="911">
                  <c:v>0.912</c:v>
                </c:pt>
                <c:pt idx="912">
                  <c:v>0.913</c:v>
                </c:pt>
                <c:pt idx="913">
                  <c:v>0.914</c:v>
                </c:pt>
                <c:pt idx="914">
                  <c:v>0.915</c:v>
                </c:pt>
                <c:pt idx="915">
                  <c:v>0.916</c:v>
                </c:pt>
                <c:pt idx="916">
                  <c:v>0.917</c:v>
                </c:pt>
                <c:pt idx="917">
                  <c:v>0.918</c:v>
                </c:pt>
                <c:pt idx="918">
                  <c:v>0.919</c:v>
                </c:pt>
                <c:pt idx="919">
                  <c:v>0.92</c:v>
                </c:pt>
                <c:pt idx="920">
                  <c:v>0.921</c:v>
                </c:pt>
                <c:pt idx="921">
                  <c:v>0.922</c:v>
                </c:pt>
                <c:pt idx="922">
                  <c:v>0.923</c:v>
                </c:pt>
                <c:pt idx="923">
                  <c:v>0.924</c:v>
                </c:pt>
                <c:pt idx="924">
                  <c:v>0.925</c:v>
                </c:pt>
                <c:pt idx="925">
                  <c:v>0.926</c:v>
                </c:pt>
                <c:pt idx="926">
                  <c:v>0.927</c:v>
                </c:pt>
                <c:pt idx="927">
                  <c:v>0.928</c:v>
                </c:pt>
                <c:pt idx="928">
                  <c:v>0.929</c:v>
                </c:pt>
                <c:pt idx="929">
                  <c:v>0.93</c:v>
                </c:pt>
                <c:pt idx="930">
                  <c:v>0.931</c:v>
                </c:pt>
                <c:pt idx="931">
                  <c:v>0.932</c:v>
                </c:pt>
                <c:pt idx="932">
                  <c:v>0.933</c:v>
                </c:pt>
                <c:pt idx="933">
                  <c:v>0.934</c:v>
                </c:pt>
                <c:pt idx="934">
                  <c:v>0.935</c:v>
                </c:pt>
                <c:pt idx="935">
                  <c:v>0.936</c:v>
                </c:pt>
                <c:pt idx="936">
                  <c:v>0.937</c:v>
                </c:pt>
                <c:pt idx="937">
                  <c:v>0.938</c:v>
                </c:pt>
                <c:pt idx="938">
                  <c:v>0.939</c:v>
                </c:pt>
                <c:pt idx="939">
                  <c:v>0.94</c:v>
                </c:pt>
                <c:pt idx="940">
                  <c:v>0.941</c:v>
                </c:pt>
                <c:pt idx="941">
                  <c:v>0.942</c:v>
                </c:pt>
                <c:pt idx="942">
                  <c:v>0.943</c:v>
                </c:pt>
                <c:pt idx="943">
                  <c:v>0.944</c:v>
                </c:pt>
                <c:pt idx="944">
                  <c:v>0.945</c:v>
                </c:pt>
                <c:pt idx="945">
                  <c:v>0.946</c:v>
                </c:pt>
                <c:pt idx="946">
                  <c:v>0.947</c:v>
                </c:pt>
                <c:pt idx="947">
                  <c:v>0.948</c:v>
                </c:pt>
                <c:pt idx="948">
                  <c:v>0.949</c:v>
                </c:pt>
                <c:pt idx="949">
                  <c:v>0.95</c:v>
                </c:pt>
                <c:pt idx="950">
                  <c:v>0.951</c:v>
                </c:pt>
                <c:pt idx="951">
                  <c:v>0.952</c:v>
                </c:pt>
                <c:pt idx="952">
                  <c:v>0.953</c:v>
                </c:pt>
                <c:pt idx="953">
                  <c:v>0.954</c:v>
                </c:pt>
                <c:pt idx="954">
                  <c:v>0.955</c:v>
                </c:pt>
                <c:pt idx="955">
                  <c:v>0.956</c:v>
                </c:pt>
                <c:pt idx="956">
                  <c:v>0.957</c:v>
                </c:pt>
                <c:pt idx="957">
                  <c:v>0.958</c:v>
                </c:pt>
                <c:pt idx="958">
                  <c:v>0.959</c:v>
                </c:pt>
                <c:pt idx="959">
                  <c:v>0.96</c:v>
                </c:pt>
                <c:pt idx="960">
                  <c:v>0.961</c:v>
                </c:pt>
                <c:pt idx="961">
                  <c:v>0.962</c:v>
                </c:pt>
                <c:pt idx="962">
                  <c:v>0.963</c:v>
                </c:pt>
                <c:pt idx="963">
                  <c:v>0.964</c:v>
                </c:pt>
                <c:pt idx="964">
                  <c:v>0.965</c:v>
                </c:pt>
                <c:pt idx="965">
                  <c:v>0.966</c:v>
                </c:pt>
                <c:pt idx="966">
                  <c:v>0.967</c:v>
                </c:pt>
                <c:pt idx="967">
                  <c:v>0.968</c:v>
                </c:pt>
                <c:pt idx="968">
                  <c:v>0.969</c:v>
                </c:pt>
                <c:pt idx="969">
                  <c:v>0.97</c:v>
                </c:pt>
                <c:pt idx="970">
                  <c:v>0.971</c:v>
                </c:pt>
                <c:pt idx="971">
                  <c:v>0.972</c:v>
                </c:pt>
                <c:pt idx="972">
                  <c:v>0.973</c:v>
                </c:pt>
                <c:pt idx="973">
                  <c:v>0.974</c:v>
                </c:pt>
                <c:pt idx="974">
                  <c:v>0.975</c:v>
                </c:pt>
                <c:pt idx="975">
                  <c:v>0.976</c:v>
                </c:pt>
                <c:pt idx="976">
                  <c:v>0.977</c:v>
                </c:pt>
                <c:pt idx="977">
                  <c:v>0.978</c:v>
                </c:pt>
                <c:pt idx="978">
                  <c:v>0.979</c:v>
                </c:pt>
                <c:pt idx="979">
                  <c:v>0.98</c:v>
                </c:pt>
                <c:pt idx="980">
                  <c:v>0.981</c:v>
                </c:pt>
                <c:pt idx="981">
                  <c:v>0.982</c:v>
                </c:pt>
                <c:pt idx="982">
                  <c:v>0.983</c:v>
                </c:pt>
                <c:pt idx="983">
                  <c:v>0.984</c:v>
                </c:pt>
                <c:pt idx="984">
                  <c:v>0.985</c:v>
                </c:pt>
                <c:pt idx="985">
                  <c:v>0.986</c:v>
                </c:pt>
                <c:pt idx="986">
                  <c:v>0.987</c:v>
                </c:pt>
                <c:pt idx="987">
                  <c:v>0.988</c:v>
                </c:pt>
                <c:pt idx="988">
                  <c:v>0.989</c:v>
                </c:pt>
                <c:pt idx="989">
                  <c:v>0.99</c:v>
                </c:pt>
                <c:pt idx="990">
                  <c:v>0.991</c:v>
                </c:pt>
                <c:pt idx="991">
                  <c:v>0.992</c:v>
                </c:pt>
                <c:pt idx="992">
                  <c:v>0.993</c:v>
                </c:pt>
                <c:pt idx="993">
                  <c:v>0.994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xVal>
          <c:yVal>
            <c:numRef>
              <c:f>aux_pareto!$D$2:$D$1001</c:f>
              <c:numCache>
                <c:formatCode>0.0%</c:formatCode>
                <c:ptCount val="1000"/>
                <c:pt idx="0">
                  <c:v>0.0133749913232844</c:v>
                </c:pt>
                <c:pt idx="1">
                  <c:v>0.0248422483937673</c:v>
                </c:pt>
                <c:pt idx="2">
                  <c:v>0.036014199908052</c:v>
                </c:pt>
                <c:pt idx="3">
                  <c:v>0.0471289925580988</c:v>
                </c:pt>
                <c:pt idx="4">
                  <c:v>0.0572151085602304</c:v>
                </c:pt>
                <c:pt idx="5">
                  <c:v>0.0666668983505964</c:v>
                </c:pt>
                <c:pt idx="6">
                  <c:v>0.0756055387213809</c:v>
                </c:pt>
                <c:pt idx="7">
                  <c:v>0.084065599353675</c:v>
                </c:pt>
                <c:pt idx="8">
                  <c:v>0.0916668137554773</c:v>
                </c:pt>
                <c:pt idx="9">
                  <c:v>0.0990860343335464</c:v>
                </c:pt>
                <c:pt idx="10">
                  <c:v>0.106162210272006</c:v>
                </c:pt>
                <c:pt idx="11">
                  <c:v>0.113096266410424</c:v>
                </c:pt>
                <c:pt idx="12">
                  <c:v>0.119985967270194</c:v>
                </c:pt>
                <c:pt idx="13">
                  <c:v>0.126875302313233</c:v>
                </c:pt>
                <c:pt idx="14">
                  <c:v>0.133669799368728</c:v>
                </c:pt>
                <c:pt idx="15">
                  <c:v>0.140421130049951</c:v>
                </c:pt>
                <c:pt idx="16">
                  <c:v>0.146793474597732</c:v>
                </c:pt>
                <c:pt idx="17">
                  <c:v>0.153084790739569</c:v>
                </c:pt>
                <c:pt idx="18">
                  <c:v>0.159077508974628</c:v>
                </c:pt>
                <c:pt idx="19">
                  <c:v>0.165053033823324</c:v>
                </c:pt>
                <c:pt idx="20">
                  <c:v>0.170979264867501</c:v>
                </c:pt>
                <c:pt idx="21">
                  <c:v>0.176865987704717</c:v>
                </c:pt>
                <c:pt idx="22">
                  <c:v>0.182749052374622</c:v>
                </c:pt>
                <c:pt idx="23">
                  <c:v>0.188625532343366</c:v>
                </c:pt>
                <c:pt idx="24">
                  <c:v>0.194442201276572</c:v>
                </c:pt>
                <c:pt idx="25">
                  <c:v>0.200180128158405</c:v>
                </c:pt>
                <c:pt idx="26">
                  <c:v>0.205901959104067</c:v>
                </c:pt>
                <c:pt idx="27">
                  <c:v>0.211400733297928</c:v>
                </c:pt>
                <c:pt idx="28">
                  <c:v>0.21689886731251</c:v>
                </c:pt>
                <c:pt idx="29">
                  <c:v>0.222213452782251</c:v>
                </c:pt>
                <c:pt idx="30">
                  <c:v>0.227408599089281</c:v>
                </c:pt>
                <c:pt idx="31">
                  <c:v>0.232566614998102</c:v>
                </c:pt>
                <c:pt idx="32">
                  <c:v>0.237654942819644</c:v>
                </c:pt>
                <c:pt idx="33">
                  <c:v>0.242648249745277</c:v>
                </c:pt>
                <c:pt idx="34">
                  <c:v>0.24751754479906</c:v>
                </c:pt>
                <c:pt idx="35">
                  <c:v>0.252268498140325</c:v>
                </c:pt>
                <c:pt idx="36">
                  <c:v>0.25698689379252</c:v>
                </c:pt>
                <c:pt idx="37">
                  <c:v>0.261589142632584</c:v>
                </c:pt>
                <c:pt idx="38">
                  <c:v>0.266119142668251</c:v>
                </c:pt>
                <c:pt idx="39">
                  <c:v>0.270637253660157</c:v>
                </c:pt>
                <c:pt idx="40">
                  <c:v>0.275150883397106</c:v>
                </c:pt>
                <c:pt idx="41">
                  <c:v>0.279554310843805</c:v>
                </c:pt>
                <c:pt idx="42">
                  <c:v>0.283944843250732</c:v>
                </c:pt>
                <c:pt idx="43">
                  <c:v>0.288282698048377</c:v>
                </c:pt>
                <c:pt idx="44">
                  <c:v>0.292533945734929</c:v>
                </c:pt>
                <c:pt idx="45">
                  <c:v>0.296718157505503</c:v>
                </c:pt>
                <c:pt idx="46">
                  <c:v>0.300876304833985</c:v>
                </c:pt>
                <c:pt idx="47">
                  <c:v>0.304957813557296</c:v>
                </c:pt>
                <c:pt idx="48">
                  <c:v>0.309023866523718</c:v>
                </c:pt>
                <c:pt idx="49">
                  <c:v>0.312998373853176</c:v>
                </c:pt>
                <c:pt idx="50">
                  <c:v>0.3169427927565</c:v>
                </c:pt>
                <c:pt idx="51">
                  <c:v>0.32086407375158</c:v>
                </c:pt>
                <c:pt idx="52">
                  <c:v>0.324727372794777</c:v>
                </c:pt>
                <c:pt idx="53">
                  <c:v>0.328552352535389</c:v>
                </c:pt>
                <c:pt idx="54">
                  <c:v>0.332345414766211</c:v>
                </c:pt>
                <c:pt idx="55">
                  <c:v>0.336084427575009</c:v>
                </c:pt>
                <c:pt idx="56">
                  <c:v>0.339804052097058</c:v>
                </c:pt>
                <c:pt idx="57">
                  <c:v>0.343513982475732</c:v>
                </c:pt>
                <c:pt idx="58">
                  <c:v>0.347175259229167</c:v>
                </c:pt>
                <c:pt idx="59">
                  <c:v>0.350812574986714</c:v>
                </c:pt>
                <c:pt idx="60">
                  <c:v>0.354449616381712</c:v>
                </c:pt>
                <c:pt idx="61">
                  <c:v>0.35803269980887</c:v>
                </c:pt>
                <c:pt idx="62">
                  <c:v>0.36161258233963</c:v>
                </c:pt>
                <c:pt idx="63">
                  <c:v>0.365170058595609</c:v>
                </c:pt>
                <c:pt idx="64">
                  <c:v>0.368699549871658</c:v>
                </c:pt>
                <c:pt idx="65">
                  <c:v>0.372201970709603</c:v>
                </c:pt>
                <c:pt idx="66">
                  <c:v>0.37569917865913</c:v>
                </c:pt>
                <c:pt idx="67">
                  <c:v>0.379142154278268</c:v>
                </c:pt>
                <c:pt idx="68">
                  <c:v>0.382565924519022</c:v>
                </c:pt>
                <c:pt idx="69">
                  <c:v>0.385974330457069</c:v>
                </c:pt>
                <c:pt idx="70">
                  <c:v>0.38936938408443</c:v>
                </c:pt>
                <c:pt idx="71">
                  <c:v>0.392660454305969</c:v>
                </c:pt>
                <c:pt idx="72">
                  <c:v>0.395741820086393</c:v>
                </c:pt>
                <c:pt idx="73">
                  <c:v>0.398761545747623</c:v>
                </c:pt>
                <c:pt idx="74">
                  <c:v>0.401779625233563</c:v>
                </c:pt>
                <c:pt idx="75">
                  <c:v>0.404792308922718</c:v>
                </c:pt>
                <c:pt idx="76">
                  <c:v>0.407784964145845</c:v>
                </c:pt>
                <c:pt idx="77">
                  <c:v>0.410766096141942</c:v>
                </c:pt>
                <c:pt idx="78">
                  <c:v>0.413744941783468</c:v>
                </c:pt>
                <c:pt idx="79">
                  <c:v>0.416712904377244</c:v>
                </c:pt>
                <c:pt idx="80">
                  <c:v>0.419644559660456</c:v>
                </c:pt>
                <c:pt idx="81">
                  <c:v>0.42257164223453</c:v>
                </c:pt>
                <c:pt idx="82">
                  <c:v>0.425467813294823</c:v>
                </c:pt>
                <c:pt idx="83">
                  <c:v>0.428360326187805</c:v>
                </c:pt>
                <c:pt idx="84">
                  <c:v>0.431251101451314</c:v>
                </c:pt>
                <c:pt idx="85">
                  <c:v>0.434123585878267</c:v>
                </c:pt>
                <c:pt idx="86">
                  <c:v>0.436993326679737</c:v>
                </c:pt>
                <c:pt idx="87">
                  <c:v>0.43985529387567</c:v>
                </c:pt>
                <c:pt idx="88">
                  <c:v>0.442695494976102</c:v>
                </c:pt>
                <c:pt idx="89">
                  <c:v>0.445532769542684</c:v>
                </c:pt>
                <c:pt idx="90">
                  <c:v>0.448368123571429</c:v>
                </c:pt>
                <c:pt idx="91">
                  <c:v>0.451193417640067</c:v>
                </c:pt>
                <c:pt idx="92">
                  <c:v>0.454003164497633</c:v>
                </c:pt>
                <c:pt idx="93">
                  <c:v>0.456801296673985</c:v>
                </c:pt>
                <c:pt idx="94">
                  <c:v>0.459580406380319</c:v>
                </c:pt>
                <c:pt idx="95">
                  <c:v>0.462347352680344</c:v>
                </c:pt>
                <c:pt idx="96">
                  <c:v>0.465100397944586</c:v>
                </c:pt>
                <c:pt idx="97">
                  <c:v>0.467836249822465</c:v>
                </c:pt>
                <c:pt idx="98">
                  <c:v>0.470551433055035</c:v>
                </c:pt>
                <c:pt idx="99">
                  <c:v>0.473238082582578</c:v>
                </c:pt>
                <c:pt idx="100">
                  <c:v>0.4759227201181</c:v>
                </c:pt>
                <c:pt idx="101">
                  <c:v>0.478604431119773</c:v>
                </c:pt>
                <c:pt idx="102">
                  <c:v>0.481284587400339</c:v>
                </c:pt>
                <c:pt idx="103">
                  <c:v>0.483927613282696</c:v>
                </c:pt>
                <c:pt idx="104">
                  <c:v>0.48654786707354</c:v>
                </c:pt>
                <c:pt idx="105">
                  <c:v>0.489158152358462</c:v>
                </c:pt>
                <c:pt idx="106">
                  <c:v>0.491747768998075</c:v>
                </c:pt>
                <c:pt idx="107">
                  <c:v>0.494323667510271</c:v>
                </c:pt>
                <c:pt idx="108">
                  <c:v>0.496899108751553</c:v>
                </c:pt>
                <c:pt idx="109">
                  <c:v>0.499468056745857</c:v>
                </c:pt>
                <c:pt idx="110">
                  <c:v>0.502021274620724</c:v>
                </c:pt>
                <c:pt idx="111">
                  <c:v>0.504571565961741</c:v>
                </c:pt>
                <c:pt idx="112">
                  <c:v>0.507109785350631</c:v>
                </c:pt>
                <c:pt idx="113">
                  <c:v>0.509629622448783</c:v>
                </c:pt>
                <c:pt idx="114">
                  <c:v>0.512117999308058</c:v>
                </c:pt>
                <c:pt idx="115">
                  <c:v>0.514590097322798</c:v>
                </c:pt>
                <c:pt idx="116">
                  <c:v>0.517061463704076</c:v>
                </c:pt>
                <c:pt idx="117">
                  <c:v>0.519524141937989</c:v>
                </c:pt>
                <c:pt idx="118">
                  <c:v>0.521932862204062</c:v>
                </c:pt>
                <c:pt idx="119">
                  <c:v>0.52433975338648</c:v>
                </c:pt>
                <c:pt idx="120">
                  <c:v>0.526744541122694</c:v>
                </c:pt>
                <c:pt idx="121">
                  <c:v>0.529147408321069</c:v>
                </c:pt>
                <c:pt idx="122">
                  <c:v>0.531536923208758</c:v>
                </c:pt>
                <c:pt idx="123">
                  <c:v>0.533920402120384</c:v>
                </c:pt>
                <c:pt idx="124">
                  <c:v>0.536297113422484</c:v>
                </c:pt>
                <c:pt idx="125">
                  <c:v>0.538653247533458</c:v>
                </c:pt>
                <c:pt idx="126">
                  <c:v>0.541008741465153</c:v>
                </c:pt>
                <c:pt idx="127">
                  <c:v>0.543350883086162</c:v>
                </c:pt>
                <c:pt idx="128">
                  <c:v>0.545669520982196</c:v>
                </c:pt>
                <c:pt idx="129">
                  <c:v>0.54792039132879</c:v>
                </c:pt>
                <c:pt idx="130">
                  <c:v>0.550139618528142</c:v>
                </c:pt>
                <c:pt idx="131">
                  <c:v>0.552280743855399</c:v>
                </c:pt>
                <c:pt idx="132">
                  <c:v>0.554410254501444</c:v>
                </c:pt>
                <c:pt idx="133">
                  <c:v>0.556524126482232</c:v>
                </c:pt>
                <c:pt idx="134">
                  <c:v>0.558634980474989</c:v>
                </c:pt>
                <c:pt idx="135">
                  <c:v>0.560743822475725</c:v>
                </c:pt>
                <c:pt idx="136">
                  <c:v>0.562842695970538</c:v>
                </c:pt>
                <c:pt idx="137">
                  <c:v>0.564936905302029</c:v>
                </c:pt>
                <c:pt idx="138">
                  <c:v>0.567029285549864</c:v>
                </c:pt>
                <c:pt idx="139">
                  <c:v>0.569119196534764</c:v>
                </c:pt>
                <c:pt idx="140">
                  <c:v>0.571172708754918</c:v>
                </c:pt>
                <c:pt idx="141">
                  <c:v>0.573203997608656</c:v>
                </c:pt>
                <c:pt idx="142">
                  <c:v>0.575232634291093</c:v>
                </c:pt>
                <c:pt idx="143">
                  <c:v>0.577257155535306</c:v>
                </c:pt>
                <c:pt idx="144">
                  <c:v>0.579250673811555</c:v>
                </c:pt>
                <c:pt idx="145">
                  <c:v>0.581235869757172</c:v>
                </c:pt>
                <c:pt idx="146">
                  <c:v>0.583196830344352</c:v>
                </c:pt>
                <c:pt idx="147">
                  <c:v>0.585154864397682</c:v>
                </c:pt>
                <c:pt idx="148">
                  <c:v>0.587098265781768</c:v>
                </c:pt>
                <c:pt idx="149">
                  <c:v>0.58902145579146</c:v>
                </c:pt>
                <c:pt idx="150">
                  <c:v>0.590939158550184</c:v>
                </c:pt>
                <c:pt idx="151">
                  <c:v>0.592854666408522</c:v>
                </c:pt>
                <c:pt idx="152">
                  <c:v>0.594765510103538</c:v>
                </c:pt>
                <c:pt idx="153">
                  <c:v>0.596669128918114</c:v>
                </c:pt>
                <c:pt idx="154">
                  <c:v>0.598564791218789</c:v>
                </c:pt>
                <c:pt idx="155">
                  <c:v>0.600456886806335</c:v>
                </c:pt>
                <c:pt idx="156">
                  <c:v>0.602334075362088</c:v>
                </c:pt>
                <c:pt idx="157">
                  <c:v>0.604205502304325</c:v>
                </c:pt>
                <c:pt idx="158">
                  <c:v>0.606070435999586</c:v>
                </c:pt>
                <c:pt idx="159">
                  <c:v>0.607934729515566</c:v>
                </c:pt>
                <c:pt idx="160">
                  <c:v>0.609796187951881</c:v>
                </c:pt>
                <c:pt idx="161">
                  <c:v>0.611632039217017</c:v>
                </c:pt>
                <c:pt idx="162">
                  <c:v>0.613466884486142</c:v>
                </c:pt>
                <c:pt idx="163">
                  <c:v>0.615293590333</c:v>
                </c:pt>
                <c:pt idx="164">
                  <c:v>0.617097249725798</c:v>
                </c:pt>
                <c:pt idx="165">
                  <c:v>0.61888792262464</c:v>
                </c:pt>
                <c:pt idx="166">
                  <c:v>0.620665060304431</c:v>
                </c:pt>
                <c:pt idx="167">
                  <c:v>0.6224375338209</c:v>
                </c:pt>
                <c:pt idx="168">
                  <c:v>0.624205160265682</c:v>
                </c:pt>
                <c:pt idx="169">
                  <c:v>0.625956507865929</c:v>
                </c:pt>
                <c:pt idx="170">
                  <c:v>0.627689838992168</c:v>
                </c:pt>
                <c:pt idx="171">
                  <c:v>0.629421341034751</c:v>
                </c:pt>
                <c:pt idx="172">
                  <c:v>0.631125589730866</c:v>
                </c:pt>
                <c:pt idx="173">
                  <c:v>0.632813102311532</c:v>
                </c:pt>
                <c:pt idx="174">
                  <c:v>0.634492292561565</c:v>
                </c:pt>
                <c:pt idx="175">
                  <c:v>0.636168373369384</c:v>
                </c:pt>
                <c:pt idx="176">
                  <c:v>0.637833754037817</c:v>
                </c:pt>
                <c:pt idx="177">
                  <c:v>0.639491178192348</c:v>
                </c:pt>
                <c:pt idx="178">
                  <c:v>0.64114402963774</c:v>
                </c:pt>
                <c:pt idx="179">
                  <c:v>0.64279450327438</c:v>
                </c:pt>
                <c:pt idx="180">
                  <c:v>0.644438940934957</c:v>
                </c:pt>
                <c:pt idx="181">
                  <c:v>0.646074141723072</c:v>
                </c:pt>
                <c:pt idx="182">
                  <c:v>0.647697636375792</c:v>
                </c:pt>
                <c:pt idx="183">
                  <c:v>0.649310430889126</c:v>
                </c:pt>
                <c:pt idx="184">
                  <c:v>0.650918378330773</c:v>
                </c:pt>
                <c:pt idx="185">
                  <c:v>0.652513888003562</c:v>
                </c:pt>
                <c:pt idx="186">
                  <c:v>0.654098697536966</c:v>
                </c:pt>
                <c:pt idx="187">
                  <c:v>0.655682318165993</c:v>
                </c:pt>
                <c:pt idx="188">
                  <c:v>0.657249934313034</c:v>
                </c:pt>
                <c:pt idx="189">
                  <c:v>0.658816453009881</c:v>
                </c:pt>
                <c:pt idx="190">
                  <c:v>0.660377941726676</c:v>
                </c:pt>
                <c:pt idx="191">
                  <c:v>0.66191738998542</c:v>
                </c:pt>
                <c:pt idx="192">
                  <c:v>0.663455923702337</c:v>
                </c:pt>
                <c:pt idx="193">
                  <c:v>0.664992445427232</c:v>
                </c:pt>
                <c:pt idx="194">
                  <c:v>0.666528235518665</c:v>
                </c:pt>
                <c:pt idx="195">
                  <c:v>0.668064025610098</c:v>
                </c:pt>
                <c:pt idx="196">
                  <c:v>0.6695994498848</c:v>
                </c:pt>
                <c:pt idx="197">
                  <c:v>0.671121796211365</c:v>
                </c:pt>
                <c:pt idx="198">
                  <c:v>0.672641947637542</c:v>
                </c:pt>
                <c:pt idx="199">
                  <c:v>0.674161275976075</c:v>
                </c:pt>
                <c:pt idx="200">
                  <c:v>0.675677129055662</c:v>
                </c:pt>
                <c:pt idx="201">
                  <c:v>0.677186214525723</c:v>
                </c:pt>
                <c:pt idx="202">
                  <c:v>0.678686063123324</c:v>
                </c:pt>
                <c:pt idx="203">
                  <c:v>0.680181613374333</c:v>
                </c:pt>
                <c:pt idx="204">
                  <c:v>0.681672682370387</c:v>
                </c:pt>
                <c:pt idx="205">
                  <c:v>0.68314893578883</c:v>
                </c:pt>
                <c:pt idx="206">
                  <c:v>0.684618147235199</c:v>
                </c:pt>
                <c:pt idx="207">
                  <c:v>0.686078396171655</c:v>
                </c:pt>
                <c:pt idx="208">
                  <c:v>0.687530505685844</c:v>
                </c:pt>
                <c:pt idx="209">
                  <c:v>0.688979414303636</c:v>
                </c:pt>
                <c:pt idx="210">
                  <c:v>0.690425304933396</c:v>
                </c:pt>
                <c:pt idx="211">
                  <c:v>0.691868634846038</c:v>
                </c:pt>
                <c:pt idx="212">
                  <c:v>0.693309221133196</c:v>
                </c:pt>
                <c:pt idx="213">
                  <c:v>0.694730144771057</c:v>
                </c:pt>
                <c:pt idx="214">
                  <c:v>0.696142746078285</c:v>
                </c:pt>
                <c:pt idx="215">
                  <c:v>0.697553152485126</c:v>
                </c:pt>
                <c:pt idx="216">
                  <c:v>0.698945085147046</c:v>
                </c:pt>
                <c:pt idx="217">
                  <c:v>0.700322293685537</c:v>
                </c:pt>
                <c:pt idx="218">
                  <c:v>0.701698496228018</c:v>
                </c:pt>
                <c:pt idx="219">
                  <c:v>0.703070674786457</c:v>
                </c:pt>
                <c:pt idx="220">
                  <c:v>0.704425934321082</c:v>
                </c:pt>
                <c:pt idx="221">
                  <c:v>0.705779730588781</c:v>
                </c:pt>
                <c:pt idx="222">
                  <c:v>0.707129685780805</c:v>
                </c:pt>
                <c:pt idx="223">
                  <c:v>0.708473330634216</c:v>
                </c:pt>
                <c:pt idx="224">
                  <c:v>0.709816609670896</c:v>
                </c:pt>
                <c:pt idx="225">
                  <c:v>0.711156596356996</c:v>
                </c:pt>
                <c:pt idx="226">
                  <c:v>0.712491735971409</c:v>
                </c:pt>
                <c:pt idx="227">
                  <c:v>0.713819650705382</c:v>
                </c:pt>
                <c:pt idx="228">
                  <c:v>0.715146010718248</c:v>
                </c:pt>
                <c:pt idx="229">
                  <c:v>0.716467706567792</c:v>
                </c:pt>
                <c:pt idx="230">
                  <c:v>0.717780256999058</c:v>
                </c:pt>
                <c:pt idx="231">
                  <c:v>0.719088691992099</c:v>
                </c:pt>
                <c:pt idx="232">
                  <c:v>0.720397035530957</c:v>
                </c:pt>
                <c:pt idx="233">
                  <c:v>0.721704647436352</c:v>
                </c:pt>
                <c:pt idx="234">
                  <c:v>0.72300640627405</c:v>
                </c:pt>
                <c:pt idx="235">
                  <c:v>0.724306518936458</c:v>
                </c:pt>
                <c:pt idx="236">
                  <c:v>0.725605625602855</c:v>
                </c:pt>
                <c:pt idx="237">
                  <c:v>0.726899336472468</c:v>
                </c:pt>
                <c:pt idx="238">
                  <c:v>0.728190578079146</c:v>
                </c:pt>
                <c:pt idx="239">
                  <c:v>0.729475783709761</c:v>
                </c:pt>
                <c:pt idx="240">
                  <c:v>0.730744161770744</c:v>
                </c:pt>
                <c:pt idx="241">
                  <c:v>0.732010070568792</c:v>
                </c:pt>
                <c:pt idx="242">
                  <c:v>0.733266925402744</c:v>
                </c:pt>
                <c:pt idx="243">
                  <c:v>0.73452158533631</c:v>
                </c:pt>
                <c:pt idx="244">
                  <c:v>0.735768563118522</c:v>
                </c:pt>
                <c:pt idx="245">
                  <c:v>0.736998164606006</c:v>
                </c:pt>
                <c:pt idx="246">
                  <c:v>0.738226028464017</c:v>
                </c:pt>
                <c:pt idx="247">
                  <c:v>0.739452246146739</c:v>
                </c:pt>
                <c:pt idx="248">
                  <c:v>0.740665477335505</c:v>
                </c:pt>
                <c:pt idx="249">
                  <c:v>0.741877428165712</c:v>
                </c:pt>
                <c:pt idx="250">
                  <c:v>0.743087458458081</c:v>
                </c:pt>
                <c:pt idx="251">
                  <c:v>0.744291452774387</c:v>
                </c:pt>
                <c:pt idx="252">
                  <c:v>0.745487307668425</c:v>
                </c:pt>
                <c:pt idx="253">
                  <c:v>0.746681516387172</c:v>
                </c:pt>
                <c:pt idx="254">
                  <c:v>0.747874902018275</c:v>
                </c:pt>
                <c:pt idx="255">
                  <c:v>0.749064629482067</c:v>
                </c:pt>
                <c:pt idx="256">
                  <c:v>0.750253533858214</c:v>
                </c:pt>
                <c:pt idx="257">
                  <c:v>0.751441340784167</c:v>
                </c:pt>
                <c:pt idx="258">
                  <c:v>0.752614972311789</c:v>
                </c:pt>
                <c:pt idx="259">
                  <c:v>0.753777446429113</c:v>
                </c:pt>
                <c:pt idx="260">
                  <c:v>0.754939097458791</c:v>
                </c:pt>
                <c:pt idx="261">
                  <c:v>0.756095627054233</c:v>
                </c:pt>
                <c:pt idx="262">
                  <c:v>0.757247675394719</c:v>
                </c:pt>
                <c:pt idx="263">
                  <c:v>0.758389206504186</c:v>
                </c:pt>
                <c:pt idx="264">
                  <c:v>0.759530371796921</c:v>
                </c:pt>
                <c:pt idx="265">
                  <c:v>0.760666507109603</c:v>
                </c:pt>
                <c:pt idx="266">
                  <c:v>0.761796514992039</c:v>
                </c:pt>
                <c:pt idx="267">
                  <c:v>0.762919206539853</c:v>
                </c:pt>
                <c:pt idx="268">
                  <c:v>0.764039520278914</c:v>
                </c:pt>
                <c:pt idx="269">
                  <c:v>0.765159742563792</c:v>
                </c:pt>
                <c:pt idx="270">
                  <c:v>0.766279873394488</c:v>
                </c:pt>
                <c:pt idx="271">
                  <c:v>0.767386651914498</c:v>
                </c:pt>
                <c:pt idx="272">
                  <c:v>0.76849086971739</c:v>
                </c:pt>
                <c:pt idx="273">
                  <c:v>0.769586216464552</c:v>
                </c:pt>
                <c:pt idx="274">
                  <c:v>0.770681288849166</c:v>
                </c:pt>
                <c:pt idx="275">
                  <c:v>0.7717757210545</c:v>
                </c:pt>
                <c:pt idx="276">
                  <c:v>0.772863202741943</c:v>
                </c:pt>
                <c:pt idx="277">
                  <c:v>0.773939435564905</c:v>
                </c:pt>
                <c:pt idx="278">
                  <c:v>0.775014113666758</c:v>
                </c:pt>
                <c:pt idx="279">
                  <c:v>0.776087328501688</c:v>
                </c:pt>
                <c:pt idx="280">
                  <c:v>0.777156427898392</c:v>
                </c:pt>
                <c:pt idx="281">
                  <c:v>0.778220222952495</c:v>
                </c:pt>
                <c:pt idx="282">
                  <c:v>0.779283652189867</c:v>
                </c:pt>
                <c:pt idx="283">
                  <c:v>0.780336106925305</c:v>
                </c:pt>
                <c:pt idx="284">
                  <c:v>0.781388287298195</c:v>
                </c:pt>
                <c:pt idx="285">
                  <c:v>0.782434980420117</c:v>
                </c:pt>
                <c:pt idx="286">
                  <c:v>0.783476917924536</c:v>
                </c:pt>
                <c:pt idx="287">
                  <c:v>0.784518581066406</c:v>
                </c:pt>
                <c:pt idx="288">
                  <c:v>0.785559695483179</c:v>
                </c:pt>
                <c:pt idx="289">
                  <c:v>0.786595688465717</c:v>
                </c:pt>
                <c:pt idx="290">
                  <c:v>0.787631407085706</c:v>
                </c:pt>
                <c:pt idx="291">
                  <c:v>0.788660815367083</c:v>
                </c:pt>
                <c:pt idx="292">
                  <c:v>0.789683364584752</c:v>
                </c:pt>
                <c:pt idx="293">
                  <c:v>0.790703627447852</c:v>
                </c:pt>
                <c:pt idx="294">
                  <c:v>0.791715933797049</c:v>
                </c:pt>
                <c:pt idx="295">
                  <c:v>0.792727874329516</c:v>
                </c:pt>
                <c:pt idx="296">
                  <c:v>0.793739266136885</c:v>
                </c:pt>
                <c:pt idx="297">
                  <c:v>0.794739134717225</c:v>
                </c:pt>
                <c:pt idx="298">
                  <c:v>0.795723913357405</c:v>
                </c:pt>
                <c:pt idx="299">
                  <c:v>0.796706954368113</c:v>
                </c:pt>
                <c:pt idx="300">
                  <c:v>0.797685879940595</c:v>
                </c:pt>
                <c:pt idx="301">
                  <c:v>0.798662153341777</c:v>
                </c:pt>
                <c:pt idx="302">
                  <c:v>0.799630195866509</c:v>
                </c:pt>
                <c:pt idx="303">
                  <c:v>0.800594763132295</c:v>
                </c:pt>
                <c:pt idx="304">
                  <c:v>0.801559056035533</c:v>
                </c:pt>
                <c:pt idx="305">
                  <c:v>0.80252069676747</c:v>
                </c:pt>
                <c:pt idx="306">
                  <c:v>0.803479959690655</c:v>
                </c:pt>
                <c:pt idx="307">
                  <c:v>0.804430900283207</c:v>
                </c:pt>
                <c:pt idx="308">
                  <c:v>0.805370409102911</c:v>
                </c:pt>
                <c:pt idx="309">
                  <c:v>0.806301595591982</c:v>
                </c:pt>
                <c:pt idx="310">
                  <c:v>0.807229123913742</c:v>
                </c:pt>
                <c:pt idx="311">
                  <c:v>0.808153542793287</c:v>
                </c:pt>
                <c:pt idx="312">
                  <c:v>0.809077230039371</c:v>
                </c:pt>
                <c:pt idx="313">
                  <c:v>0.809998905293432</c:v>
                </c:pt>
                <c:pt idx="314">
                  <c:v>0.810918568555473</c:v>
                </c:pt>
                <c:pt idx="315">
                  <c:v>0.811836036917128</c:v>
                </c:pt>
                <c:pt idx="316">
                  <c:v>0.812752316374406</c:v>
                </c:pt>
                <c:pt idx="317">
                  <c:v>0.813667772744039</c:v>
                </c:pt>
                <c:pt idx="318">
                  <c:v>0.814581034213285</c:v>
                </c:pt>
                <c:pt idx="319">
                  <c:v>0.8154939298658</c:v>
                </c:pt>
                <c:pt idx="320">
                  <c:v>0.816401704084079</c:v>
                </c:pt>
                <c:pt idx="321">
                  <c:v>0.817308380852165</c:v>
                </c:pt>
                <c:pt idx="322">
                  <c:v>0.818214417440972</c:v>
                </c:pt>
                <c:pt idx="323">
                  <c:v>0.819117344587564</c:v>
                </c:pt>
                <c:pt idx="324">
                  <c:v>0.820006370698373</c:v>
                </c:pt>
                <c:pt idx="325">
                  <c:v>0.820894848084086</c:v>
                </c:pt>
                <c:pt idx="326">
                  <c:v>0.82177253387623</c:v>
                </c:pt>
                <c:pt idx="327">
                  <c:v>0.822647658951257</c:v>
                </c:pt>
                <c:pt idx="328">
                  <c:v>0.823520131854983</c:v>
                </c:pt>
                <c:pt idx="329">
                  <c:v>0.824386111511732</c:v>
                </c:pt>
                <c:pt idx="330">
                  <c:v>0.825251999714298</c:v>
                </c:pt>
                <c:pt idx="331">
                  <c:v>0.826114778474649</c:v>
                </c:pt>
                <c:pt idx="332">
                  <c:v>0.826977374326635</c:v>
                </c:pt>
                <c:pt idx="333">
                  <c:v>0.827835580377847</c:v>
                </c:pt>
                <c:pt idx="334">
                  <c:v>0.828693420612328</c:v>
                </c:pt>
                <c:pt idx="335">
                  <c:v>0.829547511225316</c:v>
                </c:pt>
                <c:pt idx="336">
                  <c:v>0.830396937674981</c:v>
                </c:pt>
                <c:pt idx="337">
                  <c:v>0.831245998307915</c:v>
                </c:pt>
                <c:pt idx="338">
                  <c:v>0.832094967486667</c:v>
                </c:pt>
                <c:pt idx="339">
                  <c:v>0.832939821227193</c:v>
                </c:pt>
                <c:pt idx="340">
                  <c:v>0.833784126242623</c:v>
                </c:pt>
                <c:pt idx="341">
                  <c:v>0.834627608170408</c:v>
                </c:pt>
                <c:pt idx="342">
                  <c:v>0.835458286512603</c:v>
                </c:pt>
                <c:pt idx="343">
                  <c:v>0.836280276707434</c:v>
                </c:pt>
                <c:pt idx="344">
                  <c:v>0.83709879164332</c:v>
                </c:pt>
                <c:pt idx="345">
                  <c:v>0.837902399547412</c:v>
                </c:pt>
                <c:pt idx="346">
                  <c:v>0.838703629642752</c:v>
                </c:pt>
                <c:pt idx="347">
                  <c:v>0.839503670833716</c:v>
                </c:pt>
                <c:pt idx="348">
                  <c:v>0.840303437662132</c:v>
                </c:pt>
                <c:pt idx="349">
                  <c:v>0.841099363414871</c:v>
                </c:pt>
                <c:pt idx="350">
                  <c:v>0.84188477193659</c:v>
                </c:pt>
                <c:pt idx="351">
                  <c:v>0.842669448824846</c:v>
                </c:pt>
                <c:pt idx="352">
                  <c:v>0.843453576988007</c:v>
                </c:pt>
                <c:pt idx="353">
                  <c:v>0.844236333338425</c:v>
                </c:pt>
                <c:pt idx="354">
                  <c:v>0.845018083692833</c:v>
                </c:pt>
                <c:pt idx="355">
                  <c:v>0.845796998967574</c:v>
                </c:pt>
                <c:pt idx="356">
                  <c:v>0.846567683365866</c:v>
                </c:pt>
                <c:pt idx="357">
                  <c:v>0.847336904497233</c:v>
                </c:pt>
                <c:pt idx="358">
                  <c:v>0.848102924732202</c:v>
                </c:pt>
                <c:pt idx="359">
                  <c:v>0.848868213333709</c:v>
                </c:pt>
                <c:pt idx="360">
                  <c:v>0.849633136118486</c:v>
                </c:pt>
                <c:pt idx="361">
                  <c:v>0.850394400735951</c:v>
                </c:pt>
                <c:pt idx="362">
                  <c:v>0.851149446468987</c:v>
                </c:pt>
                <c:pt idx="363">
                  <c:v>0.85190376056856</c:v>
                </c:pt>
                <c:pt idx="364">
                  <c:v>0.852656154130296</c:v>
                </c:pt>
                <c:pt idx="365">
                  <c:v>0.85340754169602</c:v>
                </c:pt>
                <c:pt idx="366">
                  <c:v>0.854157283086455</c:v>
                </c:pt>
                <c:pt idx="367">
                  <c:v>0.854896598700052</c:v>
                </c:pt>
                <c:pt idx="368">
                  <c:v>0.855630427062683</c:v>
                </c:pt>
                <c:pt idx="369">
                  <c:v>0.856363157975121</c:v>
                </c:pt>
                <c:pt idx="370">
                  <c:v>0.857089121278033</c:v>
                </c:pt>
                <c:pt idx="371">
                  <c:v>0.857812706772192</c:v>
                </c:pt>
                <c:pt idx="372">
                  <c:v>0.858531079377933</c:v>
                </c:pt>
                <c:pt idx="373">
                  <c:v>0.85924835453348</c:v>
                </c:pt>
                <c:pt idx="374">
                  <c:v>0.859963251880276</c:v>
                </c:pt>
                <c:pt idx="375">
                  <c:v>0.860674216697211</c:v>
                </c:pt>
                <c:pt idx="376">
                  <c:v>0.861383078067943</c:v>
                </c:pt>
                <c:pt idx="377">
                  <c:v>0.862091207805212</c:v>
                </c:pt>
                <c:pt idx="378">
                  <c:v>0.862798880271568</c:v>
                </c:pt>
                <c:pt idx="379">
                  <c:v>0.86350609546701</c:v>
                </c:pt>
                <c:pt idx="380">
                  <c:v>0.864209286678409</c:v>
                </c:pt>
                <c:pt idx="381">
                  <c:v>0.86491220352726</c:v>
                </c:pt>
                <c:pt idx="382">
                  <c:v>0.865613657109187</c:v>
                </c:pt>
                <c:pt idx="383">
                  <c:v>0.866313190153275</c:v>
                </c:pt>
                <c:pt idx="384">
                  <c:v>0.867010071026062</c:v>
                </c:pt>
                <c:pt idx="385">
                  <c:v>0.867706768990484</c:v>
                </c:pt>
                <c:pt idx="386">
                  <c:v>0.868399442970864</c:v>
                </c:pt>
                <c:pt idx="387">
                  <c:v>0.869088092967201</c:v>
                </c:pt>
                <c:pt idx="388">
                  <c:v>0.869776651509356</c:v>
                </c:pt>
                <c:pt idx="389">
                  <c:v>0.870461460430016</c:v>
                </c:pt>
                <c:pt idx="390">
                  <c:v>0.871143342816828</c:v>
                </c:pt>
                <c:pt idx="391">
                  <c:v>0.871816902873006</c:v>
                </c:pt>
                <c:pt idx="392">
                  <c:v>0.872487719303701</c:v>
                </c:pt>
                <c:pt idx="393">
                  <c:v>0.873155151929633</c:v>
                </c:pt>
                <c:pt idx="394">
                  <c:v>0.87381846911734</c:v>
                </c:pt>
                <c:pt idx="395">
                  <c:v>0.874479957221392</c:v>
                </c:pt>
                <c:pt idx="396">
                  <c:v>0.875138976062508</c:v>
                </c:pt>
                <c:pt idx="397">
                  <c:v>0.875793788011217</c:v>
                </c:pt>
                <c:pt idx="398">
                  <c:v>0.876447045238818</c:v>
                </c:pt>
                <c:pt idx="399">
                  <c:v>0.877097558840936</c:v>
                </c:pt>
                <c:pt idx="400">
                  <c:v>0.877742402283721</c:v>
                </c:pt>
                <c:pt idx="401">
                  <c:v>0.878385965367947</c:v>
                </c:pt>
                <c:pt idx="402">
                  <c:v>0.879029436997991</c:v>
                </c:pt>
                <c:pt idx="403">
                  <c:v>0.879672817173852</c:v>
                </c:pt>
                <c:pt idx="404">
                  <c:v>0.880305497210328</c:v>
                </c:pt>
                <c:pt idx="405">
                  <c:v>0.880934427625309</c:v>
                </c:pt>
                <c:pt idx="406">
                  <c:v>0.881563175131925</c:v>
                </c:pt>
                <c:pt idx="407">
                  <c:v>0.882190367917434</c:v>
                </c:pt>
                <c:pt idx="408">
                  <c:v>0.882808781101396</c:v>
                </c:pt>
                <c:pt idx="409">
                  <c:v>0.883423170301315</c:v>
                </c:pt>
                <c:pt idx="410">
                  <c:v>0.884034175696472</c:v>
                </c:pt>
                <c:pt idx="411">
                  <c:v>0.884643352007973</c:v>
                </c:pt>
                <c:pt idx="412">
                  <c:v>0.885248961606345</c:v>
                </c:pt>
                <c:pt idx="413">
                  <c:v>0.885850821583224</c:v>
                </c:pt>
                <c:pt idx="414">
                  <c:v>0.886452132835006</c:v>
                </c:pt>
                <c:pt idx="415">
                  <c:v>0.887051980819863</c:v>
                </c:pt>
                <c:pt idx="416">
                  <c:v>0.887650639900344</c:v>
                </c:pt>
                <c:pt idx="417">
                  <c:v>0.888248475893181</c:v>
                </c:pt>
                <c:pt idx="418">
                  <c:v>0.888846128977651</c:v>
                </c:pt>
                <c:pt idx="419">
                  <c:v>0.889427503217587</c:v>
                </c:pt>
                <c:pt idx="420">
                  <c:v>0.89000713982805</c:v>
                </c:pt>
                <c:pt idx="421">
                  <c:v>0.890585770442502</c:v>
                </c:pt>
                <c:pt idx="422">
                  <c:v>0.891160194164547</c:v>
                </c:pt>
                <c:pt idx="423">
                  <c:v>0.891734617886591</c:v>
                </c:pt>
                <c:pt idx="424">
                  <c:v>0.892308767246087</c:v>
                </c:pt>
                <c:pt idx="425">
                  <c:v>0.892881910609573</c:v>
                </c:pt>
                <c:pt idx="426">
                  <c:v>0.893453865068682</c:v>
                </c:pt>
                <c:pt idx="427">
                  <c:v>0.894022252814663</c:v>
                </c:pt>
                <c:pt idx="428">
                  <c:v>0.894589451656268</c:v>
                </c:pt>
                <c:pt idx="429">
                  <c:v>0.895156284681141</c:v>
                </c:pt>
                <c:pt idx="430">
                  <c:v>0.895715801371392</c:v>
                </c:pt>
                <c:pt idx="431">
                  <c:v>0.896274769336547</c:v>
                </c:pt>
                <c:pt idx="432">
                  <c:v>0.896830993676218</c:v>
                </c:pt>
                <c:pt idx="433">
                  <c:v>0.897386212019878</c:v>
                </c:pt>
                <c:pt idx="434">
                  <c:v>0.897936766200217</c:v>
                </c:pt>
                <c:pt idx="435">
                  <c:v>0.89847726042045</c:v>
                </c:pt>
                <c:pt idx="436">
                  <c:v>0.899016199919575</c:v>
                </c:pt>
                <c:pt idx="437">
                  <c:v>0.899553859060142</c:v>
                </c:pt>
                <c:pt idx="438">
                  <c:v>0.900091152383977</c:v>
                </c:pt>
                <c:pt idx="439">
                  <c:v>0.90062734825762</c:v>
                </c:pt>
                <c:pt idx="440">
                  <c:v>0.901158331242843</c:v>
                </c:pt>
                <c:pt idx="441">
                  <c:v>0.901688582594605</c:v>
                </c:pt>
                <c:pt idx="442">
                  <c:v>0.902217553587807</c:v>
                </c:pt>
                <c:pt idx="443">
                  <c:v>0.902743232230429</c:v>
                </c:pt>
                <c:pt idx="444">
                  <c:v>0.903267356151945</c:v>
                </c:pt>
                <c:pt idx="445">
                  <c:v>0.903788553539611</c:v>
                </c:pt>
                <c:pt idx="446">
                  <c:v>0.904297861883516</c:v>
                </c:pt>
                <c:pt idx="447">
                  <c:v>0.904806712956506</c:v>
                </c:pt>
                <c:pt idx="448">
                  <c:v>0.905313094766562</c:v>
                </c:pt>
                <c:pt idx="449">
                  <c:v>0.905817281676231</c:v>
                </c:pt>
                <c:pt idx="450">
                  <c:v>0.906308756454493</c:v>
                </c:pt>
                <c:pt idx="451">
                  <c:v>0.906799316690928</c:v>
                </c:pt>
                <c:pt idx="452">
                  <c:v>0.907288962385535</c:v>
                </c:pt>
                <c:pt idx="453">
                  <c:v>0.907778059355045</c:v>
                </c:pt>
                <c:pt idx="454">
                  <c:v>0.90826038871503</c:v>
                </c:pt>
                <c:pt idx="455">
                  <c:v>0.908737871003327</c:v>
                </c:pt>
                <c:pt idx="456">
                  <c:v>0.909213341299603</c:v>
                </c:pt>
                <c:pt idx="457">
                  <c:v>0.909682409803084</c:v>
                </c:pt>
                <c:pt idx="458">
                  <c:v>0.910151203944017</c:v>
                </c:pt>
                <c:pt idx="459">
                  <c:v>0.910617986092928</c:v>
                </c:pt>
                <c:pt idx="460">
                  <c:v>0.911083945154195</c:v>
                </c:pt>
                <c:pt idx="461">
                  <c:v>0.911546977681613</c:v>
                </c:pt>
                <c:pt idx="462">
                  <c:v>0.912009278575568</c:v>
                </c:pt>
                <c:pt idx="463">
                  <c:v>0.912464446043267</c:v>
                </c:pt>
                <c:pt idx="464">
                  <c:v>0.912914217714181</c:v>
                </c:pt>
                <c:pt idx="465">
                  <c:v>0.913360056855236</c:v>
                </c:pt>
                <c:pt idx="466">
                  <c:v>0.913804249821001</c:v>
                </c:pt>
                <c:pt idx="467">
                  <c:v>0.914247528244939</c:v>
                </c:pt>
                <c:pt idx="468">
                  <c:v>0.9146896177645</c:v>
                </c:pt>
                <c:pt idx="469">
                  <c:v>0.915129695292039</c:v>
                </c:pt>
                <c:pt idx="470">
                  <c:v>0.915567029194096</c:v>
                </c:pt>
                <c:pt idx="471">
                  <c:v>0.916003174191776</c:v>
                </c:pt>
                <c:pt idx="472">
                  <c:v>0.916439319189456</c:v>
                </c:pt>
                <c:pt idx="473">
                  <c:v>0.916872446199105</c:v>
                </c:pt>
                <c:pt idx="474">
                  <c:v>0.917305298846205</c:v>
                </c:pt>
                <c:pt idx="475">
                  <c:v>0.917731932608876</c:v>
                </c:pt>
                <c:pt idx="476">
                  <c:v>0.918158109100633</c:v>
                </c:pt>
                <c:pt idx="477">
                  <c:v>0.91858163342109</c:v>
                </c:pt>
                <c:pt idx="478">
                  <c:v>0.919004791924815</c:v>
                </c:pt>
                <c:pt idx="479">
                  <c:v>0.91942694443253</c:v>
                </c:pt>
                <c:pt idx="480">
                  <c:v>0.919847725127503</c:v>
                </c:pt>
                <c:pt idx="481">
                  <c:v>0.920266768193004</c:v>
                </c:pt>
                <c:pt idx="482">
                  <c:v>0.920685445441773</c:v>
                </c:pt>
                <c:pt idx="483">
                  <c:v>0.921102659423618</c:v>
                </c:pt>
                <c:pt idx="484">
                  <c:v>0.921518958863634</c:v>
                </c:pt>
                <c:pt idx="485">
                  <c:v>0.921934069399275</c:v>
                </c:pt>
                <c:pt idx="486">
                  <c:v>0.922347808122174</c:v>
                </c:pt>
                <c:pt idx="487">
                  <c:v>0.922761455390891</c:v>
                </c:pt>
                <c:pt idx="488">
                  <c:v>0.923174645388693</c:v>
                </c:pt>
                <c:pt idx="489">
                  <c:v>0.923586920844667</c:v>
                </c:pt>
                <c:pt idx="490">
                  <c:v>0.923997458671169</c:v>
                </c:pt>
                <c:pt idx="491">
                  <c:v>0.924402875063435</c:v>
                </c:pt>
                <c:pt idx="492">
                  <c:v>0.924800152033434</c:v>
                </c:pt>
                <c:pt idx="493">
                  <c:v>0.925193222111024</c:v>
                </c:pt>
                <c:pt idx="494">
                  <c:v>0.925581810933659</c:v>
                </c:pt>
                <c:pt idx="495">
                  <c:v>0.925969668122831</c:v>
                </c:pt>
                <c:pt idx="496">
                  <c:v>0.926356976586906</c:v>
                </c:pt>
                <c:pt idx="497">
                  <c:v>0.926744193596799</c:v>
                </c:pt>
                <c:pt idx="498">
                  <c:v>0.927127660985198</c:v>
                </c:pt>
                <c:pt idx="499">
                  <c:v>0.927509024927392</c:v>
                </c:pt>
                <c:pt idx="500">
                  <c:v>0.92788883414848</c:v>
                </c:pt>
                <c:pt idx="501">
                  <c:v>0.928266905740095</c:v>
                </c:pt>
                <c:pt idx="502">
                  <c:v>0.928644977331709</c:v>
                </c:pt>
                <c:pt idx="503">
                  <c:v>0.929022866014958</c:v>
                </c:pt>
                <c:pt idx="504">
                  <c:v>0.929399108522917</c:v>
                </c:pt>
                <c:pt idx="505">
                  <c:v>0.929773887763952</c:v>
                </c:pt>
                <c:pt idx="506">
                  <c:v>0.9301464721046</c:v>
                </c:pt>
                <c:pt idx="507">
                  <c:v>0.930518964991065</c:v>
                </c:pt>
                <c:pt idx="508">
                  <c:v>0.930889720248057</c:v>
                </c:pt>
                <c:pt idx="509">
                  <c:v>0.931256085704275</c:v>
                </c:pt>
                <c:pt idx="510">
                  <c:v>0.931616232276065</c:v>
                </c:pt>
                <c:pt idx="511">
                  <c:v>0.931976195939489</c:v>
                </c:pt>
                <c:pt idx="512">
                  <c:v>0.932335885240365</c:v>
                </c:pt>
                <c:pt idx="513">
                  <c:v>0.932693654003402</c:v>
                </c:pt>
                <c:pt idx="514">
                  <c:v>0.933050874041343</c:v>
                </c:pt>
                <c:pt idx="515">
                  <c:v>0.933406539358176</c:v>
                </c:pt>
                <c:pt idx="516">
                  <c:v>0.933759461049526</c:v>
                </c:pt>
                <c:pt idx="517">
                  <c:v>0.934111559653231</c:v>
                </c:pt>
                <c:pt idx="518">
                  <c:v>0.934462560806743</c:v>
                </c:pt>
                <c:pt idx="519">
                  <c:v>0.934812464510061</c:v>
                </c:pt>
                <c:pt idx="520">
                  <c:v>0.935160904946455</c:v>
                </c:pt>
                <c:pt idx="521">
                  <c:v>0.935507699207559</c:v>
                </c:pt>
                <c:pt idx="522">
                  <c:v>0.935853944743566</c:v>
                </c:pt>
                <c:pt idx="523">
                  <c:v>0.93619680647481</c:v>
                </c:pt>
                <c:pt idx="524">
                  <c:v>0.936538113484947</c:v>
                </c:pt>
                <c:pt idx="525">
                  <c:v>0.936879420495084</c:v>
                </c:pt>
                <c:pt idx="526">
                  <c:v>0.937218441150651</c:v>
                </c:pt>
                <c:pt idx="527">
                  <c:v>0.937555998539294</c:v>
                </c:pt>
                <c:pt idx="528">
                  <c:v>0.937890172123174</c:v>
                </c:pt>
                <c:pt idx="529">
                  <c:v>0.938224254252871</c:v>
                </c:pt>
                <c:pt idx="530">
                  <c:v>0.93855641584473</c:v>
                </c:pt>
                <c:pt idx="531">
                  <c:v>0.938888394528223</c:v>
                </c:pt>
                <c:pt idx="532">
                  <c:v>0.939219641578254</c:v>
                </c:pt>
                <c:pt idx="533">
                  <c:v>0.939550248449006</c:v>
                </c:pt>
                <c:pt idx="534">
                  <c:v>0.939879026236102</c:v>
                </c:pt>
                <c:pt idx="535">
                  <c:v>0.940207438206467</c:v>
                </c:pt>
                <c:pt idx="536">
                  <c:v>0.940535027089187</c:v>
                </c:pt>
                <c:pt idx="537">
                  <c:v>0.940862158700993</c:v>
                </c:pt>
                <c:pt idx="538">
                  <c:v>0.941189290312798</c:v>
                </c:pt>
                <c:pt idx="539">
                  <c:v>0.941516147562056</c:v>
                </c:pt>
                <c:pt idx="540">
                  <c:v>0.941842456086217</c:v>
                </c:pt>
                <c:pt idx="541">
                  <c:v>0.942168032976916</c:v>
                </c:pt>
                <c:pt idx="542">
                  <c:v>0.942493335505066</c:v>
                </c:pt>
                <c:pt idx="543">
                  <c:v>0.942816900403743</c:v>
                </c:pt>
                <c:pt idx="544">
                  <c:v>0.943140190939873</c:v>
                </c:pt>
                <c:pt idx="545">
                  <c:v>0.943457628408304</c:v>
                </c:pt>
                <c:pt idx="546">
                  <c:v>0.943774791514187</c:v>
                </c:pt>
                <c:pt idx="547">
                  <c:v>0.944090582807328</c:v>
                </c:pt>
                <c:pt idx="548">
                  <c:v>0.944403539020803</c:v>
                </c:pt>
                <c:pt idx="549">
                  <c:v>0.944716403780095</c:v>
                </c:pt>
                <c:pt idx="550">
                  <c:v>0.945028262543376</c:v>
                </c:pt>
                <c:pt idx="551">
                  <c:v>0.945339938398292</c:v>
                </c:pt>
                <c:pt idx="552">
                  <c:v>0.94564969371537</c:v>
                </c:pt>
                <c:pt idx="553">
                  <c:v>0.945959449032447</c:v>
                </c:pt>
                <c:pt idx="554">
                  <c:v>0.946268472716063</c:v>
                </c:pt>
                <c:pt idx="555">
                  <c:v>0.946577313491313</c:v>
                </c:pt>
                <c:pt idx="556">
                  <c:v>0.94688606281238</c:v>
                </c:pt>
                <c:pt idx="557">
                  <c:v>0.947192983049791</c:v>
                </c:pt>
                <c:pt idx="558">
                  <c:v>0.947498348566095</c:v>
                </c:pt>
                <c:pt idx="559">
                  <c:v>0.947803531174034</c:v>
                </c:pt>
                <c:pt idx="560">
                  <c:v>0.948108347965241</c:v>
                </c:pt>
                <c:pt idx="561">
                  <c:v>0.94841188439789</c:v>
                </c:pt>
                <c:pt idx="562">
                  <c:v>0.948713043021786</c:v>
                </c:pt>
                <c:pt idx="563">
                  <c:v>0.949013012741306</c:v>
                </c:pt>
                <c:pt idx="564">
                  <c:v>0.949311610648084</c:v>
                </c:pt>
                <c:pt idx="565">
                  <c:v>0.949606916204282</c:v>
                </c:pt>
                <c:pt idx="566">
                  <c:v>0.949900301222642</c:v>
                </c:pt>
                <c:pt idx="567">
                  <c:v>0.950193503332637</c:v>
                </c:pt>
                <c:pt idx="568">
                  <c:v>0.950484601996427</c:v>
                </c:pt>
                <c:pt idx="569">
                  <c:v>0.950775517751852</c:v>
                </c:pt>
                <c:pt idx="570">
                  <c:v>0.951066433507277</c:v>
                </c:pt>
                <c:pt idx="571">
                  <c:v>0.951356617629239</c:v>
                </c:pt>
                <c:pt idx="572">
                  <c:v>0.951645247030094</c:v>
                </c:pt>
                <c:pt idx="573">
                  <c:v>0.951931132805466</c:v>
                </c:pt>
                <c:pt idx="574">
                  <c:v>0.952215555313914</c:v>
                </c:pt>
                <c:pt idx="575">
                  <c:v>0.952491655491728</c:v>
                </c:pt>
                <c:pt idx="576">
                  <c:v>0.952765652223339</c:v>
                </c:pt>
                <c:pt idx="577">
                  <c:v>0.953035259154175</c:v>
                </c:pt>
                <c:pt idx="578">
                  <c:v>0.953304225905733</c:v>
                </c:pt>
                <c:pt idx="579">
                  <c:v>0.953572369569645</c:v>
                </c:pt>
                <c:pt idx="580">
                  <c:v>0.95384023887101</c:v>
                </c:pt>
                <c:pt idx="581">
                  <c:v>0.954107193630546</c:v>
                </c:pt>
                <c:pt idx="582">
                  <c:v>0.954372410760609</c:v>
                </c:pt>
                <c:pt idx="583">
                  <c:v>0.95463424408591</c:v>
                </c:pt>
                <c:pt idx="584">
                  <c:v>0.954894614144286</c:v>
                </c:pt>
                <c:pt idx="585">
                  <c:v>0.955151874760448</c:v>
                </c:pt>
                <c:pt idx="586">
                  <c:v>0.95540684902204</c:v>
                </c:pt>
                <c:pt idx="587">
                  <c:v>0.955661548921084</c:v>
                </c:pt>
                <c:pt idx="588">
                  <c:v>0.955915517186665</c:v>
                </c:pt>
                <c:pt idx="589">
                  <c:v>0.956167839276957</c:v>
                </c:pt>
                <c:pt idx="590">
                  <c:v>0.956419155371237</c:v>
                </c:pt>
                <c:pt idx="591">
                  <c:v>0.956669739832056</c:v>
                </c:pt>
                <c:pt idx="592">
                  <c:v>0.956917306304843</c:v>
                </c:pt>
                <c:pt idx="593">
                  <c:v>0.957164415506716</c:v>
                </c:pt>
                <c:pt idx="594">
                  <c:v>0.957410701620944</c:v>
                </c:pt>
                <c:pt idx="595">
                  <c:v>0.957655433014064</c:v>
                </c:pt>
                <c:pt idx="596">
                  <c:v>0.957899890044637</c:v>
                </c:pt>
                <c:pt idx="597">
                  <c:v>0.958143706895929</c:v>
                </c:pt>
                <c:pt idx="598">
                  <c:v>0.958387523747222</c:v>
                </c:pt>
                <c:pt idx="599">
                  <c:v>0.958631249144332</c:v>
                </c:pt>
                <c:pt idx="600">
                  <c:v>0.958874425816346</c:v>
                </c:pt>
                <c:pt idx="601">
                  <c:v>0.959117053763262</c:v>
                </c:pt>
                <c:pt idx="602">
                  <c:v>0.959359315893448</c:v>
                </c:pt>
                <c:pt idx="603">
                  <c:v>0.959601395115268</c:v>
                </c:pt>
                <c:pt idx="604">
                  <c:v>0.959841462345067</c:v>
                </c:pt>
                <c:pt idx="605">
                  <c:v>0.960079791945393</c:v>
                </c:pt>
                <c:pt idx="606">
                  <c:v>0.960317664274805</c:v>
                </c:pt>
                <c:pt idx="607">
                  <c:v>0.96055398188311</c:v>
                </c:pt>
                <c:pt idx="608">
                  <c:v>0.960789293495404</c:v>
                </c:pt>
                <c:pt idx="609">
                  <c:v>0.961024422199333</c:v>
                </c:pt>
                <c:pt idx="610">
                  <c:v>0.961258819269799</c:v>
                </c:pt>
                <c:pt idx="611">
                  <c:v>0.961491844527524</c:v>
                </c:pt>
                <c:pt idx="612">
                  <c:v>0.961723863789238</c:v>
                </c:pt>
                <c:pt idx="613">
                  <c:v>0.961954236875662</c:v>
                </c:pt>
                <c:pt idx="614">
                  <c:v>0.962184518507903</c:v>
                </c:pt>
                <c:pt idx="615">
                  <c:v>0.962414159960865</c:v>
                </c:pt>
                <c:pt idx="616">
                  <c:v>0.962641789421806</c:v>
                </c:pt>
                <c:pt idx="617">
                  <c:v>0.962869053066016</c:v>
                </c:pt>
                <c:pt idx="618">
                  <c:v>0.963094304718204</c:v>
                </c:pt>
                <c:pt idx="619">
                  <c:v>0.963319282007844</c:v>
                </c:pt>
                <c:pt idx="620">
                  <c:v>0.963543070393108</c:v>
                </c:pt>
                <c:pt idx="621">
                  <c:v>0.963764572423803</c:v>
                </c:pt>
                <c:pt idx="622">
                  <c:v>0.963985617183583</c:v>
                </c:pt>
                <c:pt idx="623">
                  <c:v>0.964206479034998</c:v>
                </c:pt>
                <c:pt idx="624">
                  <c:v>0.96442724943223</c:v>
                </c:pt>
                <c:pt idx="625">
                  <c:v>0.964646830925086</c:v>
                </c:pt>
                <c:pt idx="626">
                  <c:v>0.964866229509577</c:v>
                </c:pt>
                <c:pt idx="627">
                  <c:v>0.965084805006422</c:v>
                </c:pt>
                <c:pt idx="628">
                  <c:v>0.965302740323988</c:v>
                </c:pt>
                <c:pt idx="629">
                  <c:v>0.965520584187371</c:v>
                </c:pt>
                <c:pt idx="630">
                  <c:v>0.965737604963109</c:v>
                </c:pt>
                <c:pt idx="631">
                  <c:v>0.965954168467933</c:v>
                </c:pt>
                <c:pt idx="632">
                  <c:v>0.96616753107636</c:v>
                </c:pt>
                <c:pt idx="633">
                  <c:v>0.96637997914296</c:v>
                </c:pt>
                <c:pt idx="634">
                  <c:v>0.966591787030279</c:v>
                </c:pt>
                <c:pt idx="635">
                  <c:v>0.966800759837933</c:v>
                </c:pt>
                <c:pt idx="636">
                  <c:v>0.967007171928468</c:v>
                </c:pt>
                <c:pt idx="637">
                  <c:v>0.967212943839724</c:v>
                </c:pt>
                <c:pt idx="638">
                  <c:v>0.967418715750981</c:v>
                </c:pt>
                <c:pt idx="639">
                  <c:v>0.967623573120409</c:v>
                </c:pt>
                <c:pt idx="640">
                  <c:v>0.967825138139257</c:v>
                </c:pt>
                <c:pt idx="641">
                  <c:v>0.968026245887192</c:v>
                </c:pt>
                <c:pt idx="642">
                  <c:v>0.968226073276567</c:v>
                </c:pt>
                <c:pt idx="643">
                  <c:v>0.968424345944835</c:v>
                </c:pt>
                <c:pt idx="644">
                  <c:v>0.968622527158921</c:v>
                </c:pt>
                <c:pt idx="645">
                  <c:v>0.968820708373006</c:v>
                </c:pt>
                <c:pt idx="646">
                  <c:v>0.969018706678726</c:v>
                </c:pt>
                <c:pt idx="647">
                  <c:v>0.969215698988435</c:v>
                </c:pt>
                <c:pt idx="648">
                  <c:v>0.969411868210499</c:v>
                </c:pt>
                <c:pt idx="649">
                  <c:v>0.969607397253284</c:v>
                </c:pt>
                <c:pt idx="650">
                  <c:v>0.96980100575823</c:v>
                </c:pt>
                <c:pt idx="651">
                  <c:v>0.969993516812983</c:v>
                </c:pt>
                <c:pt idx="652">
                  <c:v>0.970183009879704</c:v>
                </c:pt>
                <c:pt idx="653">
                  <c:v>0.970372411492243</c:v>
                </c:pt>
                <c:pt idx="654">
                  <c:v>0.970561355833867</c:v>
                </c:pt>
                <c:pt idx="655">
                  <c:v>0.970749751450395</c:v>
                </c:pt>
                <c:pt idx="656">
                  <c:v>0.970937598341826</c:v>
                </c:pt>
                <c:pt idx="657">
                  <c:v>0.971124439237247</c:v>
                </c:pt>
                <c:pt idx="658">
                  <c:v>0.971310731407571</c:v>
                </c:pt>
                <c:pt idx="659">
                  <c:v>0.971496291944432</c:v>
                </c:pt>
                <c:pt idx="660">
                  <c:v>0.971681669572929</c:v>
                </c:pt>
                <c:pt idx="661">
                  <c:v>0.971866681384694</c:v>
                </c:pt>
                <c:pt idx="662">
                  <c:v>0.972051235925544</c:v>
                </c:pt>
                <c:pt idx="663">
                  <c:v>0.972232132299084</c:v>
                </c:pt>
                <c:pt idx="664">
                  <c:v>0.972412479947527</c:v>
                </c:pt>
                <c:pt idx="665">
                  <c:v>0.972592553233422</c:v>
                </c:pt>
                <c:pt idx="666">
                  <c:v>0.972772352156769</c:v>
                </c:pt>
                <c:pt idx="667">
                  <c:v>0.972952059625933</c:v>
                </c:pt>
                <c:pt idx="668">
                  <c:v>0.973131492732548</c:v>
                </c:pt>
                <c:pt idx="669">
                  <c:v>0.97331083438498</c:v>
                </c:pt>
                <c:pt idx="670">
                  <c:v>0.973488895678854</c:v>
                </c:pt>
                <c:pt idx="671">
                  <c:v>0.973666956972728</c:v>
                </c:pt>
                <c:pt idx="672">
                  <c:v>0.973844835358236</c:v>
                </c:pt>
                <c:pt idx="673">
                  <c:v>0.974022347927013</c:v>
                </c:pt>
                <c:pt idx="674">
                  <c:v>0.974199311770693</c:v>
                </c:pt>
                <c:pt idx="675">
                  <c:v>0.974375269618363</c:v>
                </c:pt>
                <c:pt idx="676">
                  <c:v>0.97455113601185</c:v>
                </c:pt>
                <c:pt idx="677">
                  <c:v>0.974725722046778</c:v>
                </c:pt>
                <c:pt idx="678">
                  <c:v>0.974898936268964</c:v>
                </c:pt>
                <c:pt idx="679">
                  <c:v>0.975070778678409</c:v>
                </c:pt>
                <c:pt idx="680">
                  <c:v>0.975241798000208</c:v>
                </c:pt>
                <c:pt idx="681">
                  <c:v>0.975412634413642</c:v>
                </c:pt>
                <c:pt idx="682">
                  <c:v>0.975581733197603</c:v>
                </c:pt>
                <c:pt idx="683">
                  <c:v>0.975749734531371</c:v>
                </c:pt>
                <c:pt idx="684">
                  <c:v>0.975916181144032</c:v>
                </c:pt>
                <c:pt idx="685">
                  <c:v>0.97608189612323</c:v>
                </c:pt>
                <c:pt idx="686">
                  <c:v>0.976247153831514</c:v>
                </c:pt>
                <c:pt idx="687">
                  <c:v>0.976412320085616</c:v>
                </c:pt>
                <c:pt idx="688">
                  <c:v>0.976576480343707</c:v>
                </c:pt>
                <c:pt idx="689">
                  <c:v>0.976740366239249</c:v>
                </c:pt>
                <c:pt idx="690">
                  <c:v>0.976903611955513</c:v>
                </c:pt>
                <c:pt idx="691">
                  <c:v>0.977066491855045</c:v>
                </c:pt>
                <c:pt idx="692">
                  <c:v>0.977229005937846</c:v>
                </c:pt>
                <c:pt idx="693">
                  <c:v>0.977391062749733</c:v>
                </c:pt>
                <c:pt idx="694">
                  <c:v>0.977552936653254</c:v>
                </c:pt>
                <c:pt idx="695">
                  <c:v>0.977713804560765</c:v>
                </c:pt>
                <c:pt idx="696">
                  <c:v>0.977874489559911</c:v>
                </c:pt>
                <c:pt idx="697">
                  <c:v>0.978034808742325</c:v>
                </c:pt>
                <c:pt idx="698">
                  <c:v>0.978194030474546</c:v>
                </c:pt>
                <c:pt idx="699">
                  <c:v>0.97835270348167</c:v>
                </c:pt>
                <c:pt idx="700">
                  <c:v>0.97850991322187</c:v>
                </c:pt>
                <c:pt idx="701">
                  <c:v>0.978666665691156</c:v>
                </c:pt>
                <c:pt idx="702">
                  <c:v>0.97882305234371</c:v>
                </c:pt>
                <c:pt idx="703">
                  <c:v>0.978977792820975</c:v>
                </c:pt>
                <c:pt idx="704">
                  <c:v>0.979131984573143</c:v>
                </c:pt>
                <c:pt idx="705">
                  <c:v>0.97928581050858</c:v>
                </c:pt>
                <c:pt idx="706">
                  <c:v>0.979436435547619</c:v>
                </c:pt>
                <c:pt idx="707">
                  <c:v>0.979585871682283</c:v>
                </c:pt>
                <c:pt idx="708">
                  <c:v>0.979734667637667</c:v>
                </c:pt>
                <c:pt idx="709">
                  <c:v>0.97988181741776</c:v>
                </c:pt>
                <c:pt idx="710">
                  <c:v>0.980028052656026</c:v>
                </c:pt>
                <c:pt idx="711">
                  <c:v>0.980173922077561</c:v>
                </c:pt>
                <c:pt idx="712">
                  <c:v>0.980317413690344</c:v>
                </c:pt>
                <c:pt idx="713">
                  <c:v>0.980460539486395</c:v>
                </c:pt>
                <c:pt idx="714">
                  <c:v>0.980601744744609</c:v>
                </c:pt>
                <c:pt idx="715">
                  <c:v>0.980742950002822</c:v>
                </c:pt>
                <c:pt idx="716">
                  <c:v>0.980883423627573</c:v>
                </c:pt>
                <c:pt idx="717">
                  <c:v>0.98102343998141</c:v>
                </c:pt>
                <c:pt idx="718">
                  <c:v>0.981163456335247</c:v>
                </c:pt>
                <c:pt idx="719">
                  <c:v>0.981302009422159</c:v>
                </c:pt>
                <c:pt idx="720">
                  <c:v>0.981440379600706</c:v>
                </c:pt>
                <c:pt idx="721">
                  <c:v>0.981578566870887</c:v>
                </c:pt>
                <c:pt idx="722">
                  <c:v>0.981712821611209</c:v>
                </c:pt>
                <c:pt idx="723">
                  <c:v>0.981846436172251</c:v>
                </c:pt>
                <c:pt idx="724">
                  <c:v>0.981979867824928</c:v>
                </c:pt>
                <c:pt idx="725">
                  <c:v>0.982113116569239</c:v>
                </c:pt>
                <c:pt idx="726">
                  <c:v>0.982245816588454</c:v>
                </c:pt>
                <c:pt idx="727">
                  <c:v>0.982378150790937</c:v>
                </c:pt>
                <c:pt idx="728">
                  <c:v>0.982510119176689</c:v>
                </c:pt>
                <c:pt idx="729">
                  <c:v>0.982641813199893</c:v>
                </c:pt>
                <c:pt idx="730">
                  <c:v>0.982773324314732</c:v>
                </c:pt>
                <c:pt idx="731">
                  <c:v>0.982904469612839</c:v>
                </c:pt>
                <c:pt idx="732">
                  <c:v>0.983033145648011</c:v>
                </c:pt>
                <c:pt idx="733">
                  <c:v>0.983161272958087</c:v>
                </c:pt>
                <c:pt idx="734">
                  <c:v>0.983288211363786</c:v>
                </c:pt>
                <c:pt idx="735">
                  <c:v>0.98341496686112</c:v>
                </c:pt>
                <c:pt idx="736">
                  <c:v>0.983541630904271</c:v>
                </c:pt>
                <c:pt idx="737">
                  <c:v>0.983668294947422</c:v>
                </c:pt>
                <c:pt idx="738">
                  <c:v>0.98379386154038</c:v>
                </c:pt>
                <c:pt idx="739">
                  <c:v>0.983918056320596</c:v>
                </c:pt>
                <c:pt idx="740">
                  <c:v>0.984042251100811</c:v>
                </c:pt>
                <c:pt idx="741">
                  <c:v>0.984166354426845</c:v>
                </c:pt>
                <c:pt idx="742">
                  <c:v>0.984290091936147</c:v>
                </c:pt>
                <c:pt idx="743">
                  <c:v>0.984413737991266</c:v>
                </c:pt>
                <c:pt idx="744">
                  <c:v>0.984536652412923</c:v>
                </c:pt>
                <c:pt idx="745">
                  <c:v>0.984655908667269</c:v>
                </c:pt>
                <c:pt idx="746">
                  <c:v>0.984773793108873</c:v>
                </c:pt>
                <c:pt idx="747">
                  <c:v>0.984891494642111</c:v>
                </c:pt>
                <c:pt idx="748">
                  <c:v>0.985009013266984</c:v>
                </c:pt>
                <c:pt idx="749">
                  <c:v>0.985126166075126</c:v>
                </c:pt>
                <c:pt idx="750">
                  <c:v>0.985242587249806</c:v>
                </c:pt>
                <c:pt idx="751">
                  <c:v>0.985358642607754</c:v>
                </c:pt>
                <c:pt idx="752">
                  <c:v>0.985474515057337</c:v>
                </c:pt>
                <c:pt idx="753">
                  <c:v>0.985590113144372</c:v>
                </c:pt>
                <c:pt idx="754">
                  <c:v>0.985705619777223</c:v>
                </c:pt>
                <c:pt idx="755">
                  <c:v>0.985820120414065</c:v>
                </c:pt>
                <c:pt idx="756">
                  <c:v>0.985934255234175</c:v>
                </c:pt>
                <c:pt idx="757">
                  <c:v>0.986047932783371</c:v>
                </c:pt>
                <c:pt idx="758">
                  <c:v>0.986160695790739</c:v>
                </c:pt>
                <c:pt idx="759">
                  <c:v>0.986273367343925</c:v>
                </c:pt>
                <c:pt idx="760">
                  <c:v>0.986385947442928</c:v>
                </c:pt>
                <c:pt idx="761">
                  <c:v>0.986497978816834</c:v>
                </c:pt>
                <c:pt idx="762">
                  <c:v>0.986609187103095</c:v>
                </c:pt>
                <c:pt idx="763">
                  <c:v>0.986720303935173</c:v>
                </c:pt>
                <c:pt idx="764">
                  <c:v>0.986831420767251</c:v>
                </c:pt>
                <c:pt idx="765">
                  <c:v>0.986941440149136</c:v>
                </c:pt>
                <c:pt idx="766">
                  <c:v>0.987051185168473</c:v>
                </c:pt>
                <c:pt idx="767">
                  <c:v>0.987160838733627</c:v>
                </c:pt>
                <c:pt idx="768">
                  <c:v>0.987270309390415</c:v>
                </c:pt>
                <c:pt idx="769">
                  <c:v>0.987379597138838</c:v>
                </c:pt>
                <c:pt idx="770">
                  <c:v>0.987488610524712</c:v>
                </c:pt>
                <c:pt idx="771">
                  <c:v>0.987596800822942</c:v>
                </c:pt>
                <c:pt idx="772">
                  <c:v>0.987704716758623</c:v>
                </c:pt>
                <c:pt idx="773">
                  <c:v>0.987812266877572</c:v>
                </c:pt>
                <c:pt idx="774">
                  <c:v>0.987919451179791</c:v>
                </c:pt>
                <c:pt idx="775">
                  <c:v>0.98802663548201</c:v>
                </c:pt>
                <c:pt idx="776">
                  <c:v>0.988133819784229</c:v>
                </c:pt>
                <c:pt idx="777">
                  <c:v>0.988240180998803</c:v>
                </c:pt>
                <c:pt idx="778">
                  <c:v>0.988345902034097</c:v>
                </c:pt>
                <c:pt idx="779">
                  <c:v>0.988451165798477</c:v>
                </c:pt>
                <c:pt idx="780">
                  <c:v>0.988555240658481</c:v>
                </c:pt>
                <c:pt idx="781">
                  <c:v>0.988658675339206</c:v>
                </c:pt>
                <c:pt idx="782">
                  <c:v>0.988762110019931</c:v>
                </c:pt>
                <c:pt idx="783">
                  <c:v>0.988865087429742</c:v>
                </c:pt>
                <c:pt idx="784">
                  <c:v>0.988967058843542</c:v>
                </c:pt>
                <c:pt idx="785">
                  <c:v>0.989068572986428</c:v>
                </c:pt>
                <c:pt idx="786">
                  <c:v>0.989169172587487</c:v>
                </c:pt>
                <c:pt idx="787">
                  <c:v>0.989268400375804</c:v>
                </c:pt>
                <c:pt idx="788">
                  <c:v>0.98936726234739</c:v>
                </c:pt>
                <c:pt idx="789">
                  <c:v>0.98946594141061</c:v>
                </c:pt>
                <c:pt idx="790">
                  <c:v>0.989564529019647</c:v>
                </c:pt>
                <c:pt idx="791">
                  <c:v>0.989662019178491</c:v>
                </c:pt>
                <c:pt idx="792">
                  <c:v>0.989758869158056</c:v>
                </c:pt>
                <c:pt idx="793">
                  <c:v>0.989850872065933</c:v>
                </c:pt>
                <c:pt idx="794">
                  <c:v>0.989942783519627</c:v>
                </c:pt>
                <c:pt idx="795">
                  <c:v>0.990034146248225</c:v>
                </c:pt>
                <c:pt idx="796">
                  <c:v>0.99012541752264</c:v>
                </c:pt>
                <c:pt idx="797">
                  <c:v>0.990216231526141</c:v>
                </c:pt>
                <c:pt idx="798">
                  <c:v>0.990307045529642</c:v>
                </c:pt>
                <c:pt idx="799">
                  <c:v>0.990397676624777</c:v>
                </c:pt>
                <c:pt idx="800">
                  <c:v>0.99048821626573</c:v>
                </c:pt>
                <c:pt idx="801">
                  <c:v>0.990578481544134</c:v>
                </c:pt>
                <c:pt idx="802">
                  <c:v>0.990667009193066</c:v>
                </c:pt>
                <c:pt idx="803">
                  <c:v>0.990755445387815</c:v>
                </c:pt>
                <c:pt idx="804">
                  <c:v>0.990842875586553</c:v>
                </c:pt>
                <c:pt idx="805">
                  <c:v>0.990930122876925</c:v>
                </c:pt>
                <c:pt idx="806">
                  <c:v>0.991016638533836</c:v>
                </c:pt>
                <c:pt idx="807">
                  <c:v>0.991102879828198</c:v>
                </c:pt>
                <c:pt idx="808">
                  <c:v>0.991188115126549</c:v>
                </c:pt>
                <c:pt idx="809">
                  <c:v>0.991273350424901</c:v>
                </c:pt>
                <c:pt idx="810">
                  <c:v>0.991356116460317</c:v>
                </c:pt>
                <c:pt idx="811">
                  <c:v>0.991437876499723</c:v>
                </c:pt>
                <c:pt idx="812">
                  <c:v>0.991519453630763</c:v>
                </c:pt>
                <c:pt idx="813">
                  <c:v>0.991600664945072</c:v>
                </c:pt>
                <c:pt idx="814">
                  <c:v>0.99168151044265</c:v>
                </c:pt>
                <c:pt idx="815">
                  <c:v>0.991762173031863</c:v>
                </c:pt>
                <c:pt idx="816">
                  <c:v>0.991842744166892</c:v>
                </c:pt>
                <c:pt idx="817">
                  <c:v>0.991922217851729</c:v>
                </c:pt>
                <c:pt idx="818">
                  <c:v>0.992001508628199</c:v>
                </c:pt>
                <c:pt idx="819">
                  <c:v>0.99207915322938</c:v>
                </c:pt>
                <c:pt idx="820">
                  <c:v>0.992156432013829</c:v>
                </c:pt>
                <c:pt idx="821">
                  <c:v>0.992232521893903</c:v>
                </c:pt>
                <c:pt idx="822">
                  <c:v>0.992308428865611</c:v>
                </c:pt>
                <c:pt idx="823">
                  <c:v>0.99238406147477</c:v>
                </c:pt>
                <c:pt idx="824">
                  <c:v>0.992459328267199</c:v>
                </c:pt>
                <c:pt idx="825">
                  <c:v>0.992534137788713</c:v>
                </c:pt>
                <c:pt idx="826">
                  <c:v>0.992608855856045</c:v>
                </c:pt>
                <c:pt idx="827">
                  <c:v>0.992683482469194</c:v>
                </c:pt>
                <c:pt idx="828">
                  <c:v>0.99275801762816</c:v>
                </c:pt>
                <c:pt idx="829">
                  <c:v>0.992831821153664</c:v>
                </c:pt>
                <c:pt idx="830">
                  <c:v>0.992904984499888</c:v>
                </c:pt>
                <c:pt idx="831">
                  <c:v>0.992977690575199</c:v>
                </c:pt>
                <c:pt idx="832">
                  <c:v>0.993050305196326</c:v>
                </c:pt>
                <c:pt idx="833">
                  <c:v>0.993122828363271</c:v>
                </c:pt>
                <c:pt idx="834">
                  <c:v>0.993194985713485</c:v>
                </c:pt>
                <c:pt idx="835">
                  <c:v>0.993266777246968</c:v>
                </c:pt>
                <c:pt idx="836">
                  <c:v>0.993337471330257</c:v>
                </c:pt>
                <c:pt idx="837">
                  <c:v>0.993408165413546</c:v>
                </c:pt>
                <c:pt idx="838">
                  <c:v>0.993478219317556</c:v>
                </c:pt>
                <c:pt idx="839">
                  <c:v>0.993548181767383</c:v>
                </c:pt>
                <c:pt idx="840">
                  <c:v>0.993617869854662</c:v>
                </c:pt>
                <c:pt idx="841">
                  <c:v>0.993686734854296</c:v>
                </c:pt>
                <c:pt idx="842">
                  <c:v>0.993755142583015</c:v>
                </c:pt>
                <c:pt idx="843">
                  <c:v>0.993823275949187</c:v>
                </c:pt>
                <c:pt idx="844">
                  <c:v>0.993891317861176</c:v>
                </c:pt>
                <c:pt idx="845">
                  <c:v>0.993958993956433</c:v>
                </c:pt>
                <c:pt idx="846">
                  <c:v>0.994026487143325</c:v>
                </c:pt>
                <c:pt idx="847">
                  <c:v>0.994093797421852</c:v>
                </c:pt>
                <c:pt idx="848">
                  <c:v>0.994161016246195</c:v>
                </c:pt>
                <c:pt idx="849">
                  <c:v>0.994227503437077</c:v>
                </c:pt>
                <c:pt idx="850">
                  <c:v>0.994293899173775</c:v>
                </c:pt>
                <c:pt idx="851">
                  <c:v>0.994360203456291</c:v>
                </c:pt>
                <c:pt idx="852">
                  <c:v>0.994426050467893</c:v>
                </c:pt>
                <c:pt idx="853">
                  <c:v>0.994491348754399</c:v>
                </c:pt>
                <c:pt idx="854">
                  <c:v>0.994556555586721</c:v>
                </c:pt>
                <c:pt idx="855">
                  <c:v>0.994621488056495</c:v>
                </c:pt>
                <c:pt idx="856">
                  <c:v>0.994686237617904</c:v>
                </c:pt>
                <c:pt idx="857">
                  <c:v>0.994750347000033</c:v>
                </c:pt>
                <c:pt idx="858">
                  <c:v>0.994813267477786</c:v>
                </c:pt>
                <c:pt idx="859">
                  <c:v>0.994875090505346</c:v>
                </c:pt>
                <c:pt idx="860">
                  <c:v>0.994936364807809</c:v>
                </c:pt>
                <c:pt idx="861">
                  <c:v>0.994997090385175</c:v>
                </c:pt>
                <c:pt idx="862">
                  <c:v>0.995057633054175</c:v>
                </c:pt>
                <c:pt idx="863">
                  <c:v>0.995117992814811</c:v>
                </c:pt>
                <c:pt idx="864">
                  <c:v>0.995178078212898</c:v>
                </c:pt>
                <c:pt idx="865">
                  <c:v>0.995237431977522</c:v>
                </c:pt>
                <c:pt idx="866">
                  <c:v>0.995296602833781</c:v>
                </c:pt>
                <c:pt idx="867">
                  <c:v>0.995355133510761</c:v>
                </c:pt>
                <c:pt idx="868">
                  <c:v>0.995413481279375</c:v>
                </c:pt>
                <c:pt idx="869">
                  <c:v>0.995471737593806</c:v>
                </c:pt>
                <c:pt idx="870">
                  <c:v>0.995529536637323</c:v>
                </c:pt>
                <c:pt idx="871">
                  <c:v>0.99558733568084</c:v>
                </c:pt>
                <c:pt idx="872">
                  <c:v>0.995644951815992</c:v>
                </c:pt>
                <c:pt idx="873">
                  <c:v>0.995702385042778</c:v>
                </c:pt>
                <c:pt idx="874">
                  <c:v>0.995758537911006</c:v>
                </c:pt>
                <c:pt idx="875">
                  <c:v>0.995814324962502</c:v>
                </c:pt>
                <c:pt idx="876">
                  <c:v>0.99586983765145</c:v>
                </c:pt>
                <c:pt idx="877">
                  <c:v>0.995925350340397</c:v>
                </c:pt>
                <c:pt idx="878">
                  <c:v>0.995980588666797</c:v>
                </c:pt>
                <c:pt idx="879">
                  <c:v>0.996035826993196</c:v>
                </c:pt>
                <c:pt idx="880">
                  <c:v>0.996090790957047</c:v>
                </c:pt>
                <c:pt idx="881">
                  <c:v>0.996145572012533</c:v>
                </c:pt>
                <c:pt idx="882">
                  <c:v>0.996200353068018</c:v>
                </c:pt>
                <c:pt idx="883">
                  <c:v>0.996254402490042</c:v>
                </c:pt>
                <c:pt idx="884">
                  <c:v>0.996308360457882</c:v>
                </c:pt>
                <c:pt idx="885">
                  <c:v>0.996362135517357</c:v>
                </c:pt>
                <c:pt idx="886">
                  <c:v>0.996415270397553</c:v>
                </c:pt>
                <c:pt idx="887">
                  <c:v>0.996467033465006</c:v>
                </c:pt>
                <c:pt idx="888">
                  <c:v>0.996518156353181</c:v>
                </c:pt>
                <c:pt idx="889">
                  <c:v>0.996568639062076</c:v>
                </c:pt>
                <c:pt idx="890">
                  <c:v>0.996618664500056</c:v>
                </c:pt>
                <c:pt idx="891">
                  <c:v>0.996668507029672</c:v>
                </c:pt>
                <c:pt idx="892">
                  <c:v>0.996717800834191</c:v>
                </c:pt>
                <c:pt idx="893">
                  <c:v>0.996766820276161</c:v>
                </c:pt>
                <c:pt idx="894">
                  <c:v>0.996815199538852</c:v>
                </c:pt>
                <c:pt idx="895">
                  <c:v>0.996863212984811</c:v>
                </c:pt>
                <c:pt idx="896">
                  <c:v>0.996910952068223</c:v>
                </c:pt>
                <c:pt idx="897">
                  <c:v>0.996958599697452</c:v>
                </c:pt>
                <c:pt idx="898">
                  <c:v>0.997005149876487</c:v>
                </c:pt>
                <c:pt idx="899">
                  <c:v>0.997051334238791</c:v>
                </c:pt>
                <c:pt idx="900">
                  <c:v>0.997096969875999</c:v>
                </c:pt>
                <c:pt idx="901">
                  <c:v>0.997141782425561</c:v>
                </c:pt>
                <c:pt idx="902">
                  <c:v>0.99718613770421</c:v>
                </c:pt>
                <c:pt idx="903">
                  <c:v>0.997230401528675</c:v>
                </c:pt>
                <c:pt idx="904">
                  <c:v>0.99727429953641</c:v>
                </c:pt>
                <c:pt idx="905">
                  <c:v>0.997317923181596</c:v>
                </c:pt>
                <c:pt idx="906">
                  <c:v>0.997361363918417</c:v>
                </c:pt>
                <c:pt idx="907">
                  <c:v>0.997404530292689</c:v>
                </c:pt>
                <c:pt idx="908">
                  <c:v>0.997447239396048</c:v>
                </c:pt>
                <c:pt idx="909">
                  <c:v>0.997489765591041</c:v>
                </c:pt>
                <c:pt idx="910">
                  <c:v>0.99753183451512</c:v>
                </c:pt>
                <c:pt idx="911">
                  <c:v>0.997573537622468</c:v>
                </c:pt>
                <c:pt idx="912">
                  <c:v>0.99761505782145</c:v>
                </c:pt>
                <c:pt idx="913">
                  <c:v>0.997655937841153</c:v>
                </c:pt>
                <c:pt idx="914">
                  <c:v>0.997696177681576</c:v>
                </c:pt>
                <c:pt idx="915">
                  <c:v>0.997735960251086</c:v>
                </c:pt>
                <c:pt idx="916">
                  <c:v>0.997775011187133</c:v>
                </c:pt>
                <c:pt idx="917">
                  <c:v>0.997813604852267</c:v>
                </c:pt>
                <c:pt idx="918">
                  <c:v>0.997851924154852</c:v>
                </c:pt>
                <c:pt idx="919">
                  <c:v>0.997889603278157</c:v>
                </c:pt>
                <c:pt idx="920">
                  <c:v>0.99792719094728</c:v>
                </c:pt>
                <c:pt idx="921">
                  <c:v>0.997964504253854</c:v>
                </c:pt>
                <c:pt idx="922">
                  <c:v>0.998001634652063</c:v>
                </c:pt>
                <c:pt idx="923">
                  <c:v>0.998038673596089</c:v>
                </c:pt>
                <c:pt idx="924">
                  <c:v>0.998075712540116</c:v>
                </c:pt>
                <c:pt idx="925">
                  <c:v>0.998112660029959</c:v>
                </c:pt>
                <c:pt idx="926">
                  <c:v>0.998149424611437</c:v>
                </c:pt>
                <c:pt idx="927">
                  <c:v>0.998186097738732</c:v>
                </c:pt>
                <c:pt idx="928">
                  <c:v>0.998222405049296</c:v>
                </c:pt>
                <c:pt idx="929">
                  <c:v>0.998258529451494</c:v>
                </c:pt>
                <c:pt idx="930">
                  <c:v>0.99829392222023</c:v>
                </c:pt>
                <c:pt idx="931">
                  <c:v>0.998329314988966</c:v>
                </c:pt>
                <c:pt idx="932">
                  <c:v>0.998364616303519</c:v>
                </c:pt>
                <c:pt idx="933">
                  <c:v>0.99839918598461</c:v>
                </c:pt>
                <c:pt idx="934">
                  <c:v>0.998433481303153</c:v>
                </c:pt>
                <c:pt idx="935">
                  <c:v>0.998467502259147</c:v>
                </c:pt>
                <c:pt idx="936">
                  <c:v>0.998500700127497</c:v>
                </c:pt>
                <c:pt idx="937">
                  <c:v>0.998532434728921</c:v>
                </c:pt>
                <c:pt idx="938">
                  <c:v>0.99856362060525</c:v>
                </c:pt>
                <c:pt idx="939">
                  <c:v>0.998594623573212</c:v>
                </c:pt>
                <c:pt idx="940">
                  <c:v>0.998625443632809</c:v>
                </c:pt>
                <c:pt idx="941">
                  <c:v>0.998655257696396</c:v>
                </c:pt>
                <c:pt idx="942">
                  <c:v>0.998684980305799</c:v>
                </c:pt>
                <c:pt idx="943">
                  <c:v>0.998714154190106</c:v>
                </c:pt>
                <c:pt idx="944">
                  <c:v>0.99874323662023</c:v>
                </c:pt>
                <c:pt idx="945">
                  <c:v>0.998771770325258</c:v>
                </c:pt>
                <c:pt idx="946">
                  <c:v>0.99880012112192</c:v>
                </c:pt>
                <c:pt idx="947">
                  <c:v>0.998828289010216</c:v>
                </c:pt>
                <c:pt idx="948">
                  <c:v>0.998856456898513</c:v>
                </c:pt>
                <c:pt idx="949">
                  <c:v>0.998884533332626</c:v>
                </c:pt>
                <c:pt idx="950">
                  <c:v>0.998912518312557</c:v>
                </c:pt>
                <c:pt idx="951">
                  <c:v>0.998940320384122</c:v>
                </c:pt>
                <c:pt idx="952">
                  <c:v>0.998968122455688</c:v>
                </c:pt>
                <c:pt idx="953">
                  <c:v>0.998995741618887</c:v>
                </c:pt>
                <c:pt idx="954">
                  <c:v>0.999023269327904</c:v>
                </c:pt>
                <c:pt idx="955">
                  <c:v>0.999050797036921</c:v>
                </c:pt>
                <c:pt idx="956">
                  <c:v>0.999078233291755</c:v>
                </c:pt>
                <c:pt idx="957">
                  <c:v>0.999105669546589</c:v>
                </c:pt>
                <c:pt idx="958">
                  <c:v>0.999133105801424</c:v>
                </c:pt>
                <c:pt idx="959">
                  <c:v>0.999160450602075</c:v>
                </c:pt>
                <c:pt idx="960">
                  <c:v>0.999187795402726</c:v>
                </c:pt>
                <c:pt idx="961">
                  <c:v>0.999215140203378</c:v>
                </c:pt>
                <c:pt idx="962">
                  <c:v>0.999242393549847</c:v>
                </c:pt>
                <c:pt idx="963">
                  <c:v>0.999269555442132</c:v>
                </c:pt>
                <c:pt idx="964">
                  <c:v>0.99929644297187</c:v>
                </c:pt>
                <c:pt idx="965">
                  <c:v>0.999323330501607</c:v>
                </c:pt>
                <c:pt idx="966">
                  <c:v>0.999349943668796</c:v>
                </c:pt>
                <c:pt idx="967">
                  <c:v>0.999376191019254</c:v>
                </c:pt>
                <c:pt idx="968">
                  <c:v>0.99940234691553</c:v>
                </c:pt>
                <c:pt idx="969">
                  <c:v>0.999428136995074</c:v>
                </c:pt>
                <c:pt idx="970">
                  <c:v>0.999453195441156</c:v>
                </c:pt>
                <c:pt idx="971">
                  <c:v>0.999478162433055</c:v>
                </c:pt>
                <c:pt idx="972">
                  <c:v>0.999502306337309</c:v>
                </c:pt>
                <c:pt idx="973">
                  <c:v>0.999526267333197</c:v>
                </c:pt>
                <c:pt idx="974">
                  <c:v>0.999549771058172</c:v>
                </c:pt>
                <c:pt idx="975">
                  <c:v>0.999573274783147</c:v>
                </c:pt>
                <c:pt idx="976">
                  <c:v>0.999596504145573</c:v>
                </c:pt>
                <c:pt idx="977">
                  <c:v>0.999619642053816</c:v>
                </c:pt>
                <c:pt idx="978">
                  <c:v>0.999642688507877</c:v>
                </c:pt>
                <c:pt idx="979">
                  <c:v>0.999665552053572</c:v>
                </c:pt>
                <c:pt idx="980">
                  <c:v>0.999688141236719</c:v>
                </c:pt>
                <c:pt idx="981">
                  <c:v>0.999707986794382</c:v>
                </c:pt>
                <c:pt idx="982">
                  <c:v>0.999726369085121</c:v>
                </c:pt>
                <c:pt idx="983">
                  <c:v>0.999744477013312</c:v>
                </c:pt>
                <c:pt idx="984">
                  <c:v>0.999762127670588</c:v>
                </c:pt>
                <c:pt idx="985">
                  <c:v>0.999779686873682</c:v>
                </c:pt>
                <c:pt idx="986">
                  <c:v>0.999797154622593</c:v>
                </c:pt>
                <c:pt idx="987">
                  <c:v>0.999814622371504</c:v>
                </c:pt>
                <c:pt idx="988">
                  <c:v>0.999832090120415</c:v>
                </c:pt>
                <c:pt idx="989">
                  <c:v>0.999849466415144</c:v>
                </c:pt>
                <c:pt idx="990">
                  <c:v>0.999866751255689</c:v>
                </c:pt>
                <c:pt idx="991">
                  <c:v>0.999883853187869</c:v>
                </c:pt>
                <c:pt idx="992">
                  <c:v>0.999900040578221</c:v>
                </c:pt>
                <c:pt idx="993">
                  <c:v>0.999915862151842</c:v>
                </c:pt>
                <c:pt idx="994">
                  <c:v>0.999930677729453</c:v>
                </c:pt>
                <c:pt idx="995">
                  <c:v>0.999945310398697</c:v>
                </c:pt>
                <c:pt idx="996">
                  <c:v>0.999959119980297</c:v>
                </c:pt>
                <c:pt idx="997">
                  <c:v>0.999972838107714</c:v>
                </c:pt>
                <c:pt idx="998">
                  <c:v>0.999986464780949</c:v>
                </c:pt>
                <c:pt idx="999">
                  <c:v>1</c:v>
                </c:pt>
              </c:numCache>
            </c:numRef>
          </c:yVal>
          <c:smooth val="0"/>
        </c:ser>
        <c:axId val="10113879"/>
        <c:axId val="10331051"/>
      </c:scatterChart>
      <c:valAx>
        <c:axId val="10113879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das vendas, da maior para a menor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31051"/>
        <c:crosses val="autoZero"/>
        <c:crossBetween val="midCat"/>
      </c:valAx>
      <c:valAx>
        <c:axId val="103310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da receita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138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2_Categorias!B8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2_Categorias!$A$9:$A$15</c:f>
              <c:strCache>
                <c:ptCount val="7"/>
                <c:pt idx="0">
                  <c:v>Mercearia</c:v>
                </c:pt>
                <c:pt idx="1">
                  <c:v>Bebidas</c:v>
                </c:pt>
                <c:pt idx="2">
                  <c:v>Limpeza</c:v>
                </c:pt>
                <c:pt idx="3">
                  <c:v>Frios</c:v>
                </c:pt>
                <c:pt idx="4">
                  <c:v>Higiene</c:v>
                </c:pt>
                <c:pt idx="5">
                  <c:v>Padaria</c:v>
                </c:pt>
                <c:pt idx="6">
                  <c:v>Hortifruti</c:v>
                </c:pt>
              </c:strCache>
            </c:strRef>
          </c:cat>
          <c:val>
            <c:numRef>
              <c:f>2_Categorias!$B$9:$B$15</c:f>
              <c:numCache>
                <c:formatCode>"R$ "#,##0.00</c:formatCode>
                <c:ptCount val="7"/>
                <c:pt idx="0">
                  <c:v>30008.46</c:v>
                </c:pt>
                <c:pt idx="1">
                  <c:v>26172.15</c:v>
                </c:pt>
                <c:pt idx="2">
                  <c:v>17880.79</c:v>
                </c:pt>
                <c:pt idx="3">
                  <c:v>12390.32</c:v>
                </c:pt>
                <c:pt idx="4">
                  <c:v>8898.98</c:v>
                </c:pt>
                <c:pt idx="5">
                  <c:v>7820.41</c:v>
                </c:pt>
                <c:pt idx="6">
                  <c:v>6173.26</c:v>
                </c:pt>
              </c:numCache>
            </c:numRef>
          </c:val>
        </c:ser>
        <c:gapWidth val="150"/>
        <c:overlap val="0"/>
        <c:axId val="13209502"/>
        <c:axId val="89345850"/>
      </c:barChart>
      <c:catAx>
        <c:axId val="132095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45850"/>
        <c:crosses val="autoZero"/>
        <c:auto val="1"/>
        <c:lblAlgn val="ctr"/>
        <c:lblOffset val="100"/>
        <c:noMultiLvlLbl val="0"/>
      </c:catAx>
      <c:valAx>
        <c:axId val="89345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095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Unidades × 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"Categorias"</c:f>
              <c:strCache>
                <c:ptCount val="1"/>
                <c:pt idx="0">
                  <c:v>Categorias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2_Categorias!$B$29:$B$35</c:f>
              <c:numCache>
                <c:formatCode>#,##0</c:formatCode>
                <c:ptCount val="7"/>
                <c:pt idx="0">
                  <c:v>557</c:v>
                </c:pt>
                <c:pt idx="1">
                  <c:v>589</c:v>
                </c:pt>
                <c:pt idx="2">
                  <c:v>430</c:v>
                </c:pt>
                <c:pt idx="3">
                  <c:v>268</c:v>
                </c:pt>
                <c:pt idx="4">
                  <c:v>202</c:v>
                </c:pt>
                <c:pt idx="5">
                  <c:v>313</c:v>
                </c:pt>
                <c:pt idx="6">
                  <c:v>290</c:v>
                </c:pt>
              </c:numCache>
            </c:numRef>
          </c:xVal>
          <c:yVal>
            <c:numRef>
              <c:f>2_Categorias!$C$29:$C$35</c:f>
              <c:numCache>
                <c:formatCode>"R$ "#,##0.00</c:formatCode>
                <c:ptCount val="7"/>
                <c:pt idx="0">
                  <c:v>30008.46</c:v>
                </c:pt>
                <c:pt idx="1">
                  <c:v>26172.15</c:v>
                </c:pt>
                <c:pt idx="2">
                  <c:v>17880.79</c:v>
                </c:pt>
                <c:pt idx="3">
                  <c:v>12390.32</c:v>
                </c:pt>
                <c:pt idx="4">
                  <c:v>8898.98</c:v>
                </c:pt>
                <c:pt idx="5">
                  <c:v>7820.41</c:v>
                </c:pt>
                <c:pt idx="6">
                  <c:v>6173.26</c:v>
                </c:pt>
              </c:numCache>
            </c:numRef>
          </c:yVal>
          <c:smooth val="1"/>
        </c:ser>
        <c:axId val="69295145"/>
        <c:axId val="34749097"/>
      </c:scatterChart>
      <c:valAx>
        <c:axId val="692951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unidades vendidas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49097"/>
        <c:crosses val="autoZero"/>
        <c:crossBetween val="midCat"/>
      </c:valAx>
      <c:valAx>
        <c:axId val="34749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514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Faixa central de preço (1º quartil, mediana, 3º quartil)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2_Categorias!D49</c:f>
              <c:strCache>
                <c:ptCount val="1"/>
                <c:pt idx="0">
                  <c:v>1º quartil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2_Categorias!$A$50:$A$56</c:f>
              <c:strCache>
                <c:ptCount val="7"/>
                <c:pt idx="0">
                  <c:v>Mercearia</c:v>
                </c:pt>
                <c:pt idx="1">
                  <c:v>Bebidas</c:v>
                </c:pt>
                <c:pt idx="2">
                  <c:v>Limpeza</c:v>
                </c:pt>
                <c:pt idx="3">
                  <c:v>Frios</c:v>
                </c:pt>
                <c:pt idx="4">
                  <c:v>Higiene</c:v>
                </c:pt>
                <c:pt idx="5">
                  <c:v>Padaria</c:v>
                </c:pt>
                <c:pt idx="6">
                  <c:v>Hortifruti</c:v>
                </c:pt>
              </c:strCache>
            </c:strRef>
          </c:cat>
          <c:val>
            <c:numRef>
              <c:f>2_Categorias!$D$50:$D$56</c:f>
              <c:numCache>
                <c:formatCode>"R$ "#,##0.00</c:formatCode>
                <c:ptCount val="7"/>
                <c:pt idx="0">
                  <c:v>5.05</c:v>
                </c:pt>
                <c:pt idx="1">
                  <c:v>5.4875</c:v>
                </c:pt>
                <c:pt idx="2">
                  <c:v>5.525</c:v>
                </c:pt>
                <c:pt idx="3">
                  <c:v>9.915</c:v>
                </c:pt>
                <c:pt idx="4">
                  <c:v>6.5725</c:v>
                </c:pt>
                <c:pt idx="5">
                  <c:v>3.74</c:v>
                </c:pt>
                <c:pt idx="6">
                  <c:v>3.76</c:v>
                </c:pt>
              </c:numCache>
            </c:numRef>
          </c:val>
        </c:ser>
        <c:ser>
          <c:idx val="1"/>
          <c:order val="1"/>
          <c:tx>
            <c:strRef>
              <c:f>2_Categorias!E49</c:f>
              <c:strCache>
                <c:ptCount val="1"/>
                <c:pt idx="0">
                  <c:v>Mediana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2_Categorias!$A$50:$A$56</c:f>
              <c:strCache>
                <c:ptCount val="7"/>
                <c:pt idx="0">
                  <c:v>Mercearia</c:v>
                </c:pt>
                <c:pt idx="1">
                  <c:v>Bebidas</c:v>
                </c:pt>
                <c:pt idx="2">
                  <c:v>Limpeza</c:v>
                </c:pt>
                <c:pt idx="3">
                  <c:v>Frios</c:v>
                </c:pt>
                <c:pt idx="4">
                  <c:v>Higiene</c:v>
                </c:pt>
                <c:pt idx="5">
                  <c:v>Padaria</c:v>
                </c:pt>
                <c:pt idx="6">
                  <c:v>Hortifruti</c:v>
                </c:pt>
              </c:strCache>
            </c:strRef>
          </c:cat>
          <c:val>
            <c:numRef>
              <c:f>2_Categorias!$E$50:$E$56</c:f>
              <c:numCache>
                <c:formatCode>"R$ "#,##0.00</c:formatCode>
                <c:ptCount val="7"/>
                <c:pt idx="0">
                  <c:v>29.18</c:v>
                </c:pt>
                <c:pt idx="1">
                  <c:v>30.44</c:v>
                </c:pt>
                <c:pt idx="2">
                  <c:v>21.67</c:v>
                </c:pt>
                <c:pt idx="3">
                  <c:v>28.195</c:v>
                </c:pt>
                <c:pt idx="4">
                  <c:v>26.69</c:v>
                </c:pt>
                <c:pt idx="5">
                  <c:v>18.33</c:v>
                </c:pt>
                <c:pt idx="6">
                  <c:v>11.31</c:v>
                </c:pt>
              </c:numCache>
            </c:numRef>
          </c:val>
        </c:ser>
        <c:ser>
          <c:idx val="2"/>
          <c:order val="2"/>
          <c:tx>
            <c:strRef>
              <c:f>2_Categorias!F49</c:f>
              <c:strCache>
                <c:ptCount val="1"/>
                <c:pt idx="0">
                  <c:v>3º quartil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2_Categorias!$A$50:$A$56</c:f>
              <c:strCache>
                <c:ptCount val="7"/>
                <c:pt idx="0">
                  <c:v>Mercearia</c:v>
                </c:pt>
                <c:pt idx="1">
                  <c:v>Bebidas</c:v>
                </c:pt>
                <c:pt idx="2">
                  <c:v>Limpeza</c:v>
                </c:pt>
                <c:pt idx="3">
                  <c:v>Frios</c:v>
                </c:pt>
                <c:pt idx="4">
                  <c:v>Higiene</c:v>
                </c:pt>
                <c:pt idx="5">
                  <c:v>Padaria</c:v>
                </c:pt>
                <c:pt idx="6">
                  <c:v>Hortifruti</c:v>
                </c:pt>
              </c:strCache>
            </c:strRef>
          </c:cat>
          <c:val>
            <c:numRef>
              <c:f>2_Categorias!$F$50:$F$56</c:f>
              <c:numCache>
                <c:formatCode>"R$ "#,##0.00</c:formatCode>
                <c:ptCount val="7"/>
                <c:pt idx="0">
                  <c:v>78.195</c:v>
                </c:pt>
                <c:pt idx="1">
                  <c:v>77.09</c:v>
                </c:pt>
                <c:pt idx="2">
                  <c:v>73.63</c:v>
                </c:pt>
                <c:pt idx="3">
                  <c:v>86.3</c:v>
                </c:pt>
                <c:pt idx="4">
                  <c:v>73.2225</c:v>
                </c:pt>
                <c:pt idx="5">
                  <c:v>38.445</c:v>
                </c:pt>
                <c:pt idx="6">
                  <c:v>30.03</c:v>
                </c:pt>
              </c:numCache>
            </c:numRef>
          </c:val>
        </c:ser>
        <c:gapWidth val="150"/>
        <c:overlap val="0"/>
        <c:axId val="33225500"/>
        <c:axId val="47501519"/>
      </c:barChart>
      <c:catAx>
        <c:axId val="33225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01519"/>
        <c:crosses val="autoZero"/>
        <c:auto val="1"/>
        <c:lblAlgn val="ctr"/>
        <c:lblOffset val="100"/>
        <c:noMultiLvlLbl val="0"/>
      </c:catAx>
      <c:valAx>
        <c:axId val="47501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255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mensal de cada categoria na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percentStacked"/>
        <c:ser>
          <c:idx val="0"/>
          <c:order val="0"/>
          <c:tx>
            <c:strRef>
              <c:f>2_Categorias!B70</c:f>
              <c:strCache>
                <c:ptCount val="1"/>
                <c:pt idx="0">
                  <c:v>Mercearia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2_Categorias!$B$71:$B$82</c:f>
              <c:numCache>
                <c:formatCode>0.0%</c:formatCode>
                <c:ptCount val="12"/>
                <c:pt idx="0">
                  <c:v>0.140838071734672</c:v>
                </c:pt>
                <c:pt idx="1">
                  <c:v>0.394965890044889</c:v>
                </c:pt>
                <c:pt idx="2">
                  <c:v>0.182180023945501</c:v>
                </c:pt>
                <c:pt idx="3">
                  <c:v>0.32338740369052</c:v>
                </c:pt>
                <c:pt idx="4">
                  <c:v>0.0628207365516181</c:v>
                </c:pt>
                <c:pt idx="5">
                  <c:v>0.26031812434041</c:v>
                </c:pt>
                <c:pt idx="6">
                  <c:v>0.296753691989912</c:v>
                </c:pt>
                <c:pt idx="7">
                  <c:v>0.478121620777323</c:v>
                </c:pt>
                <c:pt idx="8">
                  <c:v>0.291195099014091</c:v>
                </c:pt>
                <c:pt idx="9">
                  <c:v>0.293961908577903</c:v>
                </c:pt>
                <c:pt idx="10">
                  <c:v>0.320339148972165</c:v>
                </c:pt>
                <c:pt idx="11">
                  <c:v>0.245554382288469</c:v>
                </c:pt>
              </c:numCache>
            </c:numRef>
          </c:val>
        </c:ser>
        <c:ser>
          <c:idx val="1"/>
          <c:order val="1"/>
          <c:tx>
            <c:strRef>
              <c:f>2_Categorias!C70</c:f>
              <c:strCache>
                <c:ptCount val="1"/>
                <c:pt idx="0">
                  <c:v>Bebidas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2_Categorias!$C$71:$C$82</c:f>
              <c:numCache>
                <c:formatCode>0.0%</c:formatCode>
                <c:ptCount val="12"/>
                <c:pt idx="0">
                  <c:v>0.346793172255479</c:v>
                </c:pt>
                <c:pt idx="1">
                  <c:v>0.109378924915523</c:v>
                </c:pt>
                <c:pt idx="2">
                  <c:v>0.345133580983241</c:v>
                </c:pt>
                <c:pt idx="3">
                  <c:v>0.175885833240355</c:v>
                </c:pt>
                <c:pt idx="4">
                  <c:v>0.326286865292867</c:v>
                </c:pt>
                <c:pt idx="5">
                  <c:v>0.22868361826709</c:v>
                </c:pt>
                <c:pt idx="6">
                  <c:v>0.200200292973527</c:v>
                </c:pt>
                <c:pt idx="7">
                  <c:v>0.0874846808571992</c:v>
                </c:pt>
                <c:pt idx="8">
                  <c:v>0.22096760240696</c:v>
                </c:pt>
                <c:pt idx="9">
                  <c:v>0.330376801980777</c:v>
                </c:pt>
                <c:pt idx="10">
                  <c:v>0.25587765393765</c:v>
                </c:pt>
                <c:pt idx="11">
                  <c:v>0.213741630279532</c:v>
                </c:pt>
              </c:numCache>
            </c:numRef>
          </c:val>
        </c:ser>
        <c:ser>
          <c:idx val="2"/>
          <c:order val="2"/>
          <c:tx>
            <c:strRef>
              <c:f>2_Categorias!D70</c:f>
              <c:strCache>
                <c:ptCount val="1"/>
                <c:pt idx="0">
                  <c:v>Limpeza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2_Categorias!$D$71:$D$82</c:f>
              <c:numCache>
                <c:formatCode>0.0%</c:formatCode>
                <c:ptCount val="12"/>
                <c:pt idx="0">
                  <c:v>0.0673603352731598</c:v>
                </c:pt>
                <c:pt idx="1">
                  <c:v>0.129397856756638</c:v>
                </c:pt>
                <c:pt idx="2">
                  <c:v>0.101913427427186</c:v>
                </c:pt>
                <c:pt idx="3">
                  <c:v>0.22377118961409</c:v>
                </c:pt>
                <c:pt idx="4">
                  <c:v>0.163618652682183</c:v>
                </c:pt>
                <c:pt idx="5">
                  <c:v>0.247036005286226</c:v>
                </c:pt>
                <c:pt idx="6">
                  <c:v>0.271189306037194</c:v>
                </c:pt>
                <c:pt idx="7">
                  <c:v>0.0950031959937138</c:v>
                </c:pt>
                <c:pt idx="8">
                  <c:v>0.143262307113443</c:v>
                </c:pt>
                <c:pt idx="9">
                  <c:v>0.105752631018944</c:v>
                </c:pt>
                <c:pt idx="10">
                  <c:v>0.262906032620421</c:v>
                </c:pt>
                <c:pt idx="11">
                  <c:v>0.140446865270434</c:v>
                </c:pt>
              </c:numCache>
            </c:numRef>
          </c:val>
        </c:ser>
        <c:ser>
          <c:idx val="3"/>
          <c:order val="3"/>
          <c:tx>
            <c:strRef>
              <c:f>2_Categorias!E70</c:f>
              <c:strCache>
                <c:ptCount val="1"/>
                <c:pt idx="0">
                  <c:v>Frios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2_Categorias!$E$71:$E$82</c:f>
              <c:numCache>
                <c:formatCode>0.0%</c:formatCode>
                <c:ptCount val="12"/>
                <c:pt idx="0">
                  <c:v>0.102307226270475</c:v>
                </c:pt>
                <c:pt idx="1">
                  <c:v>0.219886096734045</c:v>
                </c:pt>
                <c:pt idx="2">
                  <c:v>0.0839297172513319</c:v>
                </c:pt>
                <c:pt idx="3">
                  <c:v>0.0519264952901779</c:v>
                </c:pt>
                <c:pt idx="4">
                  <c:v>0.209868801804653</c:v>
                </c:pt>
                <c:pt idx="5">
                  <c:v>0.0670571121611729</c:v>
                </c:pt>
                <c:pt idx="6">
                  <c:v>0.125347873882363</c:v>
                </c:pt>
                <c:pt idx="7">
                  <c:v>0.146240982732022</c:v>
                </c:pt>
                <c:pt idx="8">
                  <c:v>0.118229959750672</c:v>
                </c:pt>
                <c:pt idx="9">
                  <c:v>0.0487525725465311</c:v>
                </c:pt>
                <c:pt idx="10">
                  <c:v>0.0168833156079429</c:v>
                </c:pt>
                <c:pt idx="11">
                  <c:v>0.181612232056828</c:v>
                </c:pt>
              </c:numCache>
            </c:numRef>
          </c:val>
        </c:ser>
        <c:ser>
          <c:idx val="4"/>
          <c:order val="4"/>
          <c:tx>
            <c:strRef>
              <c:f>2_Categorias!F70</c:f>
              <c:strCache>
                <c:ptCount val="1"/>
                <c:pt idx="0">
                  <c:v>Higiene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2_Categorias!$F$71:$F$82</c:f>
              <c:numCache>
                <c:formatCode>0.0%</c:formatCode>
                <c:ptCount val="12"/>
                <c:pt idx="0">
                  <c:v>0.0945334689544391</c:v>
                </c:pt>
                <c:pt idx="1">
                  <c:v>0.0605620230673272</c:v>
                </c:pt>
                <c:pt idx="2">
                  <c:v>0.142483104162928</c:v>
                </c:pt>
                <c:pt idx="3">
                  <c:v>0.089929096658724</c:v>
                </c:pt>
                <c:pt idx="4">
                  <c:v>0.135052210118243</c:v>
                </c:pt>
                <c:pt idx="5">
                  <c:v>0.03484264240689</c:v>
                </c:pt>
                <c:pt idx="6">
                  <c:v>0.0462965108346141</c:v>
                </c:pt>
                <c:pt idx="7">
                  <c:v>0.0468921964887323</c:v>
                </c:pt>
                <c:pt idx="8">
                  <c:v>0.169121593527365</c:v>
                </c:pt>
                <c:pt idx="9">
                  <c:v>0.0700346137513696</c:v>
                </c:pt>
                <c:pt idx="10">
                  <c:v>0.0301939908550291</c:v>
                </c:pt>
                <c:pt idx="11">
                  <c:v>0.0481410964656575</c:v>
                </c:pt>
              </c:numCache>
            </c:numRef>
          </c:val>
        </c:ser>
        <c:ser>
          <c:idx val="5"/>
          <c:order val="5"/>
          <c:tx>
            <c:strRef>
              <c:f>2_Categorias!G70</c:f>
              <c:strCache>
                <c:ptCount val="1"/>
                <c:pt idx="0">
                  <c:v>Padaria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2_Categorias!$G$71:$G$82</c:f>
              <c:numCache>
                <c:formatCode>0.0%</c:formatCode>
                <c:ptCount val="12"/>
                <c:pt idx="0">
                  <c:v>0.070783100720904</c:v>
                </c:pt>
                <c:pt idx="1">
                  <c:v>0.0554558188447036</c:v>
                </c:pt>
                <c:pt idx="2">
                  <c:v>0.10046907613145</c:v>
                </c:pt>
                <c:pt idx="3">
                  <c:v>0.0337872227257513</c:v>
                </c:pt>
                <c:pt idx="4">
                  <c:v>0.0556214487901115</c:v>
                </c:pt>
                <c:pt idx="5">
                  <c:v>0.102180907921598</c:v>
                </c:pt>
                <c:pt idx="6">
                  <c:v>0.0539950038316544</c:v>
                </c:pt>
                <c:pt idx="7">
                  <c:v>0.0944168633123952</c:v>
                </c:pt>
                <c:pt idx="8">
                  <c:v>0.0424259731416894</c:v>
                </c:pt>
                <c:pt idx="9">
                  <c:v>0.0905766434342669</c:v>
                </c:pt>
                <c:pt idx="10">
                  <c:v>0.0810283197565396</c:v>
                </c:pt>
                <c:pt idx="11">
                  <c:v>0.0778718656441576</c:v>
                </c:pt>
              </c:numCache>
            </c:numRef>
          </c:val>
        </c:ser>
        <c:ser>
          <c:idx val="6"/>
          <c:order val="6"/>
          <c:tx>
            <c:strRef>
              <c:f>2_Categorias!H70</c:f>
              <c:strCache>
                <c:ptCount val="1"/>
                <c:pt idx="0">
                  <c:v>Hortifruti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2_Categorias!$A$71:$A$82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2_Categorias!$H$71:$H$82</c:f>
              <c:numCache>
                <c:formatCode>0.0%</c:formatCode>
                <c:ptCount val="12"/>
                <c:pt idx="0">
                  <c:v>0.177384624790871</c:v>
                </c:pt>
                <c:pt idx="1">
                  <c:v>0.0303533896368748</c:v>
                </c:pt>
                <c:pt idx="2">
                  <c:v>0.0438910700983634</c:v>
                </c:pt>
                <c:pt idx="3">
                  <c:v>0.101312758780383</c:v>
                </c:pt>
                <c:pt idx="4">
                  <c:v>0.0467312847603245</c:v>
                </c:pt>
                <c:pt idx="5">
                  <c:v>0.0598815896166128</c:v>
                </c:pt>
                <c:pt idx="6">
                  <c:v>0.00621732045073642</c:v>
                </c:pt>
                <c:pt idx="7">
                  <c:v>0.0518404598386143</c:v>
                </c:pt>
                <c:pt idx="8">
                  <c:v>0.0147974650457793</c:v>
                </c:pt>
                <c:pt idx="9">
                  <c:v>0.0605448286902084</c:v>
                </c:pt>
                <c:pt idx="10">
                  <c:v>0.0327715382502521</c:v>
                </c:pt>
                <c:pt idx="11">
                  <c:v>0.0926319279949228</c:v>
                </c:pt>
              </c:numCache>
            </c:numRef>
          </c:val>
        </c:ser>
        <c:axId val="92101105"/>
        <c:axId val="7414571"/>
      </c:areaChart>
      <c:catAx>
        <c:axId val="92101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4571"/>
        <c:crosses val="autoZero"/>
        <c:auto val="1"/>
        <c:lblAlgn val="ctr"/>
        <c:lblOffset val="100"/>
        <c:noMultiLvlLbl val="0"/>
      </c:catAx>
      <c:valAx>
        <c:axId val="7414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0110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3_Canais!B8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3_Canais!$A$9:$A$13</c:f>
              <c:strCache>
                <c:ptCount val="5"/>
                <c:pt idx="0">
                  <c:v>Loja</c:v>
                </c:pt>
                <c:pt idx="1">
                  <c:v>Site</c:v>
                </c:pt>
                <c:pt idx="2">
                  <c:v>App</c:v>
                </c:pt>
                <c:pt idx="3">
                  <c:v>Televendas</c:v>
                </c:pt>
                <c:pt idx="4">
                  <c:v>Não informado</c:v>
                </c:pt>
              </c:strCache>
            </c:strRef>
          </c:cat>
          <c:val>
            <c:numRef>
              <c:f>3_Canais!$B$9:$B$13</c:f>
              <c:numCache>
                <c:formatCode>"R$ "#,##0.00</c:formatCode>
                <c:ptCount val="5"/>
                <c:pt idx="0">
                  <c:v>38289.29</c:v>
                </c:pt>
                <c:pt idx="1">
                  <c:v>23622.95</c:v>
                </c:pt>
                <c:pt idx="2">
                  <c:v>16769.02</c:v>
                </c:pt>
                <c:pt idx="3">
                  <c:v>2567.09</c:v>
                </c:pt>
                <c:pt idx="4">
                  <c:v>28096.02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médio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3_Canais!D26</c:f>
              <c:strCache>
                <c:ptCount val="1"/>
                <c:pt idx="0">
                  <c:v>Ticket médio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3_Canais!$A$27:$A$31</c:f>
              <c:strCache>
                <c:ptCount val="5"/>
                <c:pt idx="0">
                  <c:v>Loja</c:v>
                </c:pt>
                <c:pt idx="1">
                  <c:v>Site</c:v>
                </c:pt>
                <c:pt idx="2">
                  <c:v>App</c:v>
                </c:pt>
                <c:pt idx="3">
                  <c:v>Televendas</c:v>
                </c:pt>
                <c:pt idx="4">
                  <c:v>Não informado</c:v>
                </c:pt>
              </c:strCache>
            </c:strRef>
          </c:cat>
          <c:val>
            <c:numRef>
              <c:f>3_Canais!$D$27:$D$31</c:f>
              <c:numCache>
                <c:formatCode>"R$ "#,##0.00</c:formatCode>
                <c:ptCount val="5"/>
                <c:pt idx="0">
                  <c:v>112.947758112094</c:v>
                </c:pt>
                <c:pt idx="1">
                  <c:v>112.490238095238</c:v>
                </c:pt>
                <c:pt idx="2">
                  <c:v>93.1612222222222</c:v>
                </c:pt>
                <c:pt idx="3">
                  <c:v>67.555</c:v>
                </c:pt>
                <c:pt idx="4">
                  <c:v>120.583776824034</c:v>
                </c:pt>
              </c:numCache>
            </c:numRef>
          </c:val>
        </c:ser>
        <c:gapWidth val="150"/>
        <c:overlap val="0"/>
        <c:axId val="29513911"/>
        <c:axId val="99671220"/>
      </c:barChart>
      <c:catAx>
        <c:axId val="295139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71220"/>
        <c:crosses val="autoZero"/>
        <c:auto val="1"/>
        <c:lblAlgn val="ctr"/>
        <c:lblOffset val="100"/>
        <c:noMultiLvlLbl val="0"/>
      </c:catAx>
      <c:valAx>
        <c:axId val="99671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13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UF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4_Geografia!B8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4_Geografia!$A$9:$A$24</c:f>
              <c:strCache>
                <c:ptCount val="16"/>
                <c:pt idx="0">
                  <c:v>SP</c:v>
                </c:pt>
                <c:pt idx="1">
                  <c:v>MG</c:v>
                </c:pt>
                <c:pt idx="2">
                  <c:v>BA</c:v>
                </c:pt>
                <c:pt idx="3">
                  <c:v>RJ</c:v>
                </c:pt>
                <c:pt idx="4">
                  <c:v>CE</c:v>
                </c:pt>
                <c:pt idx="5">
                  <c:v>RS</c:v>
                </c:pt>
                <c:pt idx="6">
                  <c:v>PE</c:v>
                </c:pt>
                <c:pt idx="7">
                  <c:v>ES</c:v>
                </c:pt>
                <c:pt idx="8">
                  <c:v>PR</c:v>
                </c:pt>
                <c:pt idx="9">
                  <c:v>GO</c:v>
                </c:pt>
                <c:pt idx="10">
                  <c:v>MA</c:v>
                </c:pt>
                <c:pt idx="11">
                  <c:v>PA</c:v>
                </c:pt>
                <c:pt idx="12">
                  <c:v>AM</c:v>
                </c:pt>
                <c:pt idx="13">
                  <c:v>SC</c:v>
                </c:pt>
                <c:pt idx="14">
                  <c:v>PB</c:v>
                </c:pt>
                <c:pt idx="15">
                  <c:v>NI</c:v>
                </c:pt>
              </c:strCache>
            </c:strRef>
          </c:cat>
          <c:val>
            <c:numRef>
              <c:f>4_Geografia!$B$9:$B$24</c:f>
              <c:numCache>
                <c:formatCode>"R$ "#,##0.00</c:formatCode>
                <c:ptCount val="16"/>
                <c:pt idx="0">
                  <c:v>22877.15</c:v>
                </c:pt>
                <c:pt idx="1">
                  <c:v>9957</c:v>
                </c:pt>
                <c:pt idx="2">
                  <c:v>8549.11</c:v>
                </c:pt>
                <c:pt idx="3">
                  <c:v>7484.96</c:v>
                </c:pt>
                <c:pt idx="4">
                  <c:v>5699.85</c:v>
                </c:pt>
                <c:pt idx="5">
                  <c:v>5225.46</c:v>
                </c:pt>
                <c:pt idx="6">
                  <c:v>5064.29</c:v>
                </c:pt>
                <c:pt idx="7">
                  <c:v>4022.49</c:v>
                </c:pt>
                <c:pt idx="8">
                  <c:v>3879.87</c:v>
                </c:pt>
                <c:pt idx="9">
                  <c:v>3860.62</c:v>
                </c:pt>
                <c:pt idx="10">
                  <c:v>3248.4</c:v>
                </c:pt>
                <c:pt idx="11">
                  <c:v>2621.45</c:v>
                </c:pt>
                <c:pt idx="12">
                  <c:v>1983.24</c:v>
                </c:pt>
                <c:pt idx="13">
                  <c:v>1957.51</c:v>
                </c:pt>
                <c:pt idx="14">
                  <c:v>1259.45</c:v>
                </c:pt>
                <c:pt idx="15">
                  <c:v>21653.52</c:v>
                </c:pt>
              </c:numCache>
            </c:numRef>
          </c:val>
        </c:ser>
        <c:gapWidth val="150"/>
        <c:overlap val="0"/>
        <c:axId val="95849714"/>
        <c:axId val="23535457"/>
      </c:barChart>
      <c:catAx>
        <c:axId val="958497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35457"/>
        <c:crosses val="autoZero"/>
        <c:auto val="1"/>
        <c:lblAlgn val="ctr"/>
        <c:lblOffset val="100"/>
        <c:noMultiLvlLbl val="0"/>
      </c:catAx>
      <c:valAx>
        <c:axId val="23535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49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Canais por UF (% das vendas)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4_Geografia!B54</c:f>
              <c:strCache>
                <c:ptCount val="1"/>
                <c:pt idx="0">
                  <c:v>Loja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4_Geografia!$A$55:$A$70</c:f>
              <c:strCache>
                <c:ptCount val="16"/>
                <c:pt idx="0">
                  <c:v>SP</c:v>
                </c:pt>
                <c:pt idx="1">
                  <c:v>MG</c:v>
                </c:pt>
                <c:pt idx="2">
                  <c:v>BA</c:v>
                </c:pt>
                <c:pt idx="3">
                  <c:v>RJ</c:v>
                </c:pt>
                <c:pt idx="4">
                  <c:v>CE</c:v>
                </c:pt>
                <c:pt idx="5">
                  <c:v>RS</c:v>
                </c:pt>
                <c:pt idx="6">
                  <c:v>PE</c:v>
                </c:pt>
                <c:pt idx="7">
                  <c:v>ES</c:v>
                </c:pt>
                <c:pt idx="8">
                  <c:v>PR</c:v>
                </c:pt>
                <c:pt idx="9">
                  <c:v>GO</c:v>
                </c:pt>
                <c:pt idx="10">
                  <c:v>MA</c:v>
                </c:pt>
                <c:pt idx="11">
                  <c:v>PA</c:v>
                </c:pt>
                <c:pt idx="12">
                  <c:v>AM</c:v>
                </c:pt>
                <c:pt idx="13">
                  <c:v>SC</c:v>
                </c:pt>
                <c:pt idx="14">
                  <c:v>PB</c:v>
                </c:pt>
                <c:pt idx="15">
                  <c:v>NI</c:v>
                </c:pt>
              </c:strCache>
            </c:strRef>
          </c:cat>
          <c:val>
            <c:numRef>
              <c:f>4_Geografia!$B$55:$B$70</c:f>
              <c:numCache>
                <c:formatCode>0.0%</c:formatCode>
                <c:ptCount val="16"/>
                <c:pt idx="0">
                  <c:v>0.33920704845815</c:v>
                </c:pt>
                <c:pt idx="1">
                  <c:v>0.405063291139241</c:v>
                </c:pt>
                <c:pt idx="2">
                  <c:v>0.37037037037037</c:v>
                </c:pt>
                <c:pt idx="3">
                  <c:v>0.372340425531915</c:v>
                </c:pt>
                <c:pt idx="4">
                  <c:v>0.292682926829268</c:v>
                </c:pt>
                <c:pt idx="5">
                  <c:v>0.372093023255814</c:v>
                </c:pt>
                <c:pt idx="6">
                  <c:v>0.25</c:v>
                </c:pt>
                <c:pt idx="7">
                  <c:v>0.363636363636364</c:v>
                </c:pt>
                <c:pt idx="8">
                  <c:v>0.3</c:v>
                </c:pt>
                <c:pt idx="9">
                  <c:v>0.303030303030303</c:v>
                </c:pt>
                <c:pt idx="10">
                  <c:v>0.470588235294118</c:v>
                </c:pt>
                <c:pt idx="11">
                  <c:v>0.375</c:v>
                </c:pt>
                <c:pt idx="12">
                  <c:v>0.666666666666667</c:v>
                </c:pt>
                <c:pt idx="13">
                  <c:v>0.153846153846154</c:v>
                </c:pt>
                <c:pt idx="14">
                  <c:v>0.266666666666667</c:v>
                </c:pt>
                <c:pt idx="15">
                  <c:v>0.325102880658436</c:v>
                </c:pt>
              </c:numCache>
            </c:numRef>
          </c:val>
        </c:ser>
        <c:ser>
          <c:idx val="1"/>
          <c:order val="1"/>
          <c:tx>
            <c:strRef>
              <c:f>4_Geografia!C54</c:f>
              <c:strCache>
                <c:ptCount val="1"/>
                <c:pt idx="0">
                  <c:v>Site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4_Geografia!$A$55:$A$70</c:f>
              <c:strCache>
                <c:ptCount val="16"/>
                <c:pt idx="0">
                  <c:v>SP</c:v>
                </c:pt>
                <c:pt idx="1">
                  <c:v>MG</c:v>
                </c:pt>
                <c:pt idx="2">
                  <c:v>BA</c:v>
                </c:pt>
                <c:pt idx="3">
                  <c:v>RJ</c:v>
                </c:pt>
                <c:pt idx="4">
                  <c:v>CE</c:v>
                </c:pt>
                <c:pt idx="5">
                  <c:v>RS</c:v>
                </c:pt>
                <c:pt idx="6">
                  <c:v>PE</c:v>
                </c:pt>
                <c:pt idx="7">
                  <c:v>ES</c:v>
                </c:pt>
                <c:pt idx="8">
                  <c:v>PR</c:v>
                </c:pt>
                <c:pt idx="9">
                  <c:v>GO</c:v>
                </c:pt>
                <c:pt idx="10">
                  <c:v>MA</c:v>
                </c:pt>
                <c:pt idx="11">
                  <c:v>PA</c:v>
                </c:pt>
                <c:pt idx="12">
                  <c:v>AM</c:v>
                </c:pt>
                <c:pt idx="13">
                  <c:v>SC</c:v>
                </c:pt>
                <c:pt idx="14">
                  <c:v>PB</c:v>
                </c:pt>
                <c:pt idx="15">
                  <c:v>NI</c:v>
                </c:pt>
              </c:strCache>
            </c:strRef>
          </c:cat>
          <c:val>
            <c:numRef>
              <c:f>4_Geografia!$C$55:$C$70</c:f>
              <c:numCache>
                <c:formatCode>0.0%</c:formatCode>
                <c:ptCount val="16"/>
                <c:pt idx="0">
                  <c:v>0.176211453744493</c:v>
                </c:pt>
                <c:pt idx="1">
                  <c:v>0.240506329113924</c:v>
                </c:pt>
                <c:pt idx="2">
                  <c:v>0.166666666666667</c:v>
                </c:pt>
                <c:pt idx="3">
                  <c:v>0.212765957446809</c:v>
                </c:pt>
                <c:pt idx="4">
                  <c:v>0.195121951219512</c:v>
                </c:pt>
                <c:pt idx="5">
                  <c:v>0.162790697674419</c:v>
                </c:pt>
                <c:pt idx="6">
                  <c:v>0.25</c:v>
                </c:pt>
                <c:pt idx="7">
                  <c:v>0.318181818181818</c:v>
                </c:pt>
                <c:pt idx="8">
                  <c:v>0.1</c:v>
                </c:pt>
                <c:pt idx="9">
                  <c:v>0.242424242424242</c:v>
                </c:pt>
                <c:pt idx="10">
                  <c:v>0.294117647058824</c:v>
                </c:pt>
                <c:pt idx="11">
                  <c:v>0.333333333333333</c:v>
                </c:pt>
                <c:pt idx="12">
                  <c:v>0.166666666666667</c:v>
                </c:pt>
                <c:pt idx="13">
                  <c:v>0.346153846153846</c:v>
                </c:pt>
                <c:pt idx="14">
                  <c:v>0.333333333333333</c:v>
                </c:pt>
                <c:pt idx="15">
                  <c:v>0.209876543209877</c:v>
                </c:pt>
              </c:numCache>
            </c:numRef>
          </c:val>
        </c:ser>
        <c:ser>
          <c:idx val="2"/>
          <c:order val="2"/>
          <c:tx>
            <c:strRef>
              <c:f>4_Geografia!D54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4_Geografia!$A$55:$A$70</c:f>
              <c:strCache>
                <c:ptCount val="16"/>
                <c:pt idx="0">
                  <c:v>SP</c:v>
                </c:pt>
                <c:pt idx="1">
                  <c:v>MG</c:v>
                </c:pt>
                <c:pt idx="2">
                  <c:v>BA</c:v>
                </c:pt>
                <c:pt idx="3">
                  <c:v>RJ</c:v>
                </c:pt>
                <c:pt idx="4">
                  <c:v>CE</c:v>
                </c:pt>
                <c:pt idx="5">
                  <c:v>RS</c:v>
                </c:pt>
                <c:pt idx="6">
                  <c:v>PE</c:v>
                </c:pt>
                <c:pt idx="7">
                  <c:v>ES</c:v>
                </c:pt>
                <c:pt idx="8">
                  <c:v>PR</c:v>
                </c:pt>
                <c:pt idx="9">
                  <c:v>GO</c:v>
                </c:pt>
                <c:pt idx="10">
                  <c:v>MA</c:v>
                </c:pt>
                <c:pt idx="11">
                  <c:v>PA</c:v>
                </c:pt>
                <c:pt idx="12">
                  <c:v>AM</c:v>
                </c:pt>
                <c:pt idx="13">
                  <c:v>SC</c:v>
                </c:pt>
                <c:pt idx="14">
                  <c:v>PB</c:v>
                </c:pt>
                <c:pt idx="15">
                  <c:v>NI</c:v>
                </c:pt>
              </c:strCache>
            </c:strRef>
          </c:cat>
          <c:val>
            <c:numRef>
              <c:f>4_Geografia!$D$55:$D$70</c:f>
              <c:numCache>
                <c:formatCode>0.0%</c:formatCode>
                <c:ptCount val="16"/>
                <c:pt idx="0">
                  <c:v>0.202643171806167</c:v>
                </c:pt>
                <c:pt idx="1">
                  <c:v>0.151898734177215</c:v>
                </c:pt>
                <c:pt idx="2">
                  <c:v>0.148148148148148</c:v>
                </c:pt>
                <c:pt idx="3">
                  <c:v>0.180851063829787</c:v>
                </c:pt>
                <c:pt idx="4">
                  <c:v>0.317073170731707</c:v>
                </c:pt>
                <c:pt idx="5">
                  <c:v>0.255813953488372</c:v>
                </c:pt>
                <c:pt idx="6">
                  <c:v>0.138888888888889</c:v>
                </c:pt>
                <c:pt idx="7">
                  <c:v>0.136363636363636</c:v>
                </c:pt>
                <c:pt idx="8">
                  <c:v>0.125</c:v>
                </c:pt>
                <c:pt idx="9">
                  <c:v>0.151515151515152</c:v>
                </c:pt>
                <c:pt idx="10">
                  <c:v>0</c:v>
                </c:pt>
                <c:pt idx="11">
                  <c:v>0.125</c:v>
                </c:pt>
                <c:pt idx="12">
                  <c:v>0.166666666666667</c:v>
                </c:pt>
                <c:pt idx="13">
                  <c:v>0.230769230769231</c:v>
                </c:pt>
                <c:pt idx="14">
                  <c:v>0.133333333333333</c:v>
                </c:pt>
                <c:pt idx="15">
                  <c:v>0.176954732510288</c:v>
                </c:pt>
              </c:numCache>
            </c:numRef>
          </c:val>
        </c:ser>
        <c:ser>
          <c:idx val="3"/>
          <c:order val="3"/>
          <c:tx>
            <c:strRef>
              <c:f>4_Geografia!E54</c:f>
              <c:strCache>
                <c:ptCount val="1"/>
                <c:pt idx="0">
                  <c:v>Televendas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4_Geografia!$A$55:$A$70</c:f>
              <c:strCache>
                <c:ptCount val="16"/>
                <c:pt idx="0">
                  <c:v>SP</c:v>
                </c:pt>
                <c:pt idx="1">
                  <c:v>MG</c:v>
                </c:pt>
                <c:pt idx="2">
                  <c:v>BA</c:v>
                </c:pt>
                <c:pt idx="3">
                  <c:v>RJ</c:v>
                </c:pt>
                <c:pt idx="4">
                  <c:v>CE</c:v>
                </c:pt>
                <c:pt idx="5">
                  <c:v>RS</c:v>
                </c:pt>
                <c:pt idx="6">
                  <c:v>PE</c:v>
                </c:pt>
                <c:pt idx="7">
                  <c:v>ES</c:v>
                </c:pt>
                <c:pt idx="8">
                  <c:v>PR</c:v>
                </c:pt>
                <c:pt idx="9">
                  <c:v>GO</c:v>
                </c:pt>
                <c:pt idx="10">
                  <c:v>MA</c:v>
                </c:pt>
                <c:pt idx="11">
                  <c:v>PA</c:v>
                </c:pt>
                <c:pt idx="12">
                  <c:v>AM</c:v>
                </c:pt>
                <c:pt idx="13">
                  <c:v>SC</c:v>
                </c:pt>
                <c:pt idx="14">
                  <c:v>PB</c:v>
                </c:pt>
                <c:pt idx="15">
                  <c:v>NI</c:v>
                </c:pt>
              </c:strCache>
            </c:strRef>
          </c:cat>
          <c:val>
            <c:numRef>
              <c:f>4_Geografia!$E$55:$E$70</c:f>
              <c:numCache>
                <c:formatCode>0.0%</c:formatCode>
                <c:ptCount val="16"/>
                <c:pt idx="0">
                  <c:v>0.052863436123348</c:v>
                </c:pt>
                <c:pt idx="1">
                  <c:v>0.0126582278481013</c:v>
                </c:pt>
                <c:pt idx="2">
                  <c:v>0.037037037037037</c:v>
                </c:pt>
                <c:pt idx="3">
                  <c:v>0.0212765957446809</c:v>
                </c:pt>
                <c:pt idx="4">
                  <c:v>0</c:v>
                </c:pt>
                <c:pt idx="5">
                  <c:v>0.0232558139534884</c:v>
                </c:pt>
                <c:pt idx="6">
                  <c:v>0.0555555555555556</c:v>
                </c:pt>
                <c:pt idx="7">
                  <c:v>0.0454545454545455</c:v>
                </c:pt>
                <c:pt idx="8">
                  <c:v>0.075</c:v>
                </c:pt>
                <c:pt idx="9">
                  <c:v>0.0303030303030303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0.0769230769230769</c:v>
                </c:pt>
                <c:pt idx="14">
                  <c:v>0.0666666666666667</c:v>
                </c:pt>
                <c:pt idx="15">
                  <c:v>0.0411522633744856</c:v>
                </c:pt>
              </c:numCache>
            </c:numRef>
          </c:val>
        </c:ser>
        <c:ser>
          <c:idx val="4"/>
          <c:order val="4"/>
          <c:tx>
            <c:strRef>
              <c:f>4_Geografia!F54</c:f>
              <c:strCache>
                <c:ptCount val="1"/>
                <c:pt idx="0">
                  <c:v>Não informado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4_Geografia!$A$55:$A$70</c:f>
              <c:strCache>
                <c:ptCount val="16"/>
                <c:pt idx="0">
                  <c:v>SP</c:v>
                </c:pt>
                <c:pt idx="1">
                  <c:v>MG</c:v>
                </c:pt>
                <c:pt idx="2">
                  <c:v>BA</c:v>
                </c:pt>
                <c:pt idx="3">
                  <c:v>RJ</c:v>
                </c:pt>
                <c:pt idx="4">
                  <c:v>CE</c:v>
                </c:pt>
                <c:pt idx="5">
                  <c:v>RS</c:v>
                </c:pt>
                <c:pt idx="6">
                  <c:v>PE</c:v>
                </c:pt>
                <c:pt idx="7">
                  <c:v>ES</c:v>
                </c:pt>
                <c:pt idx="8">
                  <c:v>PR</c:v>
                </c:pt>
                <c:pt idx="9">
                  <c:v>GO</c:v>
                </c:pt>
                <c:pt idx="10">
                  <c:v>MA</c:v>
                </c:pt>
                <c:pt idx="11">
                  <c:v>PA</c:v>
                </c:pt>
                <c:pt idx="12">
                  <c:v>AM</c:v>
                </c:pt>
                <c:pt idx="13">
                  <c:v>SC</c:v>
                </c:pt>
                <c:pt idx="14">
                  <c:v>PB</c:v>
                </c:pt>
                <c:pt idx="15">
                  <c:v>NI</c:v>
                </c:pt>
              </c:strCache>
            </c:strRef>
          </c:cat>
          <c:val>
            <c:numRef>
              <c:f>4_Geografia!$F$55:$F$70</c:f>
              <c:numCache>
                <c:formatCode>0.0%</c:formatCode>
                <c:ptCount val="16"/>
                <c:pt idx="0">
                  <c:v>0.229074889867841</c:v>
                </c:pt>
                <c:pt idx="1">
                  <c:v>0.189873417721519</c:v>
                </c:pt>
                <c:pt idx="2">
                  <c:v>0.277777777777778</c:v>
                </c:pt>
                <c:pt idx="3">
                  <c:v>0.212765957446809</c:v>
                </c:pt>
                <c:pt idx="4">
                  <c:v>0.195121951219512</c:v>
                </c:pt>
                <c:pt idx="5">
                  <c:v>0.186046511627907</c:v>
                </c:pt>
                <c:pt idx="6">
                  <c:v>0.305555555555556</c:v>
                </c:pt>
                <c:pt idx="7">
                  <c:v>0.136363636363636</c:v>
                </c:pt>
                <c:pt idx="8">
                  <c:v>0.4</c:v>
                </c:pt>
                <c:pt idx="9">
                  <c:v>0.272727272727273</c:v>
                </c:pt>
                <c:pt idx="10">
                  <c:v>0.235294117647059</c:v>
                </c:pt>
                <c:pt idx="11">
                  <c:v>0.166666666666667</c:v>
                </c:pt>
                <c:pt idx="12">
                  <c:v>0</c:v>
                </c:pt>
                <c:pt idx="13">
                  <c:v>0.192307692307692</c:v>
                </c:pt>
                <c:pt idx="14">
                  <c:v>0.2</c:v>
                </c:pt>
                <c:pt idx="15">
                  <c:v>0.246913580246914</c:v>
                </c:pt>
              </c:numCache>
            </c:numRef>
          </c:val>
        </c:ser>
        <c:gapWidth val="150"/>
        <c:overlap val="100"/>
        <c:axId val="66024023"/>
        <c:axId val="77778808"/>
      </c:barChart>
      <c:catAx>
        <c:axId val="6602402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78808"/>
        <c:crosses val="autoZero"/>
        <c:auto val="1"/>
        <c:lblAlgn val="ctr"/>
        <c:lblOffset val="100"/>
        <c:noMultiLvlLbl val="0"/>
      </c:catAx>
      <c:valAx>
        <c:axId val="77778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24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Clientes por número de compras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5_Clientes!B8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5_Clientes!$A$9:$A$20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5_Clientes!$B$9:$B$20</c:f>
              <c:numCache>
                <c:formatCode>#,##0</c:formatCode>
                <c:ptCount val="12"/>
                <c:pt idx="0">
                  <c:v>15</c:v>
                </c:pt>
                <c:pt idx="1">
                  <c:v>41</c:v>
                </c:pt>
                <c:pt idx="2">
                  <c:v>48</c:v>
                </c:pt>
                <c:pt idx="3">
                  <c:v>45</c:v>
                </c:pt>
                <c:pt idx="4">
                  <c:v>48</c:v>
                </c:pt>
                <c:pt idx="5">
                  <c:v>18</c:v>
                </c:pt>
                <c:pt idx="6">
                  <c:v>18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7102297"/>
        <c:axId val="76810028"/>
      </c:barChart>
      <c:catAx>
        <c:axId val="57102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compras no 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10028"/>
        <c:crosses val="autoZero"/>
        <c:auto val="1"/>
        <c:lblAlgn val="ctr"/>
        <c:lblOffset val="100"/>
        <c:noMultiLvlLbl val="0"/>
      </c:catAx>
      <c:valAx>
        <c:axId val="76810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02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20 clientes por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5_Clientes!C37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5_Clientes!$B$38:$B$57</c:f>
              <c:strCache>
                <c:ptCount val="20"/>
                <c:pt idx="0">
                  <c:v>CLI-0149</c:v>
                </c:pt>
                <c:pt idx="1">
                  <c:v>CLI-0096</c:v>
                </c:pt>
                <c:pt idx="2">
                  <c:v>CLI-0250</c:v>
                </c:pt>
                <c:pt idx="3">
                  <c:v>CLI-0037</c:v>
                </c:pt>
                <c:pt idx="4">
                  <c:v>CLI-0137</c:v>
                </c:pt>
                <c:pt idx="5">
                  <c:v>CLI-0042</c:v>
                </c:pt>
                <c:pt idx="6">
                  <c:v>CLI-0021</c:v>
                </c:pt>
                <c:pt idx="7">
                  <c:v>CLI-0214</c:v>
                </c:pt>
                <c:pt idx="8">
                  <c:v>CLI-0004</c:v>
                </c:pt>
                <c:pt idx="9">
                  <c:v>CLI-0151</c:v>
                </c:pt>
                <c:pt idx="10">
                  <c:v>CLI-0222</c:v>
                </c:pt>
                <c:pt idx="11">
                  <c:v>CLI-0177</c:v>
                </c:pt>
                <c:pt idx="12">
                  <c:v>CLI-0054</c:v>
                </c:pt>
                <c:pt idx="13">
                  <c:v>CLI-0117</c:v>
                </c:pt>
                <c:pt idx="14">
                  <c:v>CLI-0204</c:v>
                </c:pt>
                <c:pt idx="15">
                  <c:v>CLI-0167</c:v>
                </c:pt>
                <c:pt idx="16">
                  <c:v>CLI-0040</c:v>
                </c:pt>
                <c:pt idx="17">
                  <c:v>CLI-0231</c:v>
                </c:pt>
                <c:pt idx="18">
                  <c:v>CLI-0175</c:v>
                </c:pt>
                <c:pt idx="19">
                  <c:v>CLI-0236</c:v>
                </c:pt>
              </c:strCache>
            </c:strRef>
          </c:cat>
          <c:val>
            <c:numRef>
              <c:f>5_Clientes!$C$38:$C$57</c:f>
              <c:numCache>
                <c:formatCode>"R$ "#,##0.00</c:formatCode>
                <c:ptCount val="20"/>
                <c:pt idx="0">
                  <c:v>1770.31</c:v>
                </c:pt>
                <c:pt idx="1">
                  <c:v>1740.39</c:v>
                </c:pt>
                <c:pt idx="2">
                  <c:v>1718.86</c:v>
                </c:pt>
                <c:pt idx="3">
                  <c:v>1614.56</c:v>
                </c:pt>
                <c:pt idx="4">
                  <c:v>1576.78</c:v>
                </c:pt>
                <c:pt idx="5">
                  <c:v>1570.61</c:v>
                </c:pt>
                <c:pt idx="6">
                  <c:v>1511.7</c:v>
                </c:pt>
                <c:pt idx="7">
                  <c:v>1457.49</c:v>
                </c:pt>
                <c:pt idx="8">
                  <c:v>1371.52</c:v>
                </c:pt>
                <c:pt idx="9">
                  <c:v>1357.39</c:v>
                </c:pt>
                <c:pt idx="10">
                  <c:v>1345.99</c:v>
                </c:pt>
                <c:pt idx="11">
                  <c:v>1339.93</c:v>
                </c:pt>
                <c:pt idx="12">
                  <c:v>1322.47</c:v>
                </c:pt>
                <c:pt idx="13">
                  <c:v>1303.76</c:v>
                </c:pt>
                <c:pt idx="14">
                  <c:v>1293.81</c:v>
                </c:pt>
                <c:pt idx="15">
                  <c:v>1274.07</c:v>
                </c:pt>
                <c:pt idx="16">
                  <c:v>1247.71</c:v>
                </c:pt>
                <c:pt idx="17">
                  <c:v>1246.06</c:v>
                </c:pt>
                <c:pt idx="18">
                  <c:v>1213.34</c:v>
                </c:pt>
                <c:pt idx="19">
                  <c:v>1097.07</c:v>
                </c:pt>
              </c:numCache>
            </c:numRef>
          </c:val>
        </c:ser>
        <c:gapWidth val="150"/>
        <c:overlap val="0"/>
        <c:axId val="17870361"/>
        <c:axId val="1615415"/>
      </c:barChart>
      <c:catAx>
        <c:axId val="178703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5415"/>
        <c:crosses val="autoZero"/>
        <c:auto val="1"/>
        <c:lblAlgn val="ctr"/>
        <c:lblOffset val="100"/>
        <c:noMultiLvlLbl val="0"/>
      </c:catAx>
      <c:valAx>
        <c:axId val="1615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70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segmento RFV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5_Clientes!D75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5_Clientes!$A$76:$A$79</c:f>
              <c:strCache>
                <c:ptCount val="4"/>
                <c:pt idx="0">
                  <c:v>Campeões</c:v>
                </c:pt>
                <c:pt idx="1">
                  <c:v>Leais</c:v>
                </c:pt>
                <c:pt idx="2">
                  <c:v>Atenção</c:v>
                </c:pt>
                <c:pt idx="3">
                  <c:v>Em risco</c:v>
                </c:pt>
              </c:strCache>
            </c:strRef>
          </c:cat>
          <c:val>
            <c:numRef>
              <c:f>5_Clientes!$D$76:$D$79</c:f>
              <c:numCache>
                <c:formatCode>"R$ "#,##0.00</c:formatCode>
                <c:ptCount val="4"/>
                <c:pt idx="0">
                  <c:v>45269.08</c:v>
                </c:pt>
                <c:pt idx="1">
                  <c:v>45075.5</c:v>
                </c:pt>
                <c:pt idx="2">
                  <c:v>14103.79</c:v>
                </c:pt>
                <c:pt idx="3">
                  <c:v>4896</c:v>
                </c:pt>
              </c:numCache>
            </c:numRef>
          </c:val>
        </c:ser>
        <c:gapWidth val="150"/>
        <c:overlap val="0"/>
        <c:axId val="78667684"/>
        <c:axId val="75954936"/>
      </c:barChart>
      <c:catAx>
        <c:axId val="78667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54936"/>
        <c:crosses val="autoZero"/>
        <c:auto val="1"/>
        <c:lblAlgn val="ctr"/>
        <c:lblOffset val="100"/>
        <c:noMultiLvlLbl val="0"/>
      </c:catAx>
      <c:valAx>
        <c:axId val="75954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676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Frequência × valor por cliente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"Clientes"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aux_clientes!$B$2:$B$246</c:f>
              <c:numCache>
                <c:formatCode>#,##0</c:formatCode>
                <c:ptCount val="24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6</c:v>
                </c:pt>
                <c:pt idx="11">
                  <c:v>3</c:v>
                </c:pt>
                <c:pt idx="12">
                  <c:v>6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9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7</c:v>
                </c:pt>
                <c:pt idx="24">
                  <c:v>4</c:v>
                </c:pt>
                <c:pt idx="25">
                  <c:v>2</c:v>
                </c:pt>
                <c:pt idx="26">
                  <c:v>5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5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  <c:pt idx="36">
                  <c:v>6</c:v>
                </c:pt>
                <c:pt idx="37">
                  <c:v>7</c:v>
                </c:pt>
                <c:pt idx="38">
                  <c:v>6</c:v>
                </c:pt>
                <c:pt idx="39">
                  <c:v>2</c:v>
                </c:pt>
                <c:pt idx="40">
                  <c:v>3</c:v>
                </c:pt>
                <c:pt idx="41">
                  <c:v>6</c:v>
                </c:pt>
                <c:pt idx="42">
                  <c:v>5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6</c:v>
                </c:pt>
                <c:pt idx="47">
                  <c:v>3</c:v>
                </c:pt>
                <c:pt idx="48">
                  <c:v>1</c:v>
                </c:pt>
                <c:pt idx="49">
                  <c:v>5</c:v>
                </c:pt>
                <c:pt idx="50">
                  <c:v>6</c:v>
                </c:pt>
                <c:pt idx="51">
                  <c:v>5</c:v>
                </c:pt>
                <c:pt idx="52">
                  <c:v>7</c:v>
                </c:pt>
                <c:pt idx="53">
                  <c:v>7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9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5</c:v>
                </c:pt>
                <c:pt idx="65">
                  <c:v>3</c:v>
                </c:pt>
                <c:pt idx="66">
                  <c:v>3</c:v>
                </c:pt>
                <c:pt idx="67">
                  <c:v>10</c:v>
                </c:pt>
                <c:pt idx="68">
                  <c:v>4</c:v>
                </c:pt>
                <c:pt idx="69">
                  <c:v>7</c:v>
                </c:pt>
                <c:pt idx="70">
                  <c:v>4</c:v>
                </c:pt>
                <c:pt idx="71">
                  <c:v>6</c:v>
                </c:pt>
                <c:pt idx="72">
                  <c:v>2</c:v>
                </c:pt>
                <c:pt idx="73">
                  <c:v>4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2</c:v>
                </c:pt>
                <c:pt idx="78">
                  <c:v>5</c:v>
                </c:pt>
                <c:pt idx="79">
                  <c:v>3</c:v>
                </c:pt>
                <c:pt idx="80">
                  <c:v>2</c:v>
                </c:pt>
                <c:pt idx="81">
                  <c:v>10</c:v>
                </c:pt>
                <c:pt idx="82">
                  <c:v>7</c:v>
                </c:pt>
                <c:pt idx="83">
                  <c:v>7</c:v>
                </c:pt>
                <c:pt idx="84">
                  <c:v>5</c:v>
                </c:pt>
                <c:pt idx="85">
                  <c:v>4</c:v>
                </c:pt>
                <c:pt idx="86">
                  <c:v>4</c:v>
                </c:pt>
                <c:pt idx="87">
                  <c:v>7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2</c:v>
                </c:pt>
                <c:pt idx="92">
                  <c:v>8</c:v>
                </c:pt>
                <c:pt idx="93">
                  <c:v>4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</c:v>
                </c:pt>
                <c:pt idx="99">
                  <c:v>1</c:v>
                </c:pt>
                <c:pt idx="100">
                  <c:v>2</c:v>
                </c:pt>
                <c:pt idx="101">
                  <c:v>5</c:v>
                </c:pt>
                <c:pt idx="102">
                  <c:v>6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3</c:v>
                </c:pt>
                <c:pt idx="107">
                  <c:v>5</c:v>
                </c:pt>
                <c:pt idx="108">
                  <c:v>4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2</c:v>
                </c:pt>
                <c:pt idx="113">
                  <c:v>7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6</c:v>
                </c:pt>
                <c:pt idx="118">
                  <c:v>4</c:v>
                </c:pt>
                <c:pt idx="119">
                  <c:v>2</c:v>
                </c:pt>
                <c:pt idx="120">
                  <c:v>3</c:v>
                </c:pt>
                <c:pt idx="121">
                  <c:v>5</c:v>
                </c:pt>
                <c:pt idx="122">
                  <c:v>5</c:v>
                </c:pt>
                <c:pt idx="123">
                  <c:v>7</c:v>
                </c:pt>
                <c:pt idx="124">
                  <c:v>4</c:v>
                </c:pt>
                <c:pt idx="125">
                  <c:v>1</c:v>
                </c:pt>
                <c:pt idx="126">
                  <c:v>1</c:v>
                </c:pt>
                <c:pt idx="127">
                  <c:v>5</c:v>
                </c:pt>
                <c:pt idx="128">
                  <c:v>5</c:v>
                </c:pt>
                <c:pt idx="129">
                  <c:v>4</c:v>
                </c:pt>
                <c:pt idx="130">
                  <c:v>5</c:v>
                </c:pt>
                <c:pt idx="131">
                  <c:v>2</c:v>
                </c:pt>
                <c:pt idx="132">
                  <c:v>8</c:v>
                </c:pt>
                <c:pt idx="133">
                  <c:v>6</c:v>
                </c:pt>
                <c:pt idx="134">
                  <c:v>5</c:v>
                </c:pt>
                <c:pt idx="135">
                  <c:v>4</c:v>
                </c:pt>
                <c:pt idx="136">
                  <c:v>3</c:v>
                </c:pt>
                <c:pt idx="137">
                  <c:v>9</c:v>
                </c:pt>
                <c:pt idx="138">
                  <c:v>4</c:v>
                </c:pt>
                <c:pt idx="139">
                  <c:v>4</c:v>
                </c:pt>
                <c:pt idx="140">
                  <c:v>2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3</c:v>
                </c:pt>
                <c:pt idx="145">
                  <c:v>7</c:v>
                </c:pt>
                <c:pt idx="146">
                  <c:v>5</c:v>
                </c:pt>
                <c:pt idx="147">
                  <c:v>5</c:v>
                </c:pt>
                <c:pt idx="148">
                  <c:v>4</c:v>
                </c:pt>
                <c:pt idx="149">
                  <c:v>3</c:v>
                </c:pt>
                <c:pt idx="150">
                  <c:v>5</c:v>
                </c:pt>
                <c:pt idx="151">
                  <c:v>6</c:v>
                </c:pt>
                <c:pt idx="152">
                  <c:v>5</c:v>
                </c:pt>
                <c:pt idx="153">
                  <c:v>1</c:v>
                </c:pt>
                <c:pt idx="154">
                  <c:v>4</c:v>
                </c:pt>
                <c:pt idx="155">
                  <c:v>3</c:v>
                </c:pt>
                <c:pt idx="156">
                  <c:v>2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7</c:v>
                </c:pt>
                <c:pt idx="163">
                  <c:v>8</c:v>
                </c:pt>
                <c:pt idx="164">
                  <c:v>2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7</c:v>
                </c:pt>
                <c:pt idx="169">
                  <c:v>5</c:v>
                </c:pt>
                <c:pt idx="170">
                  <c:v>2</c:v>
                </c:pt>
                <c:pt idx="171">
                  <c:v>6</c:v>
                </c:pt>
                <c:pt idx="172">
                  <c:v>1</c:v>
                </c:pt>
                <c:pt idx="173">
                  <c:v>3</c:v>
                </c:pt>
                <c:pt idx="174">
                  <c:v>5</c:v>
                </c:pt>
                <c:pt idx="175">
                  <c:v>4</c:v>
                </c:pt>
                <c:pt idx="176">
                  <c:v>5</c:v>
                </c:pt>
                <c:pt idx="177">
                  <c:v>7</c:v>
                </c:pt>
                <c:pt idx="178">
                  <c:v>5</c:v>
                </c:pt>
                <c:pt idx="179">
                  <c:v>6</c:v>
                </c:pt>
                <c:pt idx="180">
                  <c:v>7</c:v>
                </c:pt>
                <c:pt idx="181">
                  <c:v>4</c:v>
                </c:pt>
                <c:pt idx="182">
                  <c:v>1</c:v>
                </c:pt>
                <c:pt idx="183">
                  <c:v>4</c:v>
                </c:pt>
                <c:pt idx="184">
                  <c:v>2</c:v>
                </c:pt>
                <c:pt idx="185">
                  <c:v>4</c:v>
                </c:pt>
                <c:pt idx="186">
                  <c:v>5</c:v>
                </c:pt>
                <c:pt idx="187">
                  <c:v>3</c:v>
                </c:pt>
                <c:pt idx="188">
                  <c:v>2</c:v>
                </c:pt>
                <c:pt idx="189">
                  <c:v>5</c:v>
                </c:pt>
                <c:pt idx="190">
                  <c:v>5</c:v>
                </c:pt>
                <c:pt idx="191">
                  <c:v>3</c:v>
                </c:pt>
                <c:pt idx="192">
                  <c:v>3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4</c:v>
                </c:pt>
                <c:pt idx="197">
                  <c:v>3</c:v>
                </c:pt>
                <c:pt idx="198">
                  <c:v>5</c:v>
                </c:pt>
                <c:pt idx="199">
                  <c:v>1</c:v>
                </c:pt>
                <c:pt idx="200">
                  <c:v>6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5</c:v>
                </c:pt>
                <c:pt idx="205">
                  <c:v>3</c:v>
                </c:pt>
                <c:pt idx="206">
                  <c:v>4</c:v>
                </c:pt>
                <c:pt idx="207">
                  <c:v>6</c:v>
                </c:pt>
                <c:pt idx="208">
                  <c:v>1</c:v>
                </c:pt>
                <c:pt idx="209">
                  <c:v>4</c:v>
                </c:pt>
                <c:pt idx="210">
                  <c:v>2</c:v>
                </c:pt>
                <c:pt idx="211">
                  <c:v>4</c:v>
                </c:pt>
                <c:pt idx="212">
                  <c:v>4</c:v>
                </c:pt>
                <c:pt idx="213">
                  <c:v>2</c:v>
                </c:pt>
                <c:pt idx="214">
                  <c:v>5</c:v>
                </c:pt>
                <c:pt idx="215">
                  <c:v>5</c:v>
                </c:pt>
                <c:pt idx="216">
                  <c:v>2</c:v>
                </c:pt>
                <c:pt idx="217">
                  <c:v>1</c:v>
                </c:pt>
                <c:pt idx="218">
                  <c:v>8</c:v>
                </c:pt>
                <c:pt idx="219">
                  <c:v>5</c:v>
                </c:pt>
                <c:pt idx="220">
                  <c:v>3</c:v>
                </c:pt>
                <c:pt idx="221">
                  <c:v>4</c:v>
                </c:pt>
                <c:pt idx="222">
                  <c:v>5</c:v>
                </c:pt>
                <c:pt idx="223">
                  <c:v>5</c:v>
                </c:pt>
                <c:pt idx="224">
                  <c:v>2</c:v>
                </c:pt>
                <c:pt idx="225">
                  <c:v>3</c:v>
                </c:pt>
                <c:pt idx="226">
                  <c:v>2</c:v>
                </c:pt>
                <c:pt idx="227">
                  <c:v>5</c:v>
                </c:pt>
                <c:pt idx="228">
                  <c:v>4</c:v>
                </c:pt>
                <c:pt idx="229">
                  <c:v>3</c:v>
                </c:pt>
                <c:pt idx="230">
                  <c:v>3</c:v>
                </c:pt>
                <c:pt idx="231">
                  <c:v>9</c:v>
                </c:pt>
                <c:pt idx="232">
                  <c:v>3</c:v>
                </c:pt>
                <c:pt idx="233">
                  <c:v>5</c:v>
                </c:pt>
                <c:pt idx="234">
                  <c:v>2</c:v>
                </c:pt>
                <c:pt idx="235">
                  <c:v>2</c:v>
                </c:pt>
                <c:pt idx="236">
                  <c:v>3</c:v>
                </c:pt>
                <c:pt idx="237">
                  <c:v>8</c:v>
                </c:pt>
                <c:pt idx="238">
                  <c:v>5</c:v>
                </c:pt>
                <c:pt idx="239">
                  <c:v>7</c:v>
                </c:pt>
                <c:pt idx="240">
                  <c:v>5</c:v>
                </c:pt>
                <c:pt idx="241">
                  <c:v>5</c:v>
                </c:pt>
                <c:pt idx="242">
                  <c:v>6</c:v>
                </c:pt>
                <c:pt idx="243">
                  <c:v>9</c:v>
                </c:pt>
                <c:pt idx="244">
                  <c:v>7</c:v>
                </c:pt>
              </c:numCache>
            </c:numRef>
          </c:xVal>
          <c:yVal>
            <c:numRef>
              <c:f>aux_clientes!$C$2:$C$246</c:f>
              <c:numCache>
                <c:formatCode>"R$ "#,##0.00</c:formatCode>
                <c:ptCount val="245"/>
                <c:pt idx="0">
                  <c:v>350.47</c:v>
                </c:pt>
                <c:pt idx="1">
                  <c:v>95.78</c:v>
                </c:pt>
                <c:pt idx="2">
                  <c:v>546.36</c:v>
                </c:pt>
                <c:pt idx="3">
                  <c:v>1371.52</c:v>
                </c:pt>
                <c:pt idx="4">
                  <c:v>40.74</c:v>
                </c:pt>
                <c:pt idx="5">
                  <c:v>82.01</c:v>
                </c:pt>
                <c:pt idx="6">
                  <c:v>399.45</c:v>
                </c:pt>
                <c:pt idx="7">
                  <c:v>141.85</c:v>
                </c:pt>
                <c:pt idx="8">
                  <c:v>414.08</c:v>
                </c:pt>
                <c:pt idx="9">
                  <c:v>319.69</c:v>
                </c:pt>
                <c:pt idx="10">
                  <c:v>356.04</c:v>
                </c:pt>
                <c:pt idx="11">
                  <c:v>183.28</c:v>
                </c:pt>
                <c:pt idx="12">
                  <c:v>989.2</c:v>
                </c:pt>
                <c:pt idx="13">
                  <c:v>19.51</c:v>
                </c:pt>
                <c:pt idx="14">
                  <c:v>29.41</c:v>
                </c:pt>
                <c:pt idx="15">
                  <c:v>182.29</c:v>
                </c:pt>
                <c:pt idx="16">
                  <c:v>141.09</c:v>
                </c:pt>
                <c:pt idx="17">
                  <c:v>1055.78</c:v>
                </c:pt>
                <c:pt idx="18">
                  <c:v>99.24</c:v>
                </c:pt>
                <c:pt idx="19">
                  <c:v>485.18</c:v>
                </c:pt>
                <c:pt idx="20">
                  <c:v>1511.7</c:v>
                </c:pt>
                <c:pt idx="21">
                  <c:v>160.84</c:v>
                </c:pt>
                <c:pt idx="22">
                  <c:v>65.77</c:v>
                </c:pt>
                <c:pt idx="23">
                  <c:v>411.01</c:v>
                </c:pt>
                <c:pt idx="24">
                  <c:v>458.61</c:v>
                </c:pt>
                <c:pt idx="25">
                  <c:v>397.7</c:v>
                </c:pt>
                <c:pt idx="26">
                  <c:v>97.84</c:v>
                </c:pt>
                <c:pt idx="27">
                  <c:v>99.31</c:v>
                </c:pt>
                <c:pt idx="28">
                  <c:v>75.29</c:v>
                </c:pt>
                <c:pt idx="29">
                  <c:v>359</c:v>
                </c:pt>
                <c:pt idx="30">
                  <c:v>493.17</c:v>
                </c:pt>
                <c:pt idx="31">
                  <c:v>114.96</c:v>
                </c:pt>
                <c:pt idx="32">
                  <c:v>791.89</c:v>
                </c:pt>
                <c:pt idx="33">
                  <c:v>587.85</c:v>
                </c:pt>
                <c:pt idx="34">
                  <c:v>299.85</c:v>
                </c:pt>
                <c:pt idx="35">
                  <c:v>1.6</c:v>
                </c:pt>
                <c:pt idx="36">
                  <c:v>1614.56</c:v>
                </c:pt>
                <c:pt idx="37">
                  <c:v>920.25</c:v>
                </c:pt>
                <c:pt idx="38">
                  <c:v>1247.71</c:v>
                </c:pt>
                <c:pt idx="39">
                  <c:v>98.31</c:v>
                </c:pt>
                <c:pt idx="40">
                  <c:v>1570.61</c:v>
                </c:pt>
                <c:pt idx="41">
                  <c:v>497.09</c:v>
                </c:pt>
                <c:pt idx="42">
                  <c:v>641.96</c:v>
                </c:pt>
                <c:pt idx="43">
                  <c:v>270.6</c:v>
                </c:pt>
                <c:pt idx="44">
                  <c:v>180.07</c:v>
                </c:pt>
                <c:pt idx="45">
                  <c:v>88.32</c:v>
                </c:pt>
                <c:pt idx="46">
                  <c:v>827.86</c:v>
                </c:pt>
                <c:pt idx="47">
                  <c:v>521.49</c:v>
                </c:pt>
                <c:pt idx="48">
                  <c:v>20.66</c:v>
                </c:pt>
                <c:pt idx="49">
                  <c:v>836.75</c:v>
                </c:pt>
                <c:pt idx="50">
                  <c:v>476.9</c:v>
                </c:pt>
                <c:pt idx="51">
                  <c:v>1322.47</c:v>
                </c:pt>
                <c:pt idx="52">
                  <c:v>357.44</c:v>
                </c:pt>
                <c:pt idx="53">
                  <c:v>401.67</c:v>
                </c:pt>
                <c:pt idx="54">
                  <c:v>255.16</c:v>
                </c:pt>
                <c:pt idx="55">
                  <c:v>285.39</c:v>
                </c:pt>
                <c:pt idx="56">
                  <c:v>160.35</c:v>
                </c:pt>
                <c:pt idx="57">
                  <c:v>706.86</c:v>
                </c:pt>
                <c:pt idx="58">
                  <c:v>379.86</c:v>
                </c:pt>
                <c:pt idx="59">
                  <c:v>205.46</c:v>
                </c:pt>
                <c:pt idx="60">
                  <c:v>188.16</c:v>
                </c:pt>
                <c:pt idx="61">
                  <c:v>116.47</c:v>
                </c:pt>
                <c:pt idx="62">
                  <c:v>70.71</c:v>
                </c:pt>
                <c:pt idx="63">
                  <c:v>281.12</c:v>
                </c:pt>
                <c:pt idx="64">
                  <c:v>371.13</c:v>
                </c:pt>
                <c:pt idx="65">
                  <c:v>140.6</c:v>
                </c:pt>
                <c:pt idx="66">
                  <c:v>911.81</c:v>
                </c:pt>
                <c:pt idx="67">
                  <c:v>583.87</c:v>
                </c:pt>
                <c:pt idx="68">
                  <c:v>390.53</c:v>
                </c:pt>
                <c:pt idx="69">
                  <c:v>241.35</c:v>
                </c:pt>
                <c:pt idx="70">
                  <c:v>193.22</c:v>
                </c:pt>
                <c:pt idx="71">
                  <c:v>743.77</c:v>
                </c:pt>
                <c:pt idx="72">
                  <c:v>602.76</c:v>
                </c:pt>
                <c:pt idx="73">
                  <c:v>268.41</c:v>
                </c:pt>
                <c:pt idx="74">
                  <c:v>152.99</c:v>
                </c:pt>
                <c:pt idx="75">
                  <c:v>117.56</c:v>
                </c:pt>
                <c:pt idx="76">
                  <c:v>169.73</c:v>
                </c:pt>
                <c:pt idx="77">
                  <c:v>23.18</c:v>
                </c:pt>
                <c:pt idx="78">
                  <c:v>141.84</c:v>
                </c:pt>
                <c:pt idx="79">
                  <c:v>134.43</c:v>
                </c:pt>
                <c:pt idx="80">
                  <c:v>100.05</c:v>
                </c:pt>
                <c:pt idx="81">
                  <c:v>704.45</c:v>
                </c:pt>
                <c:pt idx="82">
                  <c:v>352.9</c:v>
                </c:pt>
                <c:pt idx="83">
                  <c:v>578.24</c:v>
                </c:pt>
                <c:pt idx="84">
                  <c:v>411.41</c:v>
                </c:pt>
                <c:pt idx="85">
                  <c:v>169.56</c:v>
                </c:pt>
                <c:pt idx="86">
                  <c:v>461.74</c:v>
                </c:pt>
                <c:pt idx="87">
                  <c:v>504.44</c:v>
                </c:pt>
                <c:pt idx="88">
                  <c:v>251.19</c:v>
                </c:pt>
                <c:pt idx="89">
                  <c:v>138.76</c:v>
                </c:pt>
                <c:pt idx="90">
                  <c:v>46.2</c:v>
                </c:pt>
                <c:pt idx="91">
                  <c:v>212.72</c:v>
                </c:pt>
                <c:pt idx="92">
                  <c:v>1740.39</c:v>
                </c:pt>
                <c:pt idx="93">
                  <c:v>673.43</c:v>
                </c:pt>
                <c:pt idx="94">
                  <c:v>313.01</c:v>
                </c:pt>
                <c:pt idx="95">
                  <c:v>866.72</c:v>
                </c:pt>
                <c:pt idx="96">
                  <c:v>229.25</c:v>
                </c:pt>
                <c:pt idx="97">
                  <c:v>517.9</c:v>
                </c:pt>
                <c:pt idx="98">
                  <c:v>92.61</c:v>
                </c:pt>
                <c:pt idx="99">
                  <c:v>286.51</c:v>
                </c:pt>
                <c:pt idx="100">
                  <c:v>35.21</c:v>
                </c:pt>
                <c:pt idx="101">
                  <c:v>324.69</c:v>
                </c:pt>
                <c:pt idx="102">
                  <c:v>765.05</c:v>
                </c:pt>
                <c:pt idx="103">
                  <c:v>506.91</c:v>
                </c:pt>
                <c:pt idx="104">
                  <c:v>343.83</c:v>
                </c:pt>
                <c:pt idx="105">
                  <c:v>589.88</c:v>
                </c:pt>
                <c:pt idx="106">
                  <c:v>107.72</c:v>
                </c:pt>
                <c:pt idx="107">
                  <c:v>743.09</c:v>
                </c:pt>
                <c:pt idx="108">
                  <c:v>374.08</c:v>
                </c:pt>
                <c:pt idx="109">
                  <c:v>225.16</c:v>
                </c:pt>
                <c:pt idx="110">
                  <c:v>473.1</c:v>
                </c:pt>
                <c:pt idx="111">
                  <c:v>532.9</c:v>
                </c:pt>
                <c:pt idx="112">
                  <c:v>617.84</c:v>
                </c:pt>
                <c:pt idx="113">
                  <c:v>1303.76</c:v>
                </c:pt>
                <c:pt idx="114">
                  <c:v>173.32</c:v>
                </c:pt>
                <c:pt idx="115">
                  <c:v>45.32</c:v>
                </c:pt>
                <c:pt idx="116">
                  <c:v>470.84</c:v>
                </c:pt>
                <c:pt idx="117">
                  <c:v>138.53</c:v>
                </c:pt>
                <c:pt idx="118">
                  <c:v>60.62</c:v>
                </c:pt>
                <c:pt idx="119">
                  <c:v>11.84</c:v>
                </c:pt>
                <c:pt idx="120">
                  <c:v>156.82</c:v>
                </c:pt>
                <c:pt idx="121">
                  <c:v>476.23</c:v>
                </c:pt>
                <c:pt idx="122">
                  <c:v>333.2</c:v>
                </c:pt>
                <c:pt idx="123">
                  <c:v>601.59</c:v>
                </c:pt>
                <c:pt idx="124">
                  <c:v>384.11</c:v>
                </c:pt>
                <c:pt idx="125">
                  <c:v>214.42</c:v>
                </c:pt>
                <c:pt idx="126">
                  <c:v>37.07</c:v>
                </c:pt>
                <c:pt idx="127">
                  <c:v>54.62</c:v>
                </c:pt>
                <c:pt idx="128">
                  <c:v>666.79</c:v>
                </c:pt>
                <c:pt idx="129">
                  <c:v>1066.6</c:v>
                </c:pt>
                <c:pt idx="130">
                  <c:v>452.9</c:v>
                </c:pt>
                <c:pt idx="131">
                  <c:v>285.49</c:v>
                </c:pt>
                <c:pt idx="132">
                  <c:v>529.47</c:v>
                </c:pt>
                <c:pt idx="133">
                  <c:v>1576.78</c:v>
                </c:pt>
                <c:pt idx="134">
                  <c:v>585</c:v>
                </c:pt>
                <c:pt idx="135">
                  <c:v>417.25</c:v>
                </c:pt>
                <c:pt idx="136">
                  <c:v>289.38</c:v>
                </c:pt>
                <c:pt idx="137">
                  <c:v>736.11</c:v>
                </c:pt>
                <c:pt idx="138">
                  <c:v>621.54</c:v>
                </c:pt>
                <c:pt idx="139">
                  <c:v>295.8</c:v>
                </c:pt>
                <c:pt idx="140">
                  <c:v>287.73</c:v>
                </c:pt>
                <c:pt idx="141">
                  <c:v>173.29</c:v>
                </c:pt>
                <c:pt idx="142">
                  <c:v>190.79</c:v>
                </c:pt>
                <c:pt idx="143">
                  <c:v>459.78</c:v>
                </c:pt>
                <c:pt idx="144">
                  <c:v>249.57</c:v>
                </c:pt>
                <c:pt idx="145">
                  <c:v>1770.31</c:v>
                </c:pt>
                <c:pt idx="146">
                  <c:v>723.85</c:v>
                </c:pt>
                <c:pt idx="147">
                  <c:v>1357.39</c:v>
                </c:pt>
                <c:pt idx="148">
                  <c:v>636.61</c:v>
                </c:pt>
                <c:pt idx="149">
                  <c:v>30.4</c:v>
                </c:pt>
                <c:pt idx="150">
                  <c:v>170.32</c:v>
                </c:pt>
                <c:pt idx="151">
                  <c:v>358.02</c:v>
                </c:pt>
                <c:pt idx="152">
                  <c:v>992.61</c:v>
                </c:pt>
                <c:pt idx="153">
                  <c:v>581.12</c:v>
                </c:pt>
                <c:pt idx="154">
                  <c:v>892.18</c:v>
                </c:pt>
                <c:pt idx="155">
                  <c:v>41.95</c:v>
                </c:pt>
                <c:pt idx="156">
                  <c:v>391.76</c:v>
                </c:pt>
                <c:pt idx="157">
                  <c:v>850.48</c:v>
                </c:pt>
                <c:pt idx="158">
                  <c:v>106.7</c:v>
                </c:pt>
                <c:pt idx="159">
                  <c:v>469.72</c:v>
                </c:pt>
                <c:pt idx="160">
                  <c:v>126.58</c:v>
                </c:pt>
                <c:pt idx="161">
                  <c:v>180.08</c:v>
                </c:pt>
                <c:pt idx="162">
                  <c:v>268.21</c:v>
                </c:pt>
                <c:pt idx="163">
                  <c:v>1274.07</c:v>
                </c:pt>
                <c:pt idx="164">
                  <c:v>277.39</c:v>
                </c:pt>
                <c:pt idx="165">
                  <c:v>208.66</c:v>
                </c:pt>
                <c:pt idx="166">
                  <c:v>51.98</c:v>
                </c:pt>
                <c:pt idx="167">
                  <c:v>250.75</c:v>
                </c:pt>
                <c:pt idx="168">
                  <c:v>909.97</c:v>
                </c:pt>
                <c:pt idx="169">
                  <c:v>904.47</c:v>
                </c:pt>
                <c:pt idx="170">
                  <c:v>89.31</c:v>
                </c:pt>
                <c:pt idx="171">
                  <c:v>1213.34</c:v>
                </c:pt>
                <c:pt idx="172">
                  <c:v>18.68</c:v>
                </c:pt>
                <c:pt idx="173">
                  <c:v>1339.93</c:v>
                </c:pt>
                <c:pt idx="174">
                  <c:v>430.02</c:v>
                </c:pt>
                <c:pt idx="175">
                  <c:v>213.15</c:v>
                </c:pt>
                <c:pt idx="176">
                  <c:v>253.78</c:v>
                </c:pt>
                <c:pt idx="177">
                  <c:v>862.84</c:v>
                </c:pt>
                <c:pt idx="178">
                  <c:v>228.43</c:v>
                </c:pt>
                <c:pt idx="179">
                  <c:v>469.17</c:v>
                </c:pt>
                <c:pt idx="180">
                  <c:v>543.72</c:v>
                </c:pt>
                <c:pt idx="181">
                  <c:v>667.14</c:v>
                </c:pt>
                <c:pt idx="182">
                  <c:v>8.18</c:v>
                </c:pt>
                <c:pt idx="183">
                  <c:v>272.47</c:v>
                </c:pt>
                <c:pt idx="184">
                  <c:v>106.2</c:v>
                </c:pt>
                <c:pt idx="185">
                  <c:v>378.8</c:v>
                </c:pt>
                <c:pt idx="186">
                  <c:v>737.7</c:v>
                </c:pt>
                <c:pt idx="187">
                  <c:v>55.86</c:v>
                </c:pt>
                <c:pt idx="188">
                  <c:v>171.88</c:v>
                </c:pt>
                <c:pt idx="189">
                  <c:v>147.61</c:v>
                </c:pt>
                <c:pt idx="190">
                  <c:v>72.83</c:v>
                </c:pt>
                <c:pt idx="191">
                  <c:v>72.8</c:v>
                </c:pt>
                <c:pt idx="192">
                  <c:v>227.31</c:v>
                </c:pt>
                <c:pt idx="193">
                  <c:v>508.78</c:v>
                </c:pt>
                <c:pt idx="194">
                  <c:v>1.77</c:v>
                </c:pt>
                <c:pt idx="195">
                  <c:v>798.43</c:v>
                </c:pt>
                <c:pt idx="196">
                  <c:v>268.74</c:v>
                </c:pt>
                <c:pt idx="197">
                  <c:v>697.98</c:v>
                </c:pt>
                <c:pt idx="198">
                  <c:v>198.45</c:v>
                </c:pt>
                <c:pt idx="199">
                  <c:v>35.57</c:v>
                </c:pt>
                <c:pt idx="200">
                  <c:v>1293.81</c:v>
                </c:pt>
                <c:pt idx="201">
                  <c:v>660.19</c:v>
                </c:pt>
                <c:pt idx="202">
                  <c:v>206.96</c:v>
                </c:pt>
                <c:pt idx="203">
                  <c:v>282.75</c:v>
                </c:pt>
                <c:pt idx="204">
                  <c:v>215.69</c:v>
                </c:pt>
                <c:pt idx="205">
                  <c:v>56.45</c:v>
                </c:pt>
                <c:pt idx="206">
                  <c:v>298.56</c:v>
                </c:pt>
                <c:pt idx="207">
                  <c:v>625.44</c:v>
                </c:pt>
                <c:pt idx="208">
                  <c:v>113.9</c:v>
                </c:pt>
                <c:pt idx="209">
                  <c:v>341.34</c:v>
                </c:pt>
                <c:pt idx="210">
                  <c:v>1457.49</c:v>
                </c:pt>
                <c:pt idx="211">
                  <c:v>734.68</c:v>
                </c:pt>
                <c:pt idx="212">
                  <c:v>832.6</c:v>
                </c:pt>
                <c:pt idx="213">
                  <c:v>187.48</c:v>
                </c:pt>
                <c:pt idx="214">
                  <c:v>234.86</c:v>
                </c:pt>
                <c:pt idx="215">
                  <c:v>663.97</c:v>
                </c:pt>
                <c:pt idx="216">
                  <c:v>101.49</c:v>
                </c:pt>
                <c:pt idx="217">
                  <c:v>19.09</c:v>
                </c:pt>
                <c:pt idx="218">
                  <c:v>1345.99</c:v>
                </c:pt>
                <c:pt idx="219">
                  <c:v>443.43</c:v>
                </c:pt>
                <c:pt idx="220">
                  <c:v>404.03</c:v>
                </c:pt>
                <c:pt idx="221">
                  <c:v>660.94</c:v>
                </c:pt>
                <c:pt idx="222">
                  <c:v>406.99</c:v>
                </c:pt>
                <c:pt idx="223">
                  <c:v>250.71</c:v>
                </c:pt>
                <c:pt idx="224">
                  <c:v>636.19</c:v>
                </c:pt>
                <c:pt idx="225">
                  <c:v>438.79</c:v>
                </c:pt>
                <c:pt idx="226">
                  <c:v>1246.06</c:v>
                </c:pt>
                <c:pt idx="227">
                  <c:v>271.73</c:v>
                </c:pt>
                <c:pt idx="228">
                  <c:v>284.17</c:v>
                </c:pt>
                <c:pt idx="229">
                  <c:v>206.41</c:v>
                </c:pt>
                <c:pt idx="230">
                  <c:v>287.18</c:v>
                </c:pt>
                <c:pt idx="231">
                  <c:v>1097.07</c:v>
                </c:pt>
                <c:pt idx="232">
                  <c:v>100.93</c:v>
                </c:pt>
                <c:pt idx="233">
                  <c:v>169.47</c:v>
                </c:pt>
                <c:pt idx="234">
                  <c:v>30.21</c:v>
                </c:pt>
                <c:pt idx="235">
                  <c:v>130.32</c:v>
                </c:pt>
                <c:pt idx="236">
                  <c:v>411.7</c:v>
                </c:pt>
                <c:pt idx="237">
                  <c:v>522.47</c:v>
                </c:pt>
                <c:pt idx="238">
                  <c:v>910.26</c:v>
                </c:pt>
                <c:pt idx="239">
                  <c:v>944.34</c:v>
                </c:pt>
                <c:pt idx="240">
                  <c:v>720.94</c:v>
                </c:pt>
                <c:pt idx="241">
                  <c:v>1019.09</c:v>
                </c:pt>
                <c:pt idx="242">
                  <c:v>111.13</c:v>
                </c:pt>
                <c:pt idx="243">
                  <c:v>733.46</c:v>
                </c:pt>
                <c:pt idx="244">
                  <c:v>1718.86</c:v>
                </c:pt>
              </c:numCache>
            </c:numRef>
          </c:yVal>
          <c:smooth val="1"/>
        </c:ser>
        <c:axId val="21265224"/>
        <c:axId val="21646644"/>
      </c:scatterChart>
      <c:valAx>
        <c:axId val="212652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compras no 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46644"/>
        <c:crosses val="autoZero"/>
        <c:crossBetween val="midCat"/>
      </c:valAx>
      <c:valAx>
        <c:axId val="21646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do cliente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6522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Vendas por faixa de desconto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6_Desconto!D8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6_Desconto!$A$9:$A$15</c:f>
              <c:strCache>
                <c:ptCount val="7"/>
                <c:pt idx="0">
                  <c:v>Sem desconto</c:v>
                </c:pt>
                <c:pt idx="1">
                  <c:v>até 1%</c:v>
                </c:pt>
                <c:pt idx="2">
                  <c:v>1% a 2%</c:v>
                </c:pt>
                <c:pt idx="3">
                  <c:v>2% a 3%</c:v>
                </c:pt>
                <c:pt idx="4">
                  <c:v>3% a 5%</c:v>
                </c:pt>
                <c:pt idx="5">
                  <c:v>5% a 10%</c:v>
                </c:pt>
                <c:pt idx="6">
                  <c:v>10% a 20%</c:v>
                </c:pt>
              </c:strCache>
            </c:strRef>
          </c:cat>
          <c:val>
            <c:numRef>
              <c:f>6_Desconto!$D$9:$D$15</c:f>
              <c:numCache>
                <c:formatCode>#,##0</c:formatCode>
                <c:ptCount val="7"/>
                <c:pt idx="0">
                  <c:v>173</c:v>
                </c:pt>
                <c:pt idx="1">
                  <c:v>145</c:v>
                </c:pt>
                <c:pt idx="2">
                  <c:v>170</c:v>
                </c:pt>
                <c:pt idx="3">
                  <c:v>108</c:v>
                </c:pt>
                <c:pt idx="4">
                  <c:v>166</c:v>
                </c:pt>
                <c:pt idx="5">
                  <c:v>127</c:v>
                </c:pt>
                <c:pt idx="6">
                  <c:v>42</c:v>
                </c:pt>
              </c:numCache>
            </c:numRef>
          </c:val>
        </c:ser>
        <c:gapWidth val="150"/>
        <c:overlap val="0"/>
        <c:axId val="67516990"/>
        <c:axId val="58966295"/>
      </c:barChart>
      <c:catAx>
        <c:axId val="675169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66295"/>
        <c:crosses val="autoZero"/>
        <c:auto val="1"/>
        <c:lblAlgn val="ctr"/>
        <c:lblOffset val="100"/>
        <c:noMultiLvlLbl val="0"/>
      </c:catAx>
      <c:valAx>
        <c:axId val="58966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169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Desconto (%) × valor da venda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"Vendas"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4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Dados!$M$2:$M$1001</c:f>
              <c:numCache>
                <c:formatCode>0.00</c:formatCode>
                <c:ptCount val="1000"/>
                <c:pt idx="0">
                  <c:v>0.45</c:v>
                </c:pt>
                <c:pt idx="1">
                  <c:v>4.91</c:v>
                </c:pt>
                <c:pt idx="2">
                  <c:v>4.86</c:v>
                </c:pt>
                <c:pt idx="3">
                  <c:v>2.87</c:v>
                </c:pt>
                <c:pt idx="4">
                  <c:v>0.37</c:v>
                </c:pt>
                <c:pt idx="5">
                  <c:v>3.84</c:v>
                </c:pt>
                <c:pt idx="6">
                  <c:v>1.79</c:v>
                </c:pt>
                <c:pt idx="7">
                  <c:v>0</c:v>
                </c:pt>
                <c:pt idx="8">
                  <c:v>7.03</c:v>
                </c:pt>
                <c:pt idx="9">
                  <c:v>1.92</c:v>
                </c:pt>
                <c:pt idx="10">
                  <c:v>0.7</c:v>
                </c:pt>
                <c:pt idx="11">
                  <c:v>0</c:v>
                </c:pt>
                <c:pt idx="12">
                  <c:v>3.75</c:v>
                </c:pt>
                <c:pt idx="13">
                  <c:v>0</c:v>
                </c:pt>
                <c:pt idx="14">
                  <c:v>1.17</c:v>
                </c:pt>
                <c:pt idx="15">
                  <c:v>8.14</c:v>
                </c:pt>
                <c:pt idx="16">
                  <c:v>0</c:v>
                </c:pt>
                <c:pt idx="17">
                  <c:v>0</c:v>
                </c:pt>
                <c:pt idx="18">
                  <c:v>1.01</c:v>
                </c:pt>
                <c:pt idx="19">
                  <c:v>0</c:v>
                </c:pt>
                <c:pt idx="20">
                  <c:v>0</c:v>
                </c:pt>
                <c:pt idx="21">
                  <c:v>3.05</c:v>
                </c:pt>
                <c:pt idx="22">
                  <c:v>8.61</c:v>
                </c:pt>
                <c:pt idx="23">
                  <c:v>15.96</c:v>
                </c:pt>
                <c:pt idx="24">
                  <c:v>3.41</c:v>
                </c:pt>
                <c:pt idx="25">
                  <c:v>4.63</c:v>
                </c:pt>
                <c:pt idx="26">
                  <c:v>0</c:v>
                </c:pt>
                <c:pt idx="27">
                  <c:v>12.2</c:v>
                </c:pt>
                <c:pt idx="28">
                  <c:v>0.78</c:v>
                </c:pt>
                <c:pt idx="29">
                  <c:v>1.49</c:v>
                </c:pt>
                <c:pt idx="30">
                  <c:v>1.86</c:v>
                </c:pt>
                <c:pt idx="31">
                  <c:v>1.33</c:v>
                </c:pt>
                <c:pt idx="32">
                  <c:v>0.73</c:v>
                </c:pt>
                <c:pt idx="33">
                  <c:v>4.37</c:v>
                </c:pt>
                <c:pt idx="34">
                  <c:v>0.61</c:v>
                </c:pt>
                <c:pt idx="35">
                  <c:v>0.13</c:v>
                </c:pt>
                <c:pt idx="36">
                  <c:v>2.3</c:v>
                </c:pt>
                <c:pt idx="37">
                  <c:v>5.1</c:v>
                </c:pt>
                <c:pt idx="38">
                  <c:v>1.31</c:v>
                </c:pt>
                <c:pt idx="39">
                  <c:v>2.85</c:v>
                </c:pt>
                <c:pt idx="40">
                  <c:v>0</c:v>
                </c:pt>
                <c:pt idx="41">
                  <c:v>0.16</c:v>
                </c:pt>
                <c:pt idx="42">
                  <c:v>3.69</c:v>
                </c:pt>
                <c:pt idx="43">
                  <c:v>1.18</c:v>
                </c:pt>
                <c:pt idx="44">
                  <c:v>1.28</c:v>
                </c:pt>
                <c:pt idx="45">
                  <c:v>0</c:v>
                </c:pt>
                <c:pt idx="46">
                  <c:v>2.65</c:v>
                </c:pt>
                <c:pt idx="47">
                  <c:v>0</c:v>
                </c:pt>
                <c:pt idx="48">
                  <c:v>4.35</c:v>
                </c:pt>
                <c:pt idx="49">
                  <c:v>0</c:v>
                </c:pt>
                <c:pt idx="50">
                  <c:v>0.63</c:v>
                </c:pt>
                <c:pt idx="51">
                  <c:v>2.21</c:v>
                </c:pt>
                <c:pt idx="52">
                  <c:v>1.905</c:v>
                </c:pt>
                <c:pt idx="53">
                  <c:v>7.05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0.07</c:v>
                </c:pt>
                <c:pt idx="58">
                  <c:v>0</c:v>
                </c:pt>
                <c:pt idx="59">
                  <c:v>0.69</c:v>
                </c:pt>
                <c:pt idx="60">
                  <c:v>0</c:v>
                </c:pt>
                <c:pt idx="61">
                  <c:v>2.41</c:v>
                </c:pt>
                <c:pt idx="62">
                  <c:v>0.06</c:v>
                </c:pt>
                <c:pt idx="63">
                  <c:v>8.27</c:v>
                </c:pt>
                <c:pt idx="64">
                  <c:v>0</c:v>
                </c:pt>
                <c:pt idx="65">
                  <c:v>1.52</c:v>
                </c:pt>
                <c:pt idx="66">
                  <c:v>2.33</c:v>
                </c:pt>
                <c:pt idx="67">
                  <c:v>0</c:v>
                </c:pt>
                <c:pt idx="68">
                  <c:v>9.41</c:v>
                </c:pt>
                <c:pt idx="69">
                  <c:v>16.47</c:v>
                </c:pt>
                <c:pt idx="70">
                  <c:v>5.35</c:v>
                </c:pt>
                <c:pt idx="71">
                  <c:v>3.06</c:v>
                </c:pt>
                <c:pt idx="72">
                  <c:v>8.27</c:v>
                </c:pt>
                <c:pt idx="73">
                  <c:v>0.53</c:v>
                </c:pt>
                <c:pt idx="74">
                  <c:v>2.97</c:v>
                </c:pt>
                <c:pt idx="75">
                  <c:v>0</c:v>
                </c:pt>
                <c:pt idx="76">
                  <c:v>1.41</c:v>
                </c:pt>
                <c:pt idx="77">
                  <c:v>7.53</c:v>
                </c:pt>
                <c:pt idx="78">
                  <c:v>2.37</c:v>
                </c:pt>
                <c:pt idx="79">
                  <c:v>0.87</c:v>
                </c:pt>
                <c:pt idx="80">
                  <c:v>1.89</c:v>
                </c:pt>
                <c:pt idx="81">
                  <c:v>3.74</c:v>
                </c:pt>
                <c:pt idx="82">
                  <c:v>2.39</c:v>
                </c:pt>
                <c:pt idx="83">
                  <c:v>3.13</c:v>
                </c:pt>
                <c:pt idx="84">
                  <c:v>0</c:v>
                </c:pt>
                <c:pt idx="85">
                  <c:v>1.29</c:v>
                </c:pt>
                <c:pt idx="86">
                  <c:v>2.93</c:v>
                </c:pt>
                <c:pt idx="87">
                  <c:v>0</c:v>
                </c:pt>
                <c:pt idx="88">
                  <c:v>3.08</c:v>
                </c:pt>
                <c:pt idx="89">
                  <c:v>1.42</c:v>
                </c:pt>
                <c:pt idx="90">
                  <c:v>6.87</c:v>
                </c:pt>
                <c:pt idx="91">
                  <c:v>1.37</c:v>
                </c:pt>
                <c:pt idx="92">
                  <c:v>0</c:v>
                </c:pt>
                <c:pt idx="93">
                  <c:v>1.94</c:v>
                </c:pt>
                <c:pt idx="94">
                  <c:v>0.91</c:v>
                </c:pt>
                <c:pt idx="95">
                  <c:v>1.7</c:v>
                </c:pt>
                <c:pt idx="96">
                  <c:v>1.905</c:v>
                </c:pt>
                <c:pt idx="97">
                  <c:v>1.05</c:v>
                </c:pt>
                <c:pt idx="98">
                  <c:v>1.905</c:v>
                </c:pt>
                <c:pt idx="99">
                  <c:v>1.63</c:v>
                </c:pt>
                <c:pt idx="100">
                  <c:v>4.52</c:v>
                </c:pt>
                <c:pt idx="101">
                  <c:v>0.25</c:v>
                </c:pt>
                <c:pt idx="102">
                  <c:v>9.8</c:v>
                </c:pt>
                <c:pt idx="103">
                  <c:v>0.36</c:v>
                </c:pt>
                <c:pt idx="104">
                  <c:v>4.38</c:v>
                </c:pt>
                <c:pt idx="105">
                  <c:v>0.39</c:v>
                </c:pt>
                <c:pt idx="106">
                  <c:v>2.08</c:v>
                </c:pt>
                <c:pt idx="107">
                  <c:v>1.49</c:v>
                </c:pt>
                <c:pt idx="108">
                  <c:v>9.64</c:v>
                </c:pt>
                <c:pt idx="109">
                  <c:v>2.44</c:v>
                </c:pt>
                <c:pt idx="110">
                  <c:v>4.07</c:v>
                </c:pt>
                <c:pt idx="111">
                  <c:v>1.66</c:v>
                </c:pt>
                <c:pt idx="112">
                  <c:v>1.96</c:v>
                </c:pt>
                <c:pt idx="113">
                  <c:v>3.63</c:v>
                </c:pt>
                <c:pt idx="114">
                  <c:v>0</c:v>
                </c:pt>
                <c:pt idx="115">
                  <c:v>6.58</c:v>
                </c:pt>
                <c:pt idx="116">
                  <c:v>4.08</c:v>
                </c:pt>
                <c:pt idx="117">
                  <c:v>1.905</c:v>
                </c:pt>
                <c:pt idx="118">
                  <c:v>1.905</c:v>
                </c:pt>
                <c:pt idx="119">
                  <c:v>4.34</c:v>
                </c:pt>
                <c:pt idx="120">
                  <c:v>0.15</c:v>
                </c:pt>
                <c:pt idx="121">
                  <c:v>0.35</c:v>
                </c:pt>
                <c:pt idx="122">
                  <c:v>1.66</c:v>
                </c:pt>
                <c:pt idx="123">
                  <c:v>8.33</c:v>
                </c:pt>
                <c:pt idx="124">
                  <c:v>0.59</c:v>
                </c:pt>
                <c:pt idx="125">
                  <c:v>1.6</c:v>
                </c:pt>
                <c:pt idx="126">
                  <c:v>1.96</c:v>
                </c:pt>
                <c:pt idx="127">
                  <c:v>0</c:v>
                </c:pt>
                <c:pt idx="128">
                  <c:v>0.09</c:v>
                </c:pt>
                <c:pt idx="129">
                  <c:v>3.4</c:v>
                </c:pt>
                <c:pt idx="130">
                  <c:v>0.83</c:v>
                </c:pt>
                <c:pt idx="131">
                  <c:v>7.69</c:v>
                </c:pt>
                <c:pt idx="132">
                  <c:v>0.8</c:v>
                </c:pt>
                <c:pt idx="133">
                  <c:v>1.905</c:v>
                </c:pt>
                <c:pt idx="134">
                  <c:v>6.37</c:v>
                </c:pt>
                <c:pt idx="135">
                  <c:v>0.64</c:v>
                </c:pt>
                <c:pt idx="136">
                  <c:v>1.69</c:v>
                </c:pt>
                <c:pt idx="137">
                  <c:v>0.29</c:v>
                </c:pt>
                <c:pt idx="138">
                  <c:v>2.41</c:v>
                </c:pt>
                <c:pt idx="139">
                  <c:v>3.1</c:v>
                </c:pt>
                <c:pt idx="140">
                  <c:v>2.83</c:v>
                </c:pt>
                <c:pt idx="141">
                  <c:v>0</c:v>
                </c:pt>
                <c:pt idx="142">
                  <c:v>8.17</c:v>
                </c:pt>
                <c:pt idx="143">
                  <c:v>4.98</c:v>
                </c:pt>
                <c:pt idx="144">
                  <c:v>3.45</c:v>
                </c:pt>
                <c:pt idx="145">
                  <c:v>1.72</c:v>
                </c:pt>
                <c:pt idx="146">
                  <c:v>0</c:v>
                </c:pt>
                <c:pt idx="147">
                  <c:v>3.14</c:v>
                </c:pt>
                <c:pt idx="148">
                  <c:v>3.53</c:v>
                </c:pt>
                <c:pt idx="149">
                  <c:v>1.05</c:v>
                </c:pt>
                <c:pt idx="150">
                  <c:v>6.08</c:v>
                </c:pt>
                <c:pt idx="151">
                  <c:v>0</c:v>
                </c:pt>
                <c:pt idx="152">
                  <c:v>1.24</c:v>
                </c:pt>
                <c:pt idx="153">
                  <c:v>3.78</c:v>
                </c:pt>
                <c:pt idx="154">
                  <c:v>2.02</c:v>
                </c:pt>
                <c:pt idx="155">
                  <c:v>6.64</c:v>
                </c:pt>
                <c:pt idx="156">
                  <c:v>2.92</c:v>
                </c:pt>
                <c:pt idx="157">
                  <c:v>4.34</c:v>
                </c:pt>
                <c:pt idx="158">
                  <c:v>0.99</c:v>
                </c:pt>
                <c:pt idx="159">
                  <c:v>3.3</c:v>
                </c:pt>
                <c:pt idx="160">
                  <c:v>0</c:v>
                </c:pt>
                <c:pt idx="161">
                  <c:v>3.4</c:v>
                </c:pt>
                <c:pt idx="162">
                  <c:v>0.77</c:v>
                </c:pt>
                <c:pt idx="163">
                  <c:v>1.61</c:v>
                </c:pt>
                <c:pt idx="164">
                  <c:v>1.905</c:v>
                </c:pt>
                <c:pt idx="165">
                  <c:v>0.39</c:v>
                </c:pt>
                <c:pt idx="166">
                  <c:v>0</c:v>
                </c:pt>
                <c:pt idx="167">
                  <c:v>1.66</c:v>
                </c:pt>
                <c:pt idx="168">
                  <c:v>0.05</c:v>
                </c:pt>
                <c:pt idx="169">
                  <c:v>3.01</c:v>
                </c:pt>
                <c:pt idx="170">
                  <c:v>10.34</c:v>
                </c:pt>
                <c:pt idx="171">
                  <c:v>0.46</c:v>
                </c:pt>
                <c:pt idx="172">
                  <c:v>3.3</c:v>
                </c:pt>
                <c:pt idx="173">
                  <c:v>0</c:v>
                </c:pt>
                <c:pt idx="174">
                  <c:v>0.13</c:v>
                </c:pt>
                <c:pt idx="175">
                  <c:v>1.905</c:v>
                </c:pt>
                <c:pt idx="176">
                  <c:v>1.9</c:v>
                </c:pt>
                <c:pt idx="177">
                  <c:v>0.15</c:v>
                </c:pt>
                <c:pt idx="178">
                  <c:v>4.27</c:v>
                </c:pt>
                <c:pt idx="179">
                  <c:v>0.55</c:v>
                </c:pt>
                <c:pt idx="180">
                  <c:v>3.37</c:v>
                </c:pt>
                <c:pt idx="181">
                  <c:v>0</c:v>
                </c:pt>
                <c:pt idx="182">
                  <c:v>0.97</c:v>
                </c:pt>
                <c:pt idx="183">
                  <c:v>1.95</c:v>
                </c:pt>
                <c:pt idx="184">
                  <c:v>0.69</c:v>
                </c:pt>
                <c:pt idx="185">
                  <c:v>2.15</c:v>
                </c:pt>
                <c:pt idx="186">
                  <c:v>7.97</c:v>
                </c:pt>
                <c:pt idx="187">
                  <c:v>1.24</c:v>
                </c:pt>
                <c:pt idx="188">
                  <c:v>0</c:v>
                </c:pt>
                <c:pt idx="189">
                  <c:v>0.81</c:v>
                </c:pt>
                <c:pt idx="190">
                  <c:v>2.85</c:v>
                </c:pt>
                <c:pt idx="191">
                  <c:v>2.21</c:v>
                </c:pt>
                <c:pt idx="192">
                  <c:v>0</c:v>
                </c:pt>
                <c:pt idx="193">
                  <c:v>1.03</c:v>
                </c:pt>
                <c:pt idx="194">
                  <c:v>2.31</c:v>
                </c:pt>
                <c:pt idx="195">
                  <c:v>1.65</c:v>
                </c:pt>
                <c:pt idx="196">
                  <c:v>2.67</c:v>
                </c:pt>
                <c:pt idx="197">
                  <c:v>12.23</c:v>
                </c:pt>
                <c:pt idx="198">
                  <c:v>5.72</c:v>
                </c:pt>
                <c:pt idx="199">
                  <c:v>6.24</c:v>
                </c:pt>
                <c:pt idx="200">
                  <c:v>7.54</c:v>
                </c:pt>
                <c:pt idx="201">
                  <c:v>1.19</c:v>
                </c:pt>
                <c:pt idx="202">
                  <c:v>1.905</c:v>
                </c:pt>
                <c:pt idx="203">
                  <c:v>1.905</c:v>
                </c:pt>
                <c:pt idx="204">
                  <c:v>1.54</c:v>
                </c:pt>
                <c:pt idx="205">
                  <c:v>9.56</c:v>
                </c:pt>
                <c:pt idx="206">
                  <c:v>1.905</c:v>
                </c:pt>
                <c:pt idx="207">
                  <c:v>0</c:v>
                </c:pt>
                <c:pt idx="208">
                  <c:v>7.7</c:v>
                </c:pt>
                <c:pt idx="209">
                  <c:v>6.81</c:v>
                </c:pt>
                <c:pt idx="210">
                  <c:v>2.87</c:v>
                </c:pt>
                <c:pt idx="211">
                  <c:v>3.88</c:v>
                </c:pt>
                <c:pt idx="212">
                  <c:v>0</c:v>
                </c:pt>
                <c:pt idx="213">
                  <c:v>2.11</c:v>
                </c:pt>
                <c:pt idx="214">
                  <c:v>4.8</c:v>
                </c:pt>
                <c:pt idx="215">
                  <c:v>2.25</c:v>
                </c:pt>
                <c:pt idx="216">
                  <c:v>0.78</c:v>
                </c:pt>
                <c:pt idx="217">
                  <c:v>3.72</c:v>
                </c:pt>
                <c:pt idx="218">
                  <c:v>0</c:v>
                </c:pt>
                <c:pt idx="219">
                  <c:v>4.61</c:v>
                </c:pt>
                <c:pt idx="220">
                  <c:v>0</c:v>
                </c:pt>
                <c:pt idx="221">
                  <c:v>0.04</c:v>
                </c:pt>
                <c:pt idx="222">
                  <c:v>0</c:v>
                </c:pt>
                <c:pt idx="223">
                  <c:v>2.76</c:v>
                </c:pt>
                <c:pt idx="224">
                  <c:v>0</c:v>
                </c:pt>
                <c:pt idx="225">
                  <c:v>1.48</c:v>
                </c:pt>
                <c:pt idx="226">
                  <c:v>3.74</c:v>
                </c:pt>
                <c:pt idx="227">
                  <c:v>2.16</c:v>
                </c:pt>
                <c:pt idx="228">
                  <c:v>7.6</c:v>
                </c:pt>
                <c:pt idx="229">
                  <c:v>1.45</c:v>
                </c:pt>
                <c:pt idx="230">
                  <c:v>5.12</c:v>
                </c:pt>
                <c:pt idx="231">
                  <c:v>0</c:v>
                </c:pt>
                <c:pt idx="232">
                  <c:v>1.905</c:v>
                </c:pt>
                <c:pt idx="233">
                  <c:v>11.89</c:v>
                </c:pt>
                <c:pt idx="234">
                  <c:v>1.905</c:v>
                </c:pt>
                <c:pt idx="235">
                  <c:v>0.73</c:v>
                </c:pt>
                <c:pt idx="236">
                  <c:v>6.27</c:v>
                </c:pt>
                <c:pt idx="237">
                  <c:v>1.76</c:v>
                </c:pt>
                <c:pt idx="238">
                  <c:v>0</c:v>
                </c:pt>
                <c:pt idx="239">
                  <c:v>0</c:v>
                </c:pt>
                <c:pt idx="240">
                  <c:v>1.96</c:v>
                </c:pt>
                <c:pt idx="241">
                  <c:v>2.52</c:v>
                </c:pt>
                <c:pt idx="242">
                  <c:v>6.29</c:v>
                </c:pt>
                <c:pt idx="243">
                  <c:v>3.17</c:v>
                </c:pt>
                <c:pt idx="244">
                  <c:v>1.905</c:v>
                </c:pt>
                <c:pt idx="245">
                  <c:v>13.06</c:v>
                </c:pt>
                <c:pt idx="246">
                  <c:v>1.905</c:v>
                </c:pt>
                <c:pt idx="247">
                  <c:v>1.73</c:v>
                </c:pt>
                <c:pt idx="248">
                  <c:v>7.37</c:v>
                </c:pt>
                <c:pt idx="249">
                  <c:v>2.91</c:v>
                </c:pt>
                <c:pt idx="250">
                  <c:v>15.38</c:v>
                </c:pt>
                <c:pt idx="251">
                  <c:v>0</c:v>
                </c:pt>
                <c:pt idx="252">
                  <c:v>2.12</c:v>
                </c:pt>
                <c:pt idx="253">
                  <c:v>0</c:v>
                </c:pt>
                <c:pt idx="254">
                  <c:v>1.52</c:v>
                </c:pt>
                <c:pt idx="255">
                  <c:v>1.74</c:v>
                </c:pt>
                <c:pt idx="256">
                  <c:v>5.04</c:v>
                </c:pt>
                <c:pt idx="257">
                  <c:v>5.13</c:v>
                </c:pt>
                <c:pt idx="258">
                  <c:v>0</c:v>
                </c:pt>
                <c:pt idx="259">
                  <c:v>1.905</c:v>
                </c:pt>
                <c:pt idx="260">
                  <c:v>2.26</c:v>
                </c:pt>
                <c:pt idx="261">
                  <c:v>1.5</c:v>
                </c:pt>
                <c:pt idx="262">
                  <c:v>0.56</c:v>
                </c:pt>
                <c:pt idx="263">
                  <c:v>4.88</c:v>
                </c:pt>
                <c:pt idx="264">
                  <c:v>4.42</c:v>
                </c:pt>
                <c:pt idx="265">
                  <c:v>3.81</c:v>
                </c:pt>
                <c:pt idx="266">
                  <c:v>3.98</c:v>
                </c:pt>
                <c:pt idx="267">
                  <c:v>0.71</c:v>
                </c:pt>
                <c:pt idx="268">
                  <c:v>1.31</c:v>
                </c:pt>
                <c:pt idx="269">
                  <c:v>0.22</c:v>
                </c:pt>
                <c:pt idx="270">
                  <c:v>3.96</c:v>
                </c:pt>
                <c:pt idx="271">
                  <c:v>4.26</c:v>
                </c:pt>
                <c:pt idx="272">
                  <c:v>1.38</c:v>
                </c:pt>
                <c:pt idx="273">
                  <c:v>1.05</c:v>
                </c:pt>
                <c:pt idx="274">
                  <c:v>1.26</c:v>
                </c:pt>
                <c:pt idx="275">
                  <c:v>2.81</c:v>
                </c:pt>
                <c:pt idx="276">
                  <c:v>6.72</c:v>
                </c:pt>
                <c:pt idx="277">
                  <c:v>3.96</c:v>
                </c:pt>
                <c:pt idx="278">
                  <c:v>1.28</c:v>
                </c:pt>
                <c:pt idx="279">
                  <c:v>4.53</c:v>
                </c:pt>
                <c:pt idx="280">
                  <c:v>0</c:v>
                </c:pt>
                <c:pt idx="281">
                  <c:v>0.14</c:v>
                </c:pt>
                <c:pt idx="282">
                  <c:v>2.56</c:v>
                </c:pt>
                <c:pt idx="283">
                  <c:v>0</c:v>
                </c:pt>
                <c:pt idx="284">
                  <c:v>1.905</c:v>
                </c:pt>
                <c:pt idx="285">
                  <c:v>0</c:v>
                </c:pt>
                <c:pt idx="286">
                  <c:v>0.66</c:v>
                </c:pt>
                <c:pt idx="287">
                  <c:v>7.29</c:v>
                </c:pt>
                <c:pt idx="288">
                  <c:v>6.54</c:v>
                </c:pt>
                <c:pt idx="289">
                  <c:v>5.05</c:v>
                </c:pt>
                <c:pt idx="290">
                  <c:v>4.37</c:v>
                </c:pt>
                <c:pt idx="291">
                  <c:v>2.42</c:v>
                </c:pt>
                <c:pt idx="292">
                  <c:v>1.66</c:v>
                </c:pt>
                <c:pt idx="293">
                  <c:v>6.05</c:v>
                </c:pt>
                <c:pt idx="294">
                  <c:v>7.21</c:v>
                </c:pt>
                <c:pt idx="295">
                  <c:v>0.74</c:v>
                </c:pt>
                <c:pt idx="296">
                  <c:v>4.64</c:v>
                </c:pt>
                <c:pt idx="297">
                  <c:v>1.905</c:v>
                </c:pt>
                <c:pt idx="298">
                  <c:v>2.6</c:v>
                </c:pt>
                <c:pt idx="299">
                  <c:v>12.96</c:v>
                </c:pt>
                <c:pt idx="300">
                  <c:v>4.11</c:v>
                </c:pt>
                <c:pt idx="301">
                  <c:v>1.82</c:v>
                </c:pt>
                <c:pt idx="302">
                  <c:v>2.67</c:v>
                </c:pt>
                <c:pt idx="303">
                  <c:v>0.79</c:v>
                </c:pt>
                <c:pt idx="304">
                  <c:v>3.76</c:v>
                </c:pt>
                <c:pt idx="305">
                  <c:v>0</c:v>
                </c:pt>
                <c:pt idx="306">
                  <c:v>0.28</c:v>
                </c:pt>
                <c:pt idx="307">
                  <c:v>0.86</c:v>
                </c:pt>
                <c:pt idx="308">
                  <c:v>7.64</c:v>
                </c:pt>
                <c:pt idx="309">
                  <c:v>0.74</c:v>
                </c:pt>
                <c:pt idx="310">
                  <c:v>0</c:v>
                </c:pt>
                <c:pt idx="311">
                  <c:v>0.54</c:v>
                </c:pt>
                <c:pt idx="312">
                  <c:v>0</c:v>
                </c:pt>
                <c:pt idx="313">
                  <c:v>1.57</c:v>
                </c:pt>
                <c:pt idx="314">
                  <c:v>0.66</c:v>
                </c:pt>
                <c:pt idx="315">
                  <c:v>0.07</c:v>
                </c:pt>
                <c:pt idx="316">
                  <c:v>1.04</c:v>
                </c:pt>
                <c:pt idx="317">
                  <c:v>0</c:v>
                </c:pt>
                <c:pt idx="318">
                  <c:v>0</c:v>
                </c:pt>
                <c:pt idx="319">
                  <c:v>3.52</c:v>
                </c:pt>
                <c:pt idx="320">
                  <c:v>1.91</c:v>
                </c:pt>
                <c:pt idx="321">
                  <c:v>1.69</c:v>
                </c:pt>
                <c:pt idx="322">
                  <c:v>0</c:v>
                </c:pt>
                <c:pt idx="323">
                  <c:v>3.95</c:v>
                </c:pt>
                <c:pt idx="324">
                  <c:v>0.06</c:v>
                </c:pt>
                <c:pt idx="325">
                  <c:v>1.79</c:v>
                </c:pt>
                <c:pt idx="326">
                  <c:v>0.51</c:v>
                </c:pt>
                <c:pt idx="327">
                  <c:v>2.27</c:v>
                </c:pt>
                <c:pt idx="328">
                  <c:v>0.21</c:v>
                </c:pt>
                <c:pt idx="329">
                  <c:v>1.905</c:v>
                </c:pt>
                <c:pt idx="330">
                  <c:v>0.91</c:v>
                </c:pt>
                <c:pt idx="331">
                  <c:v>0.75</c:v>
                </c:pt>
                <c:pt idx="332">
                  <c:v>2.93</c:v>
                </c:pt>
                <c:pt idx="333">
                  <c:v>3.36</c:v>
                </c:pt>
                <c:pt idx="334">
                  <c:v>1.18</c:v>
                </c:pt>
                <c:pt idx="335">
                  <c:v>4.18</c:v>
                </c:pt>
                <c:pt idx="336">
                  <c:v>5.83</c:v>
                </c:pt>
                <c:pt idx="337">
                  <c:v>4.3</c:v>
                </c:pt>
                <c:pt idx="338">
                  <c:v>6.33</c:v>
                </c:pt>
                <c:pt idx="339">
                  <c:v>3.59</c:v>
                </c:pt>
                <c:pt idx="340">
                  <c:v>0</c:v>
                </c:pt>
                <c:pt idx="341">
                  <c:v>1.23</c:v>
                </c:pt>
                <c:pt idx="342">
                  <c:v>5.76</c:v>
                </c:pt>
                <c:pt idx="343">
                  <c:v>5.87</c:v>
                </c:pt>
                <c:pt idx="344">
                  <c:v>1.99</c:v>
                </c:pt>
                <c:pt idx="345">
                  <c:v>1.39</c:v>
                </c:pt>
                <c:pt idx="346">
                  <c:v>0</c:v>
                </c:pt>
                <c:pt idx="347">
                  <c:v>12.04</c:v>
                </c:pt>
                <c:pt idx="348">
                  <c:v>3.27</c:v>
                </c:pt>
                <c:pt idx="349">
                  <c:v>5</c:v>
                </c:pt>
                <c:pt idx="350">
                  <c:v>11.33</c:v>
                </c:pt>
                <c:pt idx="351">
                  <c:v>5.97</c:v>
                </c:pt>
                <c:pt idx="352">
                  <c:v>0.09</c:v>
                </c:pt>
                <c:pt idx="353">
                  <c:v>1.63</c:v>
                </c:pt>
                <c:pt idx="354">
                  <c:v>1.92</c:v>
                </c:pt>
                <c:pt idx="355">
                  <c:v>1.48</c:v>
                </c:pt>
                <c:pt idx="356">
                  <c:v>0</c:v>
                </c:pt>
                <c:pt idx="357">
                  <c:v>11.07</c:v>
                </c:pt>
                <c:pt idx="358">
                  <c:v>2.25</c:v>
                </c:pt>
                <c:pt idx="359">
                  <c:v>0</c:v>
                </c:pt>
                <c:pt idx="360">
                  <c:v>1.1</c:v>
                </c:pt>
                <c:pt idx="361">
                  <c:v>5.27</c:v>
                </c:pt>
                <c:pt idx="362">
                  <c:v>1.36</c:v>
                </c:pt>
                <c:pt idx="363">
                  <c:v>1.36</c:v>
                </c:pt>
                <c:pt idx="364">
                  <c:v>0</c:v>
                </c:pt>
                <c:pt idx="365">
                  <c:v>0.8</c:v>
                </c:pt>
                <c:pt idx="366">
                  <c:v>1.15</c:v>
                </c:pt>
                <c:pt idx="367">
                  <c:v>3.26</c:v>
                </c:pt>
                <c:pt idx="368">
                  <c:v>3.15</c:v>
                </c:pt>
                <c:pt idx="369">
                  <c:v>5.45</c:v>
                </c:pt>
                <c:pt idx="370">
                  <c:v>1.18</c:v>
                </c:pt>
                <c:pt idx="371">
                  <c:v>0</c:v>
                </c:pt>
                <c:pt idx="372">
                  <c:v>0.12</c:v>
                </c:pt>
                <c:pt idx="373">
                  <c:v>0.83</c:v>
                </c:pt>
                <c:pt idx="374">
                  <c:v>4.03</c:v>
                </c:pt>
                <c:pt idx="375">
                  <c:v>2.37</c:v>
                </c:pt>
                <c:pt idx="376">
                  <c:v>6.3</c:v>
                </c:pt>
                <c:pt idx="377">
                  <c:v>0.84</c:v>
                </c:pt>
                <c:pt idx="378">
                  <c:v>1.01</c:v>
                </c:pt>
                <c:pt idx="379">
                  <c:v>1.09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4.86</c:v>
                </c:pt>
                <c:pt idx="384">
                  <c:v>0.82</c:v>
                </c:pt>
                <c:pt idx="385">
                  <c:v>4.31</c:v>
                </c:pt>
                <c:pt idx="386">
                  <c:v>3.48</c:v>
                </c:pt>
                <c:pt idx="387">
                  <c:v>2.85</c:v>
                </c:pt>
                <c:pt idx="388">
                  <c:v>3.37</c:v>
                </c:pt>
                <c:pt idx="389">
                  <c:v>1.82</c:v>
                </c:pt>
                <c:pt idx="390">
                  <c:v>2.7</c:v>
                </c:pt>
                <c:pt idx="391">
                  <c:v>2.22</c:v>
                </c:pt>
                <c:pt idx="392">
                  <c:v>0.26</c:v>
                </c:pt>
                <c:pt idx="393">
                  <c:v>1.62</c:v>
                </c:pt>
                <c:pt idx="394">
                  <c:v>4.35</c:v>
                </c:pt>
                <c:pt idx="395">
                  <c:v>2.9</c:v>
                </c:pt>
                <c:pt idx="396">
                  <c:v>0</c:v>
                </c:pt>
                <c:pt idx="397">
                  <c:v>1.57</c:v>
                </c:pt>
                <c:pt idx="398">
                  <c:v>2.09</c:v>
                </c:pt>
                <c:pt idx="399">
                  <c:v>3.33</c:v>
                </c:pt>
                <c:pt idx="400">
                  <c:v>0</c:v>
                </c:pt>
                <c:pt idx="401">
                  <c:v>1.71</c:v>
                </c:pt>
                <c:pt idx="402">
                  <c:v>0</c:v>
                </c:pt>
                <c:pt idx="403">
                  <c:v>5.25</c:v>
                </c:pt>
                <c:pt idx="404">
                  <c:v>8.44</c:v>
                </c:pt>
                <c:pt idx="405">
                  <c:v>0.61</c:v>
                </c:pt>
                <c:pt idx="406">
                  <c:v>1.905</c:v>
                </c:pt>
                <c:pt idx="407">
                  <c:v>1.42</c:v>
                </c:pt>
                <c:pt idx="408">
                  <c:v>2.2</c:v>
                </c:pt>
                <c:pt idx="409">
                  <c:v>1.83</c:v>
                </c:pt>
                <c:pt idx="410">
                  <c:v>3.28</c:v>
                </c:pt>
                <c:pt idx="411">
                  <c:v>1.04</c:v>
                </c:pt>
                <c:pt idx="412">
                  <c:v>2.29</c:v>
                </c:pt>
                <c:pt idx="413">
                  <c:v>0</c:v>
                </c:pt>
                <c:pt idx="414">
                  <c:v>1.98</c:v>
                </c:pt>
                <c:pt idx="415">
                  <c:v>0</c:v>
                </c:pt>
                <c:pt idx="416">
                  <c:v>2.55</c:v>
                </c:pt>
                <c:pt idx="417">
                  <c:v>0</c:v>
                </c:pt>
                <c:pt idx="418">
                  <c:v>5.87</c:v>
                </c:pt>
                <c:pt idx="419">
                  <c:v>1.905</c:v>
                </c:pt>
                <c:pt idx="420">
                  <c:v>0.44</c:v>
                </c:pt>
                <c:pt idx="421">
                  <c:v>2.25</c:v>
                </c:pt>
                <c:pt idx="422">
                  <c:v>1.38</c:v>
                </c:pt>
                <c:pt idx="423">
                  <c:v>0</c:v>
                </c:pt>
                <c:pt idx="424">
                  <c:v>8.22</c:v>
                </c:pt>
                <c:pt idx="425">
                  <c:v>8.11</c:v>
                </c:pt>
                <c:pt idx="426">
                  <c:v>1.51</c:v>
                </c:pt>
                <c:pt idx="427">
                  <c:v>4.72</c:v>
                </c:pt>
                <c:pt idx="428">
                  <c:v>0.29</c:v>
                </c:pt>
                <c:pt idx="429">
                  <c:v>0</c:v>
                </c:pt>
                <c:pt idx="430">
                  <c:v>1.12</c:v>
                </c:pt>
                <c:pt idx="431">
                  <c:v>2.86</c:v>
                </c:pt>
                <c:pt idx="432">
                  <c:v>4.11</c:v>
                </c:pt>
                <c:pt idx="433">
                  <c:v>0.54</c:v>
                </c:pt>
                <c:pt idx="434">
                  <c:v>0</c:v>
                </c:pt>
                <c:pt idx="435">
                  <c:v>0.37</c:v>
                </c:pt>
                <c:pt idx="436">
                  <c:v>10.72</c:v>
                </c:pt>
                <c:pt idx="437">
                  <c:v>3.98</c:v>
                </c:pt>
                <c:pt idx="438">
                  <c:v>0</c:v>
                </c:pt>
                <c:pt idx="439">
                  <c:v>7.39</c:v>
                </c:pt>
                <c:pt idx="440">
                  <c:v>0</c:v>
                </c:pt>
                <c:pt idx="441">
                  <c:v>1.905</c:v>
                </c:pt>
                <c:pt idx="442">
                  <c:v>0</c:v>
                </c:pt>
                <c:pt idx="443">
                  <c:v>1.905</c:v>
                </c:pt>
                <c:pt idx="444">
                  <c:v>0.18</c:v>
                </c:pt>
                <c:pt idx="445">
                  <c:v>8.8</c:v>
                </c:pt>
                <c:pt idx="446">
                  <c:v>0</c:v>
                </c:pt>
                <c:pt idx="447">
                  <c:v>3.81</c:v>
                </c:pt>
                <c:pt idx="448">
                  <c:v>4.42</c:v>
                </c:pt>
                <c:pt idx="449">
                  <c:v>8.3</c:v>
                </c:pt>
                <c:pt idx="450">
                  <c:v>3.25</c:v>
                </c:pt>
                <c:pt idx="451">
                  <c:v>1.905</c:v>
                </c:pt>
                <c:pt idx="452">
                  <c:v>1.94</c:v>
                </c:pt>
                <c:pt idx="453">
                  <c:v>4.68</c:v>
                </c:pt>
                <c:pt idx="454">
                  <c:v>1.35</c:v>
                </c:pt>
                <c:pt idx="455">
                  <c:v>0.55</c:v>
                </c:pt>
                <c:pt idx="456">
                  <c:v>3.52</c:v>
                </c:pt>
                <c:pt idx="457">
                  <c:v>18</c:v>
                </c:pt>
                <c:pt idx="458">
                  <c:v>0</c:v>
                </c:pt>
                <c:pt idx="459">
                  <c:v>1.905</c:v>
                </c:pt>
                <c:pt idx="460">
                  <c:v>1.98</c:v>
                </c:pt>
                <c:pt idx="461">
                  <c:v>4.02</c:v>
                </c:pt>
                <c:pt idx="462">
                  <c:v>0.49</c:v>
                </c:pt>
                <c:pt idx="463">
                  <c:v>3.95</c:v>
                </c:pt>
                <c:pt idx="464">
                  <c:v>5.75</c:v>
                </c:pt>
                <c:pt idx="465">
                  <c:v>0</c:v>
                </c:pt>
                <c:pt idx="466">
                  <c:v>0</c:v>
                </c:pt>
                <c:pt idx="467">
                  <c:v>3.63</c:v>
                </c:pt>
                <c:pt idx="468">
                  <c:v>6.42</c:v>
                </c:pt>
                <c:pt idx="469">
                  <c:v>3.4</c:v>
                </c:pt>
                <c:pt idx="470">
                  <c:v>1.36</c:v>
                </c:pt>
                <c:pt idx="471">
                  <c:v>1.24</c:v>
                </c:pt>
                <c:pt idx="472">
                  <c:v>14.69</c:v>
                </c:pt>
                <c:pt idx="473">
                  <c:v>6.67</c:v>
                </c:pt>
                <c:pt idx="474">
                  <c:v>0.56</c:v>
                </c:pt>
                <c:pt idx="475">
                  <c:v>15.41</c:v>
                </c:pt>
                <c:pt idx="476">
                  <c:v>3.78</c:v>
                </c:pt>
                <c:pt idx="477">
                  <c:v>1.905</c:v>
                </c:pt>
                <c:pt idx="478">
                  <c:v>4.36</c:v>
                </c:pt>
                <c:pt idx="479">
                  <c:v>0</c:v>
                </c:pt>
                <c:pt idx="480">
                  <c:v>2.18</c:v>
                </c:pt>
                <c:pt idx="481">
                  <c:v>2.58</c:v>
                </c:pt>
                <c:pt idx="482">
                  <c:v>0.63</c:v>
                </c:pt>
                <c:pt idx="483">
                  <c:v>0.67</c:v>
                </c:pt>
                <c:pt idx="484">
                  <c:v>7.19</c:v>
                </c:pt>
                <c:pt idx="485">
                  <c:v>5.03</c:v>
                </c:pt>
                <c:pt idx="486">
                  <c:v>0.53</c:v>
                </c:pt>
                <c:pt idx="487">
                  <c:v>0.3</c:v>
                </c:pt>
                <c:pt idx="488">
                  <c:v>2.7</c:v>
                </c:pt>
                <c:pt idx="489">
                  <c:v>1.12</c:v>
                </c:pt>
                <c:pt idx="490">
                  <c:v>0</c:v>
                </c:pt>
                <c:pt idx="491">
                  <c:v>3.35</c:v>
                </c:pt>
                <c:pt idx="492">
                  <c:v>7.91</c:v>
                </c:pt>
                <c:pt idx="493">
                  <c:v>1.51</c:v>
                </c:pt>
                <c:pt idx="494">
                  <c:v>0.56</c:v>
                </c:pt>
                <c:pt idx="495">
                  <c:v>0.01</c:v>
                </c:pt>
                <c:pt idx="496">
                  <c:v>0</c:v>
                </c:pt>
                <c:pt idx="497">
                  <c:v>5.3</c:v>
                </c:pt>
                <c:pt idx="498">
                  <c:v>1.88</c:v>
                </c:pt>
                <c:pt idx="499">
                  <c:v>2.59</c:v>
                </c:pt>
                <c:pt idx="500">
                  <c:v>3.43</c:v>
                </c:pt>
                <c:pt idx="501">
                  <c:v>0</c:v>
                </c:pt>
                <c:pt idx="502">
                  <c:v>0</c:v>
                </c:pt>
                <c:pt idx="503">
                  <c:v>1.905</c:v>
                </c:pt>
                <c:pt idx="504">
                  <c:v>0</c:v>
                </c:pt>
                <c:pt idx="505">
                  <c:v>6.62</c:v>
                </c:pt>
                <c:pt idx="506">
                  <c:v>4.06</c:v>
                </c:pt>
                <c:pt idx="507">
                  <c:v>0.28</c:v>
                </c:pt>
                <c:pt idx="508">
                  <c:v>13.03</c:v>
                </c:pt>
                <c:pt idx="509">
                  <c:v>1.93</c:v>
                </c:pt>
                <c:pt idx="510">
                  <c:v>1.52</c:v>
                </c:pt>
                <c:pt idx="511">
                  <c:v>0</c:v>
                </c:pt>
                <c:pt idx="512">
                  <c:v>0</c:v>
                </c:pt>
                <c:pt idx="513">
                  <c:v>2.13</c:v>
                </c:pt>
                <c:pt idx="514">
                  <c:v>0</c:v>
                </c:pt>
                <c:pt idx="515">
                  <c:v>3.71</c:v>
                </c:pt>
                <c:pt idx="516">
                  <c:v>4.96</c:v>
                </c:pt>
                <c:pt idx="517">
                  <c:v>6.18</c:v>
                </c:pt>
                <c:pt idx="518">
                  <c:v>1.51</c:v>
                </c:pt>
                <c:pt idx="519">
                  <c:v>16.45</c:v>
                </c:pt>
                <c:pt idx="520">
                  <c:v>1.17</c:v>
                </c:pt>
                <c:pt idx="521">
                  <c:v>0.52</c:v>
                </c:pt>
                <c:pt idx="522">
                  <c:v>1.2</c:v>
                </c:pt>
                <c:pt idx="523">
                  <c:v>1.28</c:v>
                </c:pt>
                <c:pt idx="524">
                  <c:v>1.905</c:v>
                </c:pt>
                <c:pt idx="525">
                  <c:v>0</c:v>
                </c:pt>
                <c:pt idx="526">
                  <c:v>7.74</c:v>
                </c:pt>
                <c:pt idx="527">
                  <c:v>0</c:v>
                </c:pt>
                <c:pt idx="528">
                  <c:v>3.37</c:v>
                </c:pt>
                <c:pt idx="529">
                  <c:v>0.46</c:v>
                </c:pt>
                <c:pt idx="530">
                  <c:v>1.07</c:v>
                </c:pt>
                <c:pt idx="531">
                  <c:v>4.3</c:v>
                </c:pt>
                <c:pt idx="532">
                  <c:v>1.69</c:v>
                </c:pt>
                <c:pt idx="533">
                  <c:v>4.64</c:v>
                </c:pt>
                <c:pt idx="534">
                  <c:v>2.91</c:v>
                </c:pt>
                <c:pt idx="535">
                  <c:v>3.91</c:v>
                </c:pt>
                <c:pt idx="536">
                  <c:v>4.02</c:v>
                </c:pt>
                <c:pt idx="537">
                  <c:v>2.69</c:v>
                </c:pt>
                <c:pt idx="538">
                  <c:v>5.1</c:v>
                </c:pt>
                <c:pt idx="539">
                  <c:v>1.31</c:v>
                </c:pt>
                <c:pt idx="540">
                  <c:v>6.36</c:v>
                </c:pt>
                <c:pt idx="541">
                  <c:v>1.32</c:v>
                </c:pt>
                <c:pt idx="542">
                  <c:v>3.13</c:v>
                </c:pt>
                <c:pt idx="543">
                  <c:v>7.94</c:v>
                </c:pt>
                <c:pt idx="544">
                  <c:v>3.5</c:v>
                </c:pt>
                <c:pt idx="545">
                  <c:v>1.905</c:v>
                </c:pt>
                <c:pt idx="546">
                  <c:v>12.82</c:v>
                </c:pt>
                <c:pt idx="547">
                  <c:v>6.61</c:v>
                </c:pt>
                <c:pt idx="548">
                  <c:v>0.43</c:v>
                </c:pt>
                <c:pt idx="549">
                  <c:v>0</c:v>
                </c:pt>
                <c:pt idx="550">
                  <c:v>4.8</c:v>
                </c:pt>
                <c:pt idx="551">
                  <c:v>5.19</c:v>
                </c:pt>
                <c:pt idx="552">
                  <c:v>5.31</c:v>
                </c:pt>
                <c:pt idx="553">
                  <c:v>8.34</c:v>
                </c:pt>
                <c:pt idx="554">
                  <c:v>1.905</c:v>
                </c:pt>
                <c:pt idx="555">
                  <c:v>10.4</c:v>
                </c:pt>
                <c:pt idx="556">
                  <c:v>2.73</c:v>
                </c:pt>
                <c:pt idx="557">
                  <c:v>4.46</c:v>
                </c:pt>
                <c:pt idx="558">
                  <c:v>1.75</c:v>
                </c:pt>
                <c:pt idx="559">
                  <c:v>1.905</c:v>
                </c:pt>
                <c:pt idx="560">
                  <c:v>3.13</c:v>
                </c:pt>
                <c:pt idx="561">
                  <c:v>1.57</c:v>
                </c:pt>
                <c:pt idx="562">
                  <c:v>2.48</c:v>
                </c:pt>
                <c:pt idx="563">
                  <c:v>2.38</c:v>
                </c:pt>
                <c:pt idx="564">
                  <c:v>1.06</c:v>
                </c:pt>
                <c:pt idx="565">
                  <c:v>13.42</c:v>
                </c:pt>
                <c:pt idx="566">
                  <c:v>5.08</c:v>
                </c:pt>
                <c:pt idx="567">
                  <c:v>3.37</c:v>
                </c:pt>
                <c:pt idx="568">
                  <c:v>0.54</c:v>
                </c:pt>
                <c:pt idx="569">
                  <c:v>1.905</c:v>
                </c:pt>
                <c:pt idx="570">
                  <c:v>0</c:v>
                </c:pt>
                <c:pt idx="571">
                  <c:v>0.2</c:v>
                </c:pt>
                <c:pt idx="572">
                  <c:v>2.42</c:v>
                </c:pt>
                <c:pt idx="573">
                  <c:v>0</c:v>
                </c:pt>
                <c:pt idx="574">
                  <c:v>2.28</c:v>
                </c:pt>
                <c:pt idx="575">
                  <c:v>5.42</c:v>
                </c:pt>
                <c:pt idx="576">
                  <c:v>5.11</c:v>
                </c:pt>
                <c:pt idx="577">
                  <c:v>4.7</c:v>
                </c:pt>
                <c:pt idx="578">
                  <c:v>6.07</c:v>
                </c:pt>
                <c:pt idx="579">
                  <c:v>1.905</c:v>
                </c:pt>
                <c:pt idx="580">
                  <c:v>0</c:v>
                </c:pt>
                <c:pt idx="581">
                  <c:v>0.82</c:v>
                </c:pt>
                <c:pt idx="582">
                  <c:v>1.67</c:v>
                </c:pt>
                <c:pt idx="583">
                  <c:v>5.66</c:v>
                </c:pt>
                <c:pt idx="584">
                  <c:v>13.07</c:v>
                </c:pt>
                <c:pt idx="585">
                  <c:v>1.78</c:v>
                </c:pt>
                <c:pt idx="586">
                  <c:v>3.99</c:v>
                </c:pt>
                <c:pt idx="587">
                  <c:v>0</c:v>
                </c:pt>
                <c:pt idx="588">
                  <c:v>0.5</c:v>
                </c:pt>
                <c:pt idx="589">
                  <c:v>1.9</c:v>
                </c:pt>
                <c:pt idx="590">
                  <c:v>0</c:v>
                </c:pt>
                <c:pt idx="591">
                  <c:v>1.45</c:v>
                </c:pt>
                <c:pt idx="592">
                  <c:v>0.84</c:v>
                </c:pt>
                <c:pt idx="593">
                  <c:v>12.07</c:v>
                </c:pt>
                <c:pt idx="594">
                  <c:v>1.77</c:v>
                </c:pt>
                <c:pt idx="595">
                  <c:v>1.11</c:v>
                </c:pt>
                <c:pt idx="596">
                  <c:v>0.51</c:v>
                </c:pt>
                <c:pt idx="597">
                  <c:v>0</c:v>
                </c:pt>
                <c:pt idx="598">
                  <c:v>0.4</c:v>
                </c:pt>
                <c:pt idx="599">
                  <c:v>7.43</c:v>
                </c:pt>
                <c:pt idx="600">
                  <c:v>13.14</c:v>
                </c:pt>
                <c:pt idx="601">
                  <c:v>0</c:v>
                </c:pt>
                <c:pt idx="602">
                  <c:v>7.9</c:v>
                </c:pt>
                <c:pt idx="603">
                  <c:v>7.69</c:v>
                </c:pt>
                <c:pt idx="604">
                  <c:v>0.52</c:v>
                </c:pt>
                <c:pt idx="605">
                  <c:v>5.08</c:v>
                </c:pt>
                <c:pt idx="606">
                  <c:v>0</c:v>
                </c:pt>
                <c:pt idx="607">
                  <c:v>0</c:v>
                </c:pt>
                <c:pt idx="608">
                  <c:v>1.905</c:v>
                </c:pt>
                <c:pt idx="609">
                  <c:v>4.59</c:v>
                </c:pt>
                <c:pt idx="610">
                  <c:v>1.21</c:v>
                </c:pt>
                <c:pt idx="611">
                  <c:v>1.44</c:v>
                </c:pt>
                <c:pt idx="612">
                  <c:v>0</c:v>
                </c:pt>
                <c:pt idx="613">
                  <c:v>6.63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1.905</c:v>
                </c:pt>
                <c:pt idx="618">
                  <c:v>0.83</c:v>
                </c:pt>
                <c:pt idx="619">
                  <c:v>2.6</c:v>
                </c:pt>
                <c:pt idx="620">
                  <c:v>7.23</c:v>
                </c:pt>
                <c:pt idx="621">
                  <c:v>0.87</c:v>
                </c:pt>
                <c:pt idx="622">
                  <c:v>0</c:v>
                </c:pt>
                <c:pt idx="623">
                  <c:v>2.21</c:v>
                </c:pt>
                <c:pt idx="624">
                  <c:v>1</c:v>
                </c:pt>
                <c:pt idx="625">
                  <c:v>0</c:v>
                </c:pt>
                <c:pt idx="626">
                  <c:v>0</c:v>
                </c:pt>
                <c:pt idx="627">
                  <c:v>0.73</c:v>
                </c:pt>
                <c:pt idx="628">
                  <c:v>7.83</c:v>
                </c:pt>
                <c:pt idx="629">
                  <c:v>1.58</c:v>
                </c:pt>
                <c:pt idx="630">
                  <c:v>0</c:v>
                </c:pt>
                <c:pt idx="631">
                  <c:v>0</c:v>
                </c:pt>
                <c:pt idx="632">
                  <c:v>1.905</c:v>
                </c:pt>
                <c:pt idx="633">
                  <c:v>0.67</c:v>
                </c:pt>
                <c:pt idx="634">
                  <c:v>9.68</c:v>
                </c:pt>
                <c:pt idx="635">
                  <c:v>1.03</c:v>
                </c:pt>
                <c:pt idx="636">
                  <c:v>4.84</c:v>
                </c:pt>
                <c:pt idx="637">
                  <c:v>0.1</c:v>
                </c:pt>
                <c:pt idx="638">
                  <c:v>0.21</c:v>
                </c:pt>
                <c:pt idx="639">
                  <c:v>2.77</c:v>
                </c:pt>
                <c:pt idx="640">
                  <c:v>12.97</c:v>
                </c:pt>
                <c:pt idx="641">
                  <c:v>0.58</c:v>
                </c:pt>
                <c:pt idx="642">
                  <c:v>4.39</c:v>
                </c:pt>
                <c:pt idx="643">
                  <c:v>0.03</c:v>
                </c:pt>
                <c:pt idx="644">
                  <c:v>1.53</c:v>
                </c:pt>
                <c:pt idx="645">
                  <c:v>0.62</c:v>
                </c:pt>
                <c:pt idx="646">
                  <c:v>1.44</c:v>
                </c:pt>
                <c:pt idx="647">
                  <c:v>1.53</c:v>
                </c:pt>
                <c:pt idx="648">
                  <c:v>2.5</c:v>
                </c:pt>
                <c:pt idx="649">
                  <c:v>0.86</c:v>
                </c:pt>
                <c:pt idx="650">
                  <c:v>0</c:v>
                </c:pt>
                <c:pt idx="651">
                  <c:v>2.15</c:v>
                </c:pt>
                <c:pt idx="652">
                  <c:v>4.38</c:v>
                </c:pt>
                <c:pt idx="653">
                  <c:v>0</c:v>
                </c:pt>
                <c:pt idx="654">
                  <c:v>0.07</c:v>
                </c:pt>
                <c:pt idx="655">
                  <c:v>2.48</c:v>
                </c:pt>
                <c:pt idx="656">
                  <c:v>0.76</c:v>
                </c:pt>
                <c:pt idx="657">
                  <c:v>3.74</c:v>
                </c:pt>
                <c:pt idx="658">
                  <c:v>2.48</c:v>
                </c:pt>
                <c:pt idx="659">
                  <c:v>1.92</c:v>
                </c:pt>
                <c:pt idx="660">
                  <c:v>0</c:v>
                </c:pt>
                <c:pt idx="661">
                  <c:v>3.46</c:v>
                </c:pt>
                <c:pt idx="662">
                  <c:v>1.39</c:v>
                </c:pt>
                <c:pt idx="663">
                  <c:v>0.67</c:v>
                </c:pt>
                <c:pt idx="664">
                  <c:v>2.58</c:v>
                </c:pt>
                <c:pt idx="665">
                  <c:v>0</c:v>
                </c:pt>
                <c:pt idx="666">
                  <c:v>3.45</c:v>
                </c:pt>
                <c:pt idx="667">
                  <c:v>1.78</c:v>
                </c:pt>
                <c:pt idx="668">
                  <c:v>0.48</c:v>
                </c:pt>
                <c:pt idx="669">
                  <c:v>1.905</c:v>
                </c:pt>
                <c:pt idx="670">
                  <c:v>4.18</c:v>
                </c:pt>
                <c:pt idx="671">
                  <c:v>1.85</c:v>
                </c:pt>
                <c:pt idx="672">
                  <c:v>2.79</c:v>
                </c:pt>
                <c:pt idx="673">
                  <c:v>9.46</c:v>
                </c:pt>
                <c:pt idx="674">
                  <c:v>0</c:v>
                </c:pt>
                <c:pt idx="675">
                  <c:v>3.78</c:v>
                </c:pt>
                <c:pt idx="676">
                  <c:v>5.51</c:v>
                </c:pt>
                <c:pt idx="677">
                  <c:v>2.1</c:v>
                </c:pt>
                <c:pt idx="678">
                  <c:v>0</c:v>
                </c:pt>
                <c:pt idx="679">
                  <c:v>4.83</c:v>
                </c:pt>
                <c:pt idx="680">
                  <c:v>2.01</c:v>
                </c:pt>
                <c:pt idx="681">
                  <c:v>0</c:v>
                </c:pt>
                <c:pt idx="682">
                  <c:v>2.02</c:v>
                </c:pt>
                <c:pt idx="683">
                  <c:v>1.44</c:v>
                </c:pt>
                <c:pt idx="684">
                  <c:v>4.42</c:v>
                </c:pt>
                <c:pt idx="685">
                  <c:v>1.905</c:v>
                </c:pt>
                <c:pt idx="686">
                  <c:v>0</c:v>
                </c:pt>
                <c:pt idx="687">
                  <c:v>1.98</c:v>
                </c:pt>
                <c:pt idx="688">
                  <c:v>4.05</c:v>
                </c:pt>
                <c:pt idx="689">
                  <c:v>10.81</c:v>
                </c:pt>
                <c:pt idx="690">
                  <c:v>0</c:v>
                </c:pt>
                <c:pt idx="691">
                  <c:v>0.79</c:v>
                </c:pt>
                <c:pt idx="692">
                  <c:v>1.49</c:v>
                </c:pt>
                <c:pt idx="693">
                  <c:v>0.86</c:v>
                </c:pt>
                <c:pt idx="694">
                  <c:v>1.73</c:v>
                </c:pt>
                <c:pt idx="695">
                  <c:v>1.04</c:v>
                </c:pt>
                <c:pt idx="696">
                  <c:v>1.98</c:v>
                </c:pt>
                <c:pt idx="697">
                  <c:v>6.03</c:v>
                </c:pt>
                <c:pt idx="698">
                  <c:v>1.66</c:v>
                </c:pt>
                <c:pt idx="699">
                  <c:v>0</c:v>
                </c:pt>
                <c:pt idx="700">
                  <c:v>6.68</c:v>
                </c:pt>
                <c:pt idx="701">
                  <c:v>0.67</c:v>
                </c:pt>
                <c:pt idx="702">
                  <c:v>1.77</c:v>
                </c:pt>
                <c:pt idx="703">
                  <c:v>3.02</c:v>
                </c:pt>
                <c:pt idx="704">
                  <c:v>0</c:v>
                </c:pt>
                <c:pt idx="705">
                  <c:v>3.13</c:v>
                </c:pt>
                <c:pt idx="706">
                  <c:v>3.42</c:v>
                </c:pt>
                <c:pt idx="707">
                  <c:v>0.72</c:v>
                </c:pt>
                <c:pt idx="708">
                  <c:v>1.905</c:v>
                </c:pt>
                <c:pt idx="709">
                  <c:v>1.61</c:v>
                </c:pt>
                <c:pt idx="710">
                  <c:v>1.97</c:v>
                </c:pt>
                <c:pt idx="711">
                  <c:v>1.11</c:v>
                </c:pt>
                <c:pt idx="712">
                  <c:v>4.53</c:v>
                </c:pt>
                <c:pt idx="713">
                  <c:v>1.88</c:v>
                </c:pt>
                <c:pt idx="714">
                  <c:v>10.8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0.22</c:v>
                </c:pt>
                <c:pt idx="719">
                  <c:v>3.12</c:v>
                </c:pt>
                <c:pt idx="720">
                  <c:v>1.905</c:v>
                </c:pt>
                <c:pt idx="721">
                  <c:v>1.905</c:v>
                </c:pt>
                <c:pt idx="722">
                  <c:v>1.905</c:v>
                </c:pt>
                <c:pt idx="723">
                  <c:v>2.78</c:v>
                </c:pt>
                <c:pt idx="724">
                  <c:v>4.36</c:v>
                </c:pt>
                <c:pt idx="725">
                  <c:v>0.78</c:v>
                </c:pt>
                <c:pt idx="726">
                  <c:v>0.3</c:v>
                </c:pt>
                <c:pt idx="727">
                  <c:v>17.84</c:v>
                </c:pt>
                <c:pt idx="728">
                  <c:v>0</c:v>
                </c:pt>
                <c:pt idx="729">
                  <c:v>1.65</c:v>
                </c:pt>
                <c:pt idx="730">
                  <c:v>0.58</c:v>
                </c:pt>
                <c:pt idx="731">
                  <c:v>0</c:v>
                </c:pt>
                <c:pt idx="732">
                  <c:v>11.9</c:v>
                </c:pt>
                <c:pt idx="733">
                  <c:v>1.85</c:v>
                </c:pt>
                <c:pt idx="734">
                  <c:v>1.905</c:v>
                </c:pt>
                <c:pt idx="735">
                  <c:v>2.21</c:v>
                </c:pt>
                <c:pt idx="736">
                  <c:v>0</c:v>
                </c:pt>
                <c:pt idx="737">
                  <c:v>0.71</c:v>
                </c:pt>
                <c:pt idx="738">
                  <c:v>0</c:v>
                </c:pt>
                <c:pt idx="739">
                  <c:v>1.79</c:v>
                </c:pt>
                <c:pt idx="740">
                  <c:v>5.64</c:v>
                </c:pt>
                <c:pt idx="741">
                  <c:v>13.94</c:v>
                </c:pt>
                <c:pt idx="742">
                  <c:v>4.72</c:v>
                </c:pt>
                <c:pt idx="743">
                  <c:v>0</c:v>
                </c:pt>
                <c:pt idx="744">
                  <c:v>2.73</c:v>
                </c:pt>
                <c:pt idx="745">
                  <c:v>2.73</c:v>
                </c:pt>
                <c:pt idx="746">
                  <c:v>0</c:v>
                </c:pt>
                <c:pt idx="747">
                  <c:v>3.54</c:v>
                </c:pt>
                <c:pt idx="748">
                  <c:v>0.97</c:v>
                </c:pt>
                <c:pt idx="749">
                  <c:v>2.66</c:v>
                </c:pt>
                <c:pt idx="750">
                  <c:v>0</c:v>
                </c:pt>
                <c:pt idx="751">
                  <c:v>0.48</c:v>
                </c:pt>
                <c:pt idx="752">
                  <c:v>11.63</c:v>
                </c:pt>
                <c:pt idx="753">
                  <c:v>4.72</c:v>
                </c:pt>
                <c:pt idx="754">
                  <c:v>1.905</c:v>
                </c:pt>
                <c:pt idx="755">
                  <c:v>4.72</c:v>
                </c:pt>
                <c:pt idx="756">
                  <c:v>2.43</c:v>
                </c:pt>
                <c:pt idx="757">
                  <c:v>0</c:v>
                </c:pt>
                <c:pt idx="758">
                  <c:v>0.17</c:v>
                </c:pt>
                <c:pt idx="759">
                  <c:v>1.12</c:v>
                </c:pt>
                <c:pt idx="760">
                  <c:v>3.34</c:v>
                </c:pt>
                <c:pt idx="761">
                  <c:v>5.9</c:v>
                </c:pt>
                <c:pt idx="762">
                  <c:v>6.33</c:v>
                </c:pt>
                <c:pt idx="763">
                  <c:v>0.09</c:v>
                </c:pt>
                <c:pt idx="764">
                  <c:v>0</c:v>
                </c:pt>
                <c:pt idx="765">
                  <c:v>2.95</c:v>
                </c:pt>
                <c:pt idx="766">
                  <c:v>1.7</c:v>
                </c:pt>
                <c:pt idx="767">
                  <c:v>2.43</c:v>
                </c:pt>
                <c:pt idx="768">
                  <c:v>1.905</c:v>
                </c:pt>
                <c:pt idx="769">
                  <c:v>6.39</c:v>
                </c:pt>
                <c:pt idx="770">
                  <c:v>4.54</c:v>
                </c:pt>
                <c:pt idx="771">
                  <c:v>2.68</c:v>
                </c:pt>
                <c:pt idx="772">
                  <c:v>0</c:v>
                </c:pt>
                <c:pt idx="773">
                  <c:v>0.35</c:v>
                </c:pt>
                <c:pt idx="774">
                  <c:v>13.08</c:v>
                </c:pt>
                <c:pt idx="775">
                  <c:v>1.905</c:v>
                </c:pt>
                <c:pt idx="776">
                  <c:v>1.905</c:v>
                </c:pt>
                <c:pt idx="777">
                  <c:v>0</c:v>
                </c:pt>
                <c:pt idx="778">
                  <c:v>3.05</c:v>
                </c:pt>
                <c:pt idx="779">
                  <c:v>0</c:v>
                </c:pt>
                <c:pt idx="780">
                  <c:v>18</c:v>
                </c:pt>
                <c:pt idx="781">
                  <c:v>0.41</c:v>
                </c:pt>
                <c:pt idx="782">
                  <c:v>7.13</c:v>
                </c:pt>
                <c:pt idx="783">
                  <c:v>2.14</c:v>
                </c:pt>
                <c:pt idx="784">
                  <c:v>0.38</c:v>
                </c:pt>
                <c:pt idx="785">
                  <c:v>2.69</c:v>
                </c:pt>
                <c:pt idx="786">
                  <c:v>4.58</c:v>
                </c:pt>
                <c:pt idx="787">
                  <c:v>1.14</c:v>
                </c:pt>
                <c:pt idx="788">
                  <c:v>1.905</c:v>
                </c:pt>
                <c:pt idx="789">
                  <c:v>4.54</c:v>
                </c:pt>
                <c:pt idx="790">
                  <c:v>12.19</c:v>
                </c:pt>
                <c:pt idx="791">
                  <c:v>12.17</c:v>
                </c:pt>
                <c:pt idx="792">
                  <c:v>4.23</c:v>
                </c:pt>
                <c:pt idx="793">
                  <c:v>0</c:v>
                </c:pt>
                <c:pt idx="794">
                  <c:v>3.59</c:v>
                </c:pt>
                <c:pt idx="795">
                  <c:v>3.43</c:v>
                </c:pt>
                <c:pt idx="796">
                  <c:v>1.905</c:v>
                </c:pt>
                <c:pt idx="797">
                  <c:v>6.12</c:v>
                </c:pt>
                <c:pt idx="798">
                  <c:v>18</c:v>
                </c:pt>
                <c:pt idx="799">
                  <c:v>1.91</c:v>
                </c:pt>
                <c:pt idx="800">
                  <c:v>2.91</c:v>
                </c:pt>
                <c:pt idx="801">
                  <c:v>0.25</c:v>
                </c:pt>
                <c:pt idx="802">
                  <c:v>1.24</c:v>
                </c:pt>
                <c:pt idx="803">
                  <c:v>1.77</c:v>
                </c:pt>
                <c:pt idx="804">
                  <c:v>2.61</c:v>
                </c:pt>
                <c:pt idx="805">
                  <c:v>1.905</c:v>
                </c:pt>
                <c:pt idx="806">
                  <c:v>8.05</c:v>
                </c:pt>
                <c:pt idx="807">
                  <c:v>5.57</c:v>
                </c:pt>
                <c:pt idx="808">
                  <c:v>0.92</c:v>
                </c:pt>
                <c:pt idx="809">
                  <c:v>0</c:v>
                </c:pt>
                <c:pt idx="810">
                  <c:v>3.73</c:v>
                </c:pt>
                <c:pt idx="811">
                  <c:v>1.82</c:v>
                </c:pt>
                <c:pt idx="812">
                  <c:v>4.58</c:v>
                </c:pt>
                <c:pt idx="813">
                  <c:v>1.76</c:v>
                </c:pt>
                <c:pt idx="814">
                  <c:v>2.01</c:v>
                </c:pt>
                <c:pt idx="815">
                  <c:v>1.905</c:v>
                </c:pt>
                <c:pt idx="816">
                  <c:v>1.75</c:v>
                </c:pt>
                <c:pt idx="817">
                  <c:v>1.905</c:v>
                </c:pt>
                <c:pt idx="818">
                  <c:v>0</c:v>
                </c:pt>
                <c:pt idx="819">
                  <c:v>0</c:v>
                </c:pt>
                <c:pt idx="820">
                  <c:v>6.41</c:v>
                </c:pt>
                <c:pt idx="821">
                  <c:v>0</c:v>
                </c:pt>
                <c:pt idx="822">
                  <c:v>3.66</c:v>
                </c:pt>
                <c:pt idx="823">
                  <c:v>4.65</c:v>
                </c:pt>
                <c:pt idx="824">
                  <c:v>0</c:v>
                </c:pt>
                <c:pt idx="825">
                  <c:v>2.82</c:v>
                </c:pt>
                <c:pt idx="826">
                  <c:v>8.77</c:v>
                </c:pt>
                <c:pt idx="827">
                  <c:v>0.09</c:v>
                </c:pt>
                <c:pt idx="828">
                  <c:v>1.37</c:v>
                </c:pt>
                <c:pt idx="829">
                  <c:v>0</c:v>
                </c:pt>
                <c:pt idx="830">
                  <c:v>0.76</c:v>
                </c:pt>
                <c:pt idx="831">
                  <c:v>3.08</c:v>
                </c:pt>
                <c:pt idx="832">
                  <c:v>1.905</c:v>
                </c:pt>
                <c:pt idx="833">
                  <c:v>16.36</c:v>
                </c:pt>
                <c:pt idx="834">
                  <c:v>0</c:v>
                </c:pt>
                <c:pt idx="835">
                  <c:v>0.7</c:v>
                </c:pt>
                <c:pt idx="836">
                  <c:v>0</c:v>
                </c:pt>
                <c:pt idx="837">
                  <c:v>0</c:v>
                </c:pt>
                <c:pt idx="838">
                  <c:v>0.5</c:v>
                </c:pt>
                <c:pt idx="839">
                  <c:v>10.78</c:v>
                </c:pt>
                <c:pt idx="840">
                  <c:v>2.53</c:v>
                </c:pt>
                <c:pt idx="841">
                  <c:v>2.12</c:v>
                </c:pt>
                <c:pt idx="842">
                  <c:v>3.43</c:v>
                </c:pt>
                <c:pt idx="843">
                  <c:v>2.98</c:v>
                </c:pt>
                <c:pt idx="844">
                  <c:v>1.74</c:v>
                </c:pt>
                <c:pt idx="845">
                  <c:v>2.83</c:v>
                </c:pt>
                <c:pt idx="846">
                  <c:v>5.13</c:v>
                </c:pt>
                <c:pt idx="847">
                  <c:v>1.905</c:v>
                </c:pt>
                <c:pt idx="848">
                  <c:v>0.17</c:v>
                </c:pt>
                <c:pt idx="849">
                  <c:v>7.3</c:v>
                </c:pt>
                <c:pt idx="850">
                  <c:v>11.04</c:v>
                </c:pt>
                <c:pt idx="851">
                  <c:v>0.79</c:v>
                </c:pt>
                <c:pt idx="852">
                  <c:v>0</c:v>
                </c:pt>
                <c:pt idx="853">
                  <c:v>4.79</c:v>
                </c:pt>
                <c:pt idx="854">
                  <c:v>0</c:v>
                </c:pt>
                <c:pt idx="855">
                  <c:v>0.81</c:v>
                </c:pt>
                <c:pt idx="856">
                  <c:v>3.65</c:v>
                </c:pt>
                <c:pt idx="857">
                  <c:v>1.905</c:v>
                </c:pt>
                <c:pt idx="858">
                  <c:v>0</c:v>
                </c:pt>
                <c:pt idx="859">
                  <c:v>6.86</c:v>
                </c:pt>
                <c:pt idx="860">
                  <c:v>1.905</c:v>
                </c:pt>
                <c:pt idx="861">
                  <c:v>16</c:v>
                </c:pt>
                <c:pt idx="862">
                  <c:v>0.82</c:v>
                </c:pt>
                <c:pt idx="863">
                  <c:v>0.11</c:v>
                </c:pt>
                <c:pt idx="864">
                  <c:v>1.905</c:v>
                </c:pt>
                <c:pt idx="865">
                  <c:v>7.9</c:v>
                </c:pt>
                <c:pt idx="866">
                  <c:v>0.66</c:v>
                </c:pt>
                <c:pt idx="867">
                  <c:v>3.17</c:v>
                </c:pt>
                <c:pt idx="868">
                  <c:v>0</c:v>
                </c:pt>
                <c:pt idx="869">
                  <c:v>1.83</c:v>
                </c:pt>
                <c:pt idx="870">
                  <c:v>3.02</c:v>
                </c:pt>
                <c:pt idx="871">
                  <c:v>6.48</c:v>
                </c:pt>
                <c:pt idx="872">
                  <c:v>0</c:v>
                </c:pt>
                <c:pt idx="873">
                  <c:v>0.18</c:v>
                </c:pt>
                <c:pt idx="874">
                  <c:v>1.905</c:v>
                </c:pt>
                <c:pt idx="875">
                  <c:v>4.53</c:v>
                </c:pt>
                <c:pt idx="876">
                  <c:v>3.13</c:v>
                </c:pt>
                <c:pt idx="877">
                  <c:v>4.39</c:v>
                </c:pt>
                <c:pt idx="878">
                  <c:v>2.24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2.47</c:v>
                </c:pt>
                <c:pt idx="883">
                  <c:v>2.54</c:v>
                </c:pt>
                <c:pt idx="884">
                  <c:v>1.99</c:v>
                </c:pt>
                <c:pt idx="885">
                  <c:v>3.88</c:v>
                </c:pt>
                <c:pt idx="886">
                  <c:v>6.25</c:v>
                </c:pt>
                <c:pt idx="887">
                  <c:v>0</c:v>
                </c:pt>
                <c:pt idx="888">
                  <c:v>0.2</c:v>
                </c:pt>
                <c:pt idx="889">
                  <c:v>0</c:v>
                </c:pt>
                <c:pt idx="890">
                  <c:v>1.905</c:v>
                </c:pt>
                <c:pt idx="891">
                  <c:v>3.44</c:v>
                </c:pt>
                <c:pt idx="892">
                  <c:v>0.22</c:v>
                </c:pt>
                <c:pt idx="893">
                  <c:v>7.99</c:v>
                </c:pt>
                <c:pt idx="894">
                  <c:v>2.92</c:v>
                </c:pt>
                <c:pt idx="895">
                  <c:v>4.05</c:v>
                </c:pt>
                <c:pt idx="896">
                  <c:v>9.97</c:v>
                </c:pt>
                <c:pt idx="897">
                  <c:v>9.68</c:v>
                </c:pt>
                <c:pt idx="898">
                  <c:v>8.94</c:v>
                </c:pt>
                <c:pt idx="899">
                  <c:v>1.57</c:v>
                </c:pt>
                <c:pt idx="900">
                  <c:v>1.905</c:v>
                </c:pt>
                <c:pt idx="901">
                  <c:v>6.47</c:v>
                </c:pt>
                <c:pt idx="902">
                  <c:v>3.34</c:v>
                </c:pt>
                <c:pt idx="903">
                  <c:v>0</c:v>
                </c:pt>
                <c:pt idx="904">
                  <c:v>7.98</c:v>
                </c:pt>
                <c:pt idx="905">
                  <c:v>0</c:v>
                </c:pt>
                <c:pt idx="906">
                  <c:v>2.48</c:v>
                </c:pt>
                <c:pt idx="907">
                  <c:v>4.78</c:v>
                </c:pt>
                <c:pt idx="908">
                  <c:v>0</c:v>
                </c:pt>
                <c:pt idx="909">
                  <c:v>1.905</c:v>
                </c:pt>
                <c:pt idx="910">
                  <c:v>1.84</c:v>
                </c:pt>
                <c:pt idx="911">
                  <c:v>1.41</c:v>
                </c:pt>
                <c:pt idx="912">
                  <c:v>1.905</c:v>
                </c:pt>
                <c:pt idx="913">
                  <c:v>1.68</c:v>
                </c:pt>
                <c:pt idx="914">
                  <c:v>3.71</c:v>
                </c:pt>
                <c:pt idx="915">
                  <c:v>1.59</c:v>
                </c:pt>
                <c:pt idx="916">
                  <c:v>0.75</c:v>
                </c:pt>
                <c:pt idx="917">
                  <c:v>2.36</c:v>
                </c:pt>
                <c:pt idx="918">
                  <c:v>0</c:v>
                </c:pt>
                <c:pt idx="919">
                  <c:v>7.26</c:v>
                </c:pt>
                <c:pt idx="920">
                  <c:v>1.06</c:v>
                </c:pt>
                <c:pt idx="921">
                  <c:v>2.04</c:v>
                </c:pt>
                <c:pt idx="922">
                  <c:v>3.33</c:v>
                </c:pt>
                <c:pt idx="923">
                  <c:v>1.905</c:v>
                </c:pt>
                <c:pt idx="924">
                  <c:v>1.35</c:v>
                </c:pt>
                <c:pt idx="925">
                  <c:v>1.14</c:v>
                </c:pt>
                <c:pt idx="926">
                  <c:v>2.37</c:v>
                </c:pt>
                <c:pt idx="927">
                  <c:v>0</c:v>
                </c:pt>
                <c:pt idx="928">
                  <c:v>0</c:v>
                </c:pt>
                <c:pt idx="929">
                  <c:v>1.23</c:v>
                </c:pt>
                <c:pt idx="930">
                  <c:v>4.16</c:v>
                </c:pt>
                <c:pt idx="931">
                  <c:v>0</c:v>
                </c:pt>
                <c:pt idx="932">
                  <c:v>0</c:v>
                </c:pt>
                <c:pt idx="933">
                  <c:v>1.905</c:v>
                </c:pt>
                <c:pt idx="934">
                  <c:v>5.64</c:v>
                </c:pt>
                <c:pt idx="935">
                  <c:v>2.02</c:v>
                </c:pt>
                <c:pt idx="936">
                  <c:v>6.52</c:v>
                </c:pt>
                <c:pt idx="937">
                  <c:v>1.905</c:v>
                </c:pt>
                <c:pt idx="938">
                  <c:v>1.905</c:v>
                </c:pt>
                <c:pt idx="939">
                  <c:v>1.21</c:v>
                </c:pt>
                <c:pt idx="940">
                  <c:v>5.16</c:v>
                </c:pt>
                <c:pt idx="941">
                  <c:v>4.17</c:v>
                </c:pt>
                <c:pt idx="942">
                  <c:v>5.39</c:v>
                </c:pt>
                <c:pt idx="943">
                  <c:v>2.22</c:v>
                </c:pt>
                <c:pt idx="944">
                  <c:v>0.02</c:v>
                </c:pt>
                <c:pt idx="945">
                  <c:v>2.45</c:v>
                </c:pt>
                <c:pt idx="946">
                  <c:v>1.1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3.93</c:v>
                </c:pt>
                <c:pt idx="951">
                  <c:v>4.17</c:v>
                </c:pt>
                <c:pt idx="952">
                  <c:v>6.53</c:v>
                </c:pt>
                <c:pt idx="953">
                  <c:v>12.66</c:v>
                </c:pt>
                <c:pt idx="954">
                  <c:v>0</c:v>
                </c:pt>
                <c:pt idx="955">
                  <c:v>2.65</c:v>
                </c:pt>
                <c:pt idx="956">
                  <c:v>1.82</c:v>
                </c:pt>
                <c:pt idx="957">
                  <c:v>6.66</c:v>
                </c:pt>
                <c:pt idx="958">
                  <c:v>0</c:v>
                </c:pt>
                <c:pt idx="959">
                  <c:v>6.77</c:v>
                </c:pt>
                <c:pt idx="960">
                  <c:v>8.1</c:v>
                </c:pt>
                <c:pt idx="961">
                  <c:v>3.32</c:v>
                </c:pt>
                <c:pt idx="962">
                  <c:v>1.29</c:v>
                </c:pt>
                <c:pt idx="963">
                  <c:v>0.89</c:v>
                </c:pt>
                <c:pt idx="964">
                  <c:v>0.05</c:v>
                </c:pt>
                <c:pt idx="965">
                  <c:v>3.39</c:v>
                </c:pt>
                <c:pt idx="966">
                  <c:v>0.09</c:v>
                </c:pt>
                <c:pt idx="967">
                  <c:v>1.45</c:v>
                </c:pt>
                <c:pt idx="968">
                  <c:v>1.45</c:v>
                </c:pt>
                <c:pt idx="969">
                  <c:v>7.17</c:v>
                </c:pt>
                <c:pt idx="970">
                  <c:v>0</c:v>
                </c:pt>
                <c:pt idx="971">
                  <c:v>0.25</c:v>
                </c:pt>
                <c:pt idx="972">
                  <c:v>2.24</c:v>
                </c:pt>
                <c:pt idx="973">
                  <c:v>2.57</c:v>
                </c:pt>
                <c:pt idx="974">
                  <c:v>1.905</c:v>
                </c:pt>
                <c:pt idx="975">
                  <c:v>3.18</c:v>
                </c:pt>
                <c:pt idx="976">
                  <c:v>3.48</c:v>
                </c:pt>
                <c:pt idx="977">
                  <c:v>13.25</c:v>
                </c:pt>
                <c:pt idx="978">
                  <c:v>3.23</c:v>
                </c:pt>
                <c:pt idx="979">
                  <c:v>1.48</c:v>
                </c:pt>
                <c:pt idx="980">
                  <c:v>1.08</c:v>
                </c:pt>
                <c:pt idx="981">
                  <c:v>0</c:v>
                </c:pt>
                <c:pt idx="982">
                  <c:v>4.36</c:v>
                </c:pt>
                <c:pt idx="983">
                  <c:v>4.41</c:v>
                </c:pt>
                <c:pt idx="984">
                  <c:v>4.39</c:v>
                </c:pt>
                <c:pt idx="985">
                  <c:v>0</c:v>
                </c:pt>
                <c:pt idx="986">
                  <c:v>5.03</c:v>
                </c:pt>
                <c:pt idx="987">
                  <c:v>4.31</c:v>
                </c:pt>
                <c:pt idx="988">
                  <c:v>9.71</c:v>
                </c:pt>
                <c:pt idx="989">
                  <c:v>0.71</c:v>
                </c:pt>
                <c:pt idx="990">
                  <c:v>1.63</c:v>
                </c:pt>
                <c:pt idx="991">
                  <c:v>2.29</c:v>
                </c:pt>
                <c:pt idx="992">
                  <c:v>1.94</c:v>
                </c:pt>
                <c:pt idx="993">
                  <c:v>5.03</c:v>
                </c:pt>
                <c:pt idx="994">
                  <c:v>1.905</c:v>
                </c:pt>
                <c:pt idx="995">
                  <c:v>0</c:v>
                </c:pt>
                <c:pt idx="996">
                  <c:v>1.905</c:v>
                </c:pt>
                <c:pt idx="997">
                  <c:v>6.27</c:v>
                </c:pt>
                <c:pt idx="998">
                  <c:v>4.98</c:v>
                </c:pt>
                <c:pt idx="999">
                  <c:v>1.5</c:v>
                </c:pt>
              </c:numCache>
            </c:numRef>
          </c:xVal>
          <c:yVal>
            <c:numRef>
              <c:f>Dados!$N$2:$N$1001</c:f>
              <c:numCache>
                <c:formatCode>"R$ "#,##0.00</c:formatCode>
                <c:ptCount val="1000"/>
                <c:pt idx="0">
                  <c:v>50.63</c:v>
                </c:pt>
                <c:pt idx="1">
                  <c:v>422.43</c:v>
                </c:pt>
                <c:pt idx="2">
                  <c:v>51.04</c:v>
                </c:pt>
                <c:pt idx="3">
                  <c:v>170.74</c:v>
                </c:pt>
                <c:pt idx="4">
                  <c:v>8.07</c:v>
                </c:pt>
                <c:pt idx="5">
                  <c:v>15.31</c:v>
                </c:pt>
                <c:pt idx="6">
                  <c:v>209.45</c:v>
                </c:pt>
                <c:pt idx="7">
                  <c:v>4.4</c:v>
                </c:pt>
                <c:pt idx="8">
                  <c:v>457.52</c:v>
                </c:pt>
                <c:pt idx="9">
                  <c:v>406.72</c:v>
                </c:pt>
                <c:pt idx="10">
                  <c:v>35.6</c:v>
                </c:pt>
                <c:pt idx="11">
                  <c:v>39.06</c:v>
                </c:pt>
                <c:pt idx="12">
                  <c:v>107.49</c:v>
                </c:pt>
                <c:pt idx="13">
                  <c:v>7.73</c:v>
                </c:pt>
                <c:pt idx="14">
                  <c:v>212.5</c:v>
                </c:pt>
                <c:pt idx="15">
                  <c:v>262.74</c:v>
                </c:pt>
                <c:pt idx="16">
                  <c:v>65.59</c:v>
                </c:pt>
                <c:pt idx="17">
                  <c:v>145.03</c:v>
                </c:pt>
                <c:pt idx="18">
                  <c:v>107.68</c:v>
                </c:pt>
                <c:pt idx="19">
                  <c:v>19.61</c:v>
                </c:pt>
                <c:pt idx="20">
                  <c:v>82.56</c:v>
                </c:pt>
                <c:pt idx="21">
                  <c:v>35.57</c:v>
                </c:pt>
                <c:pt idx="22">
                  <c:v>696.78</c:v>
                </c:pt>
                <c:pt idx="23">
                  <c:v>263.38</c:v>
                </c:pt>
                <c:pt idx="24">
                  <c:v>6.49</c:v>
                </c:pt>
                <c:pt idx="25">
                  <c:v>161.42</c:v>
                </c:pt>
                <c:pt idx="26">
                  <c:v>61.12</c:v>
                </c:pt>
                <c:pt idx="27">
                  <c:v>495.33</c:v>
                </c:pt>
                <c:pt idx="28">
                  <c:v>3.01</c:v>
                </c:pt>
                <c:pt idx="29">
                  <c:v>43.44</c:v>
                </c:pt>
                <c:pt idx="30">
                  <c:v>7.38</c:v>
                </c:pt>
                <c:pt idx="31">
                  <c:v>3.95</c:v>
                </c:pt>
                <c:pt idx="32">
                  <c:v>89.88</c:v>
                </c:pt>
                <c:pt idx="33">
                  <c:v>222.11</c:v>
                </c:pt>
                <c:pt idx="34">
                  <c:v>2.64</c:v>
                </c:pt>
                <c:pt idx="35">
                  <c:v>12.63</c:v>
                </c:pt>
                <c:pt idx="36">
                  <c:v>12.25</c:v>
                </c:pt>
                <c:pt idx="37">
                  <c:v>38.38</c:v>
                </c:pt>
                <c:pt idx="38">
                  <c:v>68.58</c:v>
                </c:pt>
                <c:pt idx="39">
                  <c:v>281.66</c:v>
                </c:pt>
                <c:pt idx="40">
                  <c:v>6.7</c:v>
                </c:pt>
                <c:pt idx="41">
                  <c:v>26.73</c:v>
                </c:pt>
                <c:pt idx="42">
                  <c:v>372.69</c:v>
                </c:pt>
                <c:pt idx="43">
                  <c:v>4.67</c:v>
                </c:pt>
                <c:pt idx="44">
                  <c:v>1.48</c:v>
                </c:pt>
                <c:pt idx="45">
                  <c:v>14.38</c:v>
                </c:pt>
                <c:pt idx="46">
                  <c:v>70.36</c:v>
                </c:pt>
                <c:pt idx="47">
                  <c:v>6.04</c:v>
                </c:pt>
                <c:pt idx="48">
                  <c:v>14.43</c:v>
                </c:pt>
                <c:pt idx="49">
                  <c:v>25.37</c:v>
                </c:pt>
                <c:pt idx="50">
                  <c:v>60.2</c:v>
                </c:pt>
                <c:pt idx="51">
                  <c:v>6.07</c:v>
                </c:pt>
                <c:pt idx="52">
                  <c:v>29</c:v>
                </c:pt>
                <c:pt idx="53">
                  <c:v>13.85</c:v>
                </c:pt>
                <c:pt idx="54">
                  <c:v>2.62</c:v>
                </c:pt>
                <c:pt idx="55">
                  <c:v>28.63</c:v>
                </c:pt>
                <c:pt idx="56">
                  <c:v>35.68</c:v>
                </c:pt>
                <c:pt idx="57">
                  <c:v>13.53</c:v>
                </c:pt>
                <c:pt idx="58">
                  <c:v>38.1</c:v>
                </c:pt>
                <c:pt idx="59">
                  <c:v>33.77</c:v>
                </c:pt>
                <c:pt idx="60">
                  <c:v>194.32</c:v>
                </c:pt>
                <c:pt idx="61">
                  <c:v>34.1</c:v>
                </c:pt>
                <c:pt idx="62">
                  <c:v>19.62</c:v>
                </c:pt>
                <c:pt idx="63">
                  <c:v>99.07</c:v>
                </c:pt>
                <c:pt idx="64">
                  <c:v>38.26</c:v>
                </c:pt>
                <c:pt idx="65">
                  <c:v>99.82</c:v>
                </c:pt>
                <c:pt idx="66">
                  <c:v>45.24</c:v>
                </c:pt>
                <c:pt idx="67">
                  <c:v>444.6</c:v>
                </c:pt>
                <c:pt idx="68">
                  <c:v>263.18</c:v>
                </c:pt>
                <c:pt idx="69">
                  <c:v>382.4</c:v>
                </c:pt>
                <c:pt idx="70">
                  <c:v>77.33</c:v>
                </c:pt>
                <c:pt idx="71">
                  <c:v>127.11</c:v>
                </c:pt>
                <c:pt idx="72">
                  <c:v>14.59</c:v>
                </c:pt>
                <c:pt idx="73">
                  <c:v>3.78</c:v>
                </c:pt>
                <c:pt idx="74">
                  <c:v>67.62</c:v>
                </c:pt>
                <c:pt idx="75">
                  <c:v>4.75</c:v>
                </c:pt>
                <c:pt idx="76">
                  <c:v>34.08</c:v>
                </c:pt>
                <c:pt idx="77">
                  <c:v>189.53</c:v>
                </c:pt>
                <c:pt idx="78">
                  <c:v>11.72</c:v>
                </c:pt>
                <c:pt idx="79">
                  <c:v>19.45</c:v>
                </c:pt>
                <c:pt idx="80">
                  <c:v>26.06</c:v>
                </c:pt>
                <c:pt idx="81">
                  <c:v>183.61</c:v>
                </c:pt>
                <c:pt idx="82">
                  <c:v>45.23</c:v>
                </c:pt>
                <c:pt idx="83">
                  <c:v>10.06</c:v>
                </c:pt>
                <c:pt idx="84">
                  <c:v>4.27</c:v>
                </c:pt>
                <c:pt idx="85">
                  <c:v>4.04</c:v>
                </c:pt>
                <c:pt idx="86">
                  <c:v>143.07</c:v>
                </c:pt>
                <c:pt idx="87">
                  <c:v>35.95</c:v>
                </c:pt>
                <c:pt idx="88">
                  <c:v>289</c:v>
                </c:pt>
                <c:pt idx="89">
                  <c:v>277.54</c:v>
                </c:pt>
                <c:pt idx="90">
                  <c:v>310.03</c:v>
                </c:pt>
                <c:pt idx="91">
                  <c:v>65.37</c:v>
                </c:pt>
                <c:pt idx="92">
                  <c:v>2.82</c:v>
                </c:pt>
                <c:pt idx="93">
                  <c:v>31.1</c:v>
                </c:pt>
                <c:pt idx="94">
                  <c:v>11.97</c:v>
                </c:pt>
                <c:pt idx="95">
                  <c:v>119.77</c:v>
                </c:pt>
                <c:pt idx="96">
                  <c:v>17.59</c:v>
                </c:pt>
                <c:pt idx="97">
                  <c:v>5.22</c:v>
                </c:pt>
                <c:pt idx="98">
                  <c:v>26.49</c:v>
                </c:pt>
                <c:pt idx="99">
                  <c:v>168.33</c:v>
                </c:pt>
                <c:pt idx="100">
                  <c:v>69.18</c:v>
                </c:pt>
                <c:pt idx="101">
                  <c:v>4.06</c:v>
                </c:pt>
                <c:pt idx="102">
                  <c:v>13.58</c:v>
                </c:pt>
                <c:pt idx="103">
                  <c:v>6.47</c:v>
                </c:pt>
                <c:pt idx="104">
                  <c:v>178.8</c:v>
                </c:pt>
                <c:pt idx="105">
                  <c:v>132.52</c:v>
                </c:pt>
                <c:pt idx="106">
                  <c:v>21.17</c:v>
                </c:pt>
                <c:pt idx="107">
                  <c:v>111.81</c:v>
                </c:pt>
                <c:pt idx="108">
                  <c:v>1221.59</c:v>
                </c:pt>
                <c:pt idx="109">
                  <c:v>13.85</c:v>
                </c:pt>
                <c:pt idx="110">
                  <c:v>493.54</c:v>
                </c:pt>
                <c:pt idx="111">
                  <c:v>8.88</c:v>
                </c:pt>
                <c:pt idx="112">
                  <c:v>62.67</c:v>
                </c:pt>
                <c:pt idx="113">
                  <c:v>85.17</c:v>
                </c:pt>
                <c:pt idx="114">
                  <c:v>19.47</c:v>
                </c:pt>
                <c:pt idx="115">
                  <c:v>316.09</c:v>
                </c:pt>
                <c:pt idx="116">
                  <c:v>17.41</c:v>
                </c:pt>
                <c:pt idx="117">
                  <c:v>113.93</c:v>
                </c:pt>
                <c:pt idx="118">
                  <c:v>14.4</c:v>
                </c:pt>
                <c:pt idx="119">
                  <c:v>116.28</c:v>
                </c:pt>
                <c:pt idx="120">
                  <c:v>137.43</c:v>
                </c:pt>
                <c:pt idx="121">
                  <c:v>2.86</c:v>
                </c:pt>
                <c:pt idx="122">
                  <c:v>38.59</c:v>
                </c:pt>
                <c:pt idx="123">
                  <c:v>18.79</c:v>
                </c:pt>
                <c:pt idx="124">
                  <c:v>5.09</c:v>
                </c:pt>
                <c:pt idx="125">
                  <c:v>29.48</c:v>
                </c:pt>
                <c:pt idx="126">
                  <c:v>16.47</c:v>
                </c:pt>
                <c:pt idx="127">
                  <c:v>5.36</c:v>
                </c:pt>
                <c:pt idx="128">
                  <c:v>21.65</c:v>
                </c:pt>
                <c:pt idx="129">
                  <c:v>13.52</c:v>
                </c:pt>
                <c:pt idx="130">
                  <c:v>26.25</c:v>
                </c:pt>
                <c:pt idx="131">
                  <c:v>532.43</c:v>
                </c:pt>
                <c:pt idx="132">
                  <c:v>44.89</c:v>
                </c:pt>
                <c:pt idx="133">
                  <c:v>3.02</c:v>
                </c:pt>
                <c:pt idx="134">
                  <c:v>257.56</c:v>
                </c:pt>
                <c:pt idx="135">
                  <c:v>11.72</c:v>
                </c:pt>
                <c:pt idx="136">
                  <c:v>1.87</c:v>
                </c:pt>
                <c:pt idx="137">
                  <c:v>100.32</c:v>
                </c:pt>
                <c:pt idx="138">
                  <c:v>122.76</c:v>
                </c:pt>
                <c:pt idx="139">
                  <c:v>7.62</c:v>
                </c:pt>
                <c:pt idx="140">
                  <c:v>4.72</c:v>
                </c:pt>
                <c:pt idx="141">
                  <c:v>12.73</c:v>
                </c:pt>
                <c:pt idx="142">
                  <c:v>27.77</c:v>
                </c:pt>
                <c:pt idx="143">
                  <c:v>19.47</c:v>
                </c:pt>
                <c:pt idx="144">
                  <c:v>75.74</c:v>
                </c:pt>
                <c:pt idx="145">
                  <c:v>10.79</c:v>
                </c:pt>
                <c:pt idx="146">
                  <c:v>75.3</c:v>
                </c:pt>
                <c:pt idx="147">
                  <c:v>77.74</c:v>
                </c:pt>
                <c:pt idx="148">
                  <c:v>39.36</c:v>
                </c:pt>
                <c:pt idx="149">
                  <c:v>23.73</c:v>
                </c:pt>
                <c:pt idx="150">
                  <c:v>24.01</c:v>
                </c:pt>
                <c:pt idx="151">
                  <c:v>31.81</c:v>
                </c:pt>
                <c:pt idx="152">
                  <c:v>93.39</c:v>
                </c:pt>
                <c:pt idx="153">
                  <c:v>283.16</c:v>
                </c:pt>
                <c:pt idx="154">
                  <c:v>131.65</c:v>
                </c:pt>
                <c:pt idx="155">
                  <c:v>1102.86</c:v>
                </c:pt>
                <c:pt idx="156">
                  <c:v>5.9</c:v>
                </c:pt>
                <c:pt idx="157">
                  <c:v>26.66</c:v>
                </c:pt>
                <c:pt idx="158">
                  <c:v>7.13</c:v>
                </c:pt>
                <c:pt idx="159">
                  <c:v>92.83</c:v>
                </c:pt>
                <c:pt idx="160">
                  <c:v>1.91</c:v>
                </c:pt>
                <c:pt idx="161">
                  <c:v>18.2</c:v>
                </c:pt>
                <c:pt idx="162">
                  <c:v>2.57</c:v>
                </c:pt>
                <c:pt idx="163">
                  <c:v>77.51</c:v>
                </c:pt>
                <c:pt idx="164">
                  <c:v>474.32</c:v>
                </c:pt>
                <c:pt idx="165">
                  <c:v>55.69</c:v>
                </c:pt>
                <c:pt idx="166">
                  <c:v>5.29</c:v>
                </c:pt>
                <c:pt idx="167">
                  <c:v>21.38</c:v>
                </c:pt>
                <c:pt idx="168">
                  <c:v>1.91</c:v>
                </c:pt>
                <c:pt idx="169">
                  <c:v>56.99</c:v>
                </c:pt>
                <c:pt idx="170">
                  <c:v>79.12</c:v>
                </c:pt>
                <c:pt idx="171">
                  <c:v>314.09</c:v>
                </c:pt>
                <c:pt idx="172">
                  <c:v>8.92</c:v>
                </c:pt>
                <c:pt idx="173">
                  <c:v>24.89</c:v>
                </c:pt>
                <c:pt idx="174">
                  <c:v>2.57</c:v>
                </c:pt>
                <c:pt idx="175">
                  <c:v>126.46</c:v>
                </c:pt>
                <c:pt idx="176">
                  <c:v>134.26</c:v>
                </c:pt>
                <c:pt idx="177">
                  <c:v>146.92</c:v>
                </c:pt>
                <c:pt idx="178">
                  <c:v>601.26</c:v>
                </c:pt>
                <c:pt idx="179">
                  <c:v>6.38</c:v>
                </c:pt>
                <c:pt idx="180">
                  <c:v>24.15</c:v>
                </c:pt>
                <c:pt idx="181">
                  <c:v>25.73</c:v>
                </c:pt>
                <c:pt idx="182">
                  <c:v>122.5</c:v>
                </c:pt>
                <c:pt idx="183">
                  <c:v>34.53</c:v>
                </c:pt>
                <c:pt idx="184">
                  <c:v>33.19</c:v>
                </c:pt>
                <c:pt idx="185">
                  <c:v>293.23</c:v>
                </c:pt>
                <c:pt idx="186">
                  <c:v>310.56</c:v>
                </c:pt>
                <c:pt idx="187">
                  <c:v>296.89</c:v>
                </c:pt>
                <c:pt idx="188">
                  <c:v>130.58</c:v>
                </c:pt>
                <c:pt idx="189">
                  <c:v>117.35</c:v>
                </c:pt>
                <c:pt idx="190">
                  <c:v>20.71</c:v>
                </c:pt>
                <c:pt idx="191">
                  <c:v>85.59</c:v>
                </c:pt>
                <c:pt idx="192">
                  <c:v>1.6</c:v>
                </c:pt>
                <c:pt idx="193">
                  <c:v>2.47</c:v>
                </c:pt>
                <c:pt idx="194">
                  <c:v>84.11</c:v>
                </c:pt>
                <c:pt idx="195">
                  <c:v>4.54</c:v>
                </c:pt>
                <c:pt idx="196">
                  <c:v>3.72</c:v>
                </c:pt>
                <c:pt idx="197">
                  <c:v>45.78</c:v>
                </c:pt>
                <c:pt idx="198">
                  <c:v>31.26</c:v>
                </c:pt>
                <c:pt idx="199">
                  <c:v>94.32</c:v>
                </c:pt>
                <c:pt idx="200">
                  <c:v>269.28</c:v>
                </c:pt>
                <c:pt idx="201">
                  <c:v>29.19</c:v>
                </c:pt>
                <c:pt idx="202">
                  <c:v>17.95</c:v>
                </c:pt>
                <c:pt idx="203">
                  <c:v>95.97</c:v>
                </c:pt>
                <c:pt idx="204">
                  <c:v>2.99</c:v>
                </c:pt>
                <c:pt idx="205">
                  <c:v>84.27</c:v>
                </c:pt>
                <c:pt idx="206">
                  <c:v>302.55</c:v>
                </c:pt>
                <c:pt idx="207">
                  <c:v>7.95</c:v>
                </c:pt>
                <c:pt idx="208">
                  <c:v>325.97</c:v>
                </c:pt>
                <c:pt idx="209">
                  <c:v>46.6</c:v>
                </c:pt>
                <c:pt idx="210">
                  <c:v>262.95</c:v>
                </c:pt>
                <c:pt idx="211">
                  <c:v>52.74</c:v>
                </c:pt>
                <c:pt idx="212">
                  <c:v>13.88</c:v>
                </c:pt>
                <c:pt idx="213">
                  <c:v>206.89</c:v>
                </c:pt>
                <c:pt idx="214">
                  <c:v>773.74</c:v>
                </c:pt>
                <c:pt idx="215">
                  <c:v>115.05</c:v>
                </c:pt>
                <c:pt idx="216">
                  <c:v>26.93</c:v>
                </c:pt>
                <c:pt idx="217">
                  <c:v>293.55</c:v>
                </c:pt>
                <c:pt idx="218">
                  <c:v>5.39</c:v>
                </c:pt>
                <c:pt idx="219">
                  <c:v>189.33</c:v>
                </c:pt>
                <c:pt idx="220">
                  <c:v>92.32</c:v>
                </c:pt>
                <c:pt idx="221">
                  <c:v>101.08</c:v>
                </c:pt>
                <c:pt idx="222">
                  <c:v>148.19</c:v>
                </c:pt>
                <c:pt idx="223">
                  <c:v>15.69</c:v>
                </c:pt>
                <c:pt idx="224">
                  <c:v>90.83</c:v>
                </c:pt>
                <c:pt idx="225">
                  <c:v>5.66</c:v>
                </c:pt>
                <c:pt idx="226">
                  <c:v>15.44</c:v>
                </c:pt>
                <c:pt idx="227">
                  <c:v>112.56</c:v>
                </c:pt>
                <c:pt idx="228">
                  <c:v>371.23</c:v>
                </c:pt>
                <c:pt idx="229">
                  <c:v>446.29</c:v>
                </c:pt>
                <c:pt idx="230">
                  <c:v>27.59</c:v>
                </c:pt>
                <c:pt idx="231">
                  <c:v>19.35</c:v>
                </c:pt>
                <c:pt idx="232">
                  <c:v>193.81</c:v>
                </c:pt>
                <c:pt idx="233">
                  <c:v>1033.5</c:v>
                </c:pt>
                <c:pt idx="234">
                  <c:v>12.64</c:v>
                </c:pt>
                <c:pt idx="235">
                  <c:v>50.55</c:v>
                </c:pt>
                <c:pt idx="236">
                  <c:v>556.38</c:v>
                </c:pt>
                <c:pt idx="237">
                  <c:v>41.93</c:v>
                </c:pt>
                <c:pt idx="238">
                  <c:v>65.46</c:v>
                </c:pt>
                <c:pt idx="239">
                  <c:v>12.89</c:v>
                </c:pt>
                <c:pt idx="240">
                  <c:v>5.59</c:v>
                </c:pt>
                <c:pt idx="241">
                  <c:v>303.88</c:v>
                </c:pt>
                <c:pt idx="242">
                  <c:v>15.11</c:v>
                </c:pt>
                <c:pt idx="243">
                  <c:v>40.06</c:v>
                </c:pt>
                <c:pt idx="244">
                  <c:v>163.04</c:v>
                </c:pt>
                <c:pt idx="245">
                  <c:v>79.38</c:v>
                </c:pt>
                <c:pt idx="246">
                  <c:v>11.8</c:v>
                </c:pt>
                <c:pt idx="247">
                  <c:v>166.13</c:v>
                </c:pt>
                <c:pt idx="248">
                  <c:v>299.15</c:v>
                </c:pt>
                <c:pt idx="249">
                  <c:v>101.42</c:v>
                </c:pt>
                <c:pt idx="250">
                  <c:v>31.73</c:v>
                </c:pt>
                <c:pt idx="251">
                  <c:v>10.81</c:v>
                </c:pt>
                <c:pt idx="252">
                  <c:v>31.81</c:v>
                </c:pt>
                <c:pt idx="253">
                  <c:v>2.73</c:v>
                </c:pt>
                <c:pt idx="254">
                  <c:v>3.12</c:v>
                </c:pt>
                <c:pt idx="255">
                  <c:v>8.32</c:v>
                </c:pt>
                <c:pt idx="256">
                  <c:v>150.04</c:v>
                </c:pt>
                <c:pt idx="257">
                  <c:v>197.22</c:v>
                </c:pt>
                <c:pt idx="258">
                  <c:v>1.91</c:v>
                </c:pt>
                <c:pt idx="259">
                  <c:v>4.11</c:v>
                </c:pt>
                <c:pt idx="260">
                  <c:v>26.01</c:v>
                </c:pt>
                <c:pt idx="261">
                  <c:v>155.37</c:v>
                </c:pt>
                <c:pt idx="262">
                  <c:v>234.12</c:v>
                </c:pt>
                <c:pt idx="263">
                  <c:v>648</c:v>
                </c:pt>
                <c:pt idx="264">
                  <c:v>13.57</c:v>
                </c:pt>
                <c:pt idx="265">
                  <c:v>120.74</c:v>
                </c:pt>
                <c:pt idx="266">
                  <c:v>33.76</c:v>
                </c:pt>
                <c:pt idx="267">
                  <c:v>173.16</c:v>
                </c:pt>
                <c:pt idx="268">
                  <c:v>33.37</c:v>
                </c:pt>
                <c:pt idx="269">
                  <c:v>12.81</c:v>
                </c:pt>
                <c:pt idx="270">
                  <c:v>20.43</c:v>
                </c:pt>
                <c:pt idx="271">
                  <c:v>480.08</c:v>
                </c:pt>
                <c:pt idx="272">
                  <c:v>278.86</c:v>
                </c:pt>
                <c:pt idx="273">
                  <c:v>18.12</c:v>
                </c:pt>
                <c:pt idx="274">
                  <c:v>30.19</c:v>
                </c:pt>
                <c:pt idx="275">
                  <c:v>59.1</c:v>
                </c:pt>
                <c:pt idx="276">
                  <c:v>428.77</c:v>
                </c:pt>
                <c:pt idx="277">
                  <c:v>4.35</c:v>
                </c:pt>
                <c:pt idx="278">
                  <c:v>308.93</c:v>
                </c:pt>
                <c:pt idx="279">
                  <c:v>87.87</c:v>
                </c:pt>
                <c:pt idx="280">
                  <c:v>6.62</c:v>
                </c:pt>
                <c:pt idx="281">
                  <c:v>57.48</c:v>
                </c:pt>
                <c:pt idx="282">
                  <c:v>336.93</c:v>
                </c:pt>
                <c:pt idx="283">
                  <c:v>14.68</c:v>
                </c:pt>
                <c:pt idx="284">
                  <c:v>8.23</c:v>
                </c:pt>
                <c:pt idx="285">
                  <c:v>28.47</c:v>
                </c:pt>
                <c:pt idx="286">
                  <c:v>1.51</c:v>
                </c:pt>
                <c:pt idx="287">
                  <c:v>34.21</c:v>
                </c:pt>
                <c:pt idx="288">
                  <c:v>434.59</c:v>
                </c:pt>
                <c:pt idx="289">
                  <c:v>150.59</c:v>
                </c:pt>
                <c:pt idx="290">
                  <c:v>191.5</c:v>
                </c:pt>
                <c:pt idx="291">
                  <c:v>11.51</c:v>
                </c:pt>
                <c:pt idx="292">
                  <c:v>58.63</c:v>
                </c:pt>
                <c:pt idx="293">
                  <c:v>23.83</c:v>
                </c:pt>
                <c:pt idx="294">
                  <c:v>16.92</c:v>
                </c:pt>
                <c:pt idx="295">
                  <c:v>7.53</c:v>
                </c:pt>
                <c:pt idx="296">
                  <c:v>256.1</c:v>
                </c:pt>
                <c:pt idx="297">
                  <c:v>35.82</c:v>
                </c:pt>
                <c:pt idx="298">
                  <c:v>259.88</c:v>
                </c:pt>
                <c:pt idx="299">
                  <c:v>41.34</c:v>
                </c:pt>
                <c:pt idx="300">
                  <c:v>62.02</c:v>
                </c:pt>
                <c:pt idx="301">
                  <c:v>157.52</c:v>
                </c:pt>
                <c:pt idx="302">
                  <c:v>68.77</c:v>
                </c:pt>
                <c:pt idx="303">
                  <c:v>27.02</c:v>
                </c:pt>
                <c:pt idx="304">
                  <c:v>19.78</c:v>
                </c:pt>
                <c:pt idx="305">
                  <c:v>92.23</c:v>
                </c:pt>
                <c:pt idx="306">
                  <c:v>1.89</c:v>
                </c:pt>
                <c:pt idx="307">
                  <c:v>214.42</c:v>
                </c:pt>
                <c:pt idx="308">
                  <c:v>130.09</c:v>
                </c:pt>
                <c:pt idx="309">
                  <c:v>4.01</c:v>
                </c:pt>
                <c:pt idx="310">
                  <c:v>99.14</c:v>
                </c:pt>
                <c:pt idx="311">
                  <c:v>20.29</c:v>
                </c:pt>
                <c:pt idx="312">
                  <c:v>231.14</c:v>
                </c:pt>
                <c:pt idx="313">
                  <c:v>5.91</c:v>
                </c:pt>
                <c:pt idx="314">
                  <c:v>8.27</c:v>
                </c:pt>
                <c:pt idx="315">
                  <c:v>2.74</c:v>
                </c:pt>
                <c:pt idx="316">
                  <c:v>1.73</c:v>
                </c:pt>
                <c:pt idx="317">
                  <c:v>159.67</c:v>
                </c:pt>
                <c:pt idx="318">
                  <c:v>3.63</c:v>
                </c:pt>
                <c:pt idx="319">
                  <c:v>414.75</c:v>
                </c:pt>
                <c:pt idx="320">
                  <c:v>32.29</c:v>
                </c:pt>
                <c:pt idx="321">
                  <c:v>16.09</c:v>
                </c:pt>
                <c:pt idx="322">
                  <c:v>1.5</c:v>
                </c:pt>
                <c:pt idx="323">
                  <c:v>83.68</c:v>
                </c:pt>
                <c:pt idx="324">
                  <c:v>193.28</c:v>
                </c:pt>
                <c:pt idx="325">
                  <c:v>150.48</c:v>
                </c:pt>
                <c:pt idx="326">
                  <c:v>2.94</c:v>
                </c:pt>
                <c:pt idx="327">
                  <c:v>177.52</c:v>
                </c:pt>
                <c:pt idx="328">
                  <c:v>85.8</c:v>
                </c:pt>
                <c:pt idx="329">
                  <c:v>376.47</c:v>
                </c:pt>
                <c:pt idx="330">
                  <c:v>67.18</c:v>
                </c:pt>
                <c:pt idx="331">
                  <c:v>41.53</c:v>
                </c:pt>
                <c:pt idx="332">
                  <c:v>148.03</c:v>
                </c:pt>
                <c:pt idx="333">
                  <c:v>199.74</c:v>
                </c:pt>
                <c:pt idx="334">
                  <c:v>99.26</c:v>
                </c:pt>
                <c:pt idx="335">
                  <c:v>46.31</c:v>
                </c:pt>
                <c:pt idx="336">
                  <c:v>105.47</c:v>
                </c:pt>
                <c:pt idx="337">
                  <c:v>130</c:v>
                </c:pt>
                <c:pt idx="338">
                  <c:v>25.63</c:v>
                </c:pt>
                <c:pt idx="339">
                  <c:v>104.89</c:v>
                </c:pt>
                <c:pt idx="340">
                  <c:v>152.2</c:v>
                </c:pt>
                <c:pt idx="341">
                  <c:v>11.26</c:v>
                </c:pt>
                <c:pt idx="342">
                  <c:v>753.35</c:v>
                </c:pt>
                <c:pt idx="343">
                  <c:v>316.28</c:v>
                </c:pt>
                <c:pt idx="344">
                  <c:v>16.86</c:v>
                </c:pt>
                <c:pt idx="345">
                  <c:v>24.22</c:v>
                </c:pt>
                <c:pt idx="346">
                  <c:v>312.94</c:v>
                </c:pt>
                <c:pt idx="347">
                  <c:v>564</c:v>
                </c:pt>
                <c:pt idx="348">
                  <c:v>7.1</c:v>
                </c:pt>
                <c:pt idx="349">
                  <c:v>515.93</c:v>
                </c:pt>
                <c:pt idx="350">
                  <c:v>45.82</c:v>
                </c:pt>
                <c:pt idx="351">
                  <c:v>32.08</c:v>
                </c:pt>
                <c:pt idx="352">
                  <c:v>7.65</c:v>
                </c:pt>
                <c:pt idx="353">
                  <c:v>62.78</c:v>
                </c:pt>
                <c:pt idx="354">
                  <c:v>173.29</c:v>
                </c:pt>
                <c:pt idx="355">
                  <c:v>83.64</c:v>
                </c:pt>
                <c:pt idx="356">
                  <c:v>143.06</c:v>
                </c:pt>
                <c:pt idx="357">
                  <c:v>183.27</c:v>
                </c:pt>
                <c:pt idx="358">
                  <c:v>113.28</c:v>
                </c:pt>
                <c:pt idx="359">
                  <c:v>15.99</c:v>
                </c:pt>
                <c:pt idx="360">
                  <c:v>42.49</c:v>
                </c:pt>
                <c:pt idx="361">
                  <c:v>7.73</c:v>
                </c:pt>
                <c:pt idx="362">
                  <c:v>200.63</c:v>
                </c:pt>
                <c:pt idx="363">
                  <c:v>39.12</c:v>
                </c:pt>
                <c:pt idx="364">
                  <c:v>14.61</c:v>
                </c:pt>
                <c:pt idx="365">
                  <c:v>130.76</c:v>
                </c:pt>
                <c:pt idx="366">
                  <c:v>18.06</c:v>
                </c:pt>
                <c:pt idx="367">
                  <c:v>23.16</c:v>
                </c:pt>
                <c:pt idx="368">
                  <c:v>8</c:v>
                </c:pt>
                <c:pt idx="369">
                  <c:v>20.54</c:v>
                </c:pt>
                <c:pt idx="370">
                  <c:v>171.41</c:v>
                </c:pt>
                <c:pt idx="371">
                  <c:v>46.65</c:v>
                </c:pt>
                <c:pt idx="372">
                  <c:v>32.93</c:v>
                </c:pt>
                <c:pt idx="373">
                  <c:v>2.99</c:v>
                </c:pt>
                <c:pt idx="374">
                  <c:v>203.92</c:v>
                </c:pt>
                <c:pt idx="375">
                  <c:v>48.47</c:v>
                </c:pt>
                <c:pt idx="376">
                  <c:v>32.65</c:v>
                </c:pt>
                <c:pt idx="377">
                  <c:v>242.66</c:v>
                </c:pt>
                <c:pt idx="378">
                  <c:v>42.41</c:v>
                </c:pt>
                <c:pt idx="379">
                  <c:v>49.77</c:v>
                </c:pt>
                <c:pt idx="380">
                  <c:v>2.54</c:v>
                </c:pt>
                <c:pt idx="381">
                  <c:v>115.08</c:v>
                </c:pt>
                <c:pt idx="382">
                  <c:v>58.93</c:v>
                </c:pt>
                <c:pt idx="383">
                  <c:v>9.99</c:v>
                </c:pt>
                <c:pt idx="384">
                  <c:v>7.01</c:v>
                </c:pt>
                <c:pt idx="385">
                  <c:v>5.45</c:v>
                </c:pt>
                <c:pt idx="386">
                  <c:v>286.51</c:v>
                </c:pt>
                <c:pt idx="387">
                  <c:v>2.97</c:v>
                </c:pt>
                <c:pt idx="388">
                  <c:v>6.88</c:v>
                </c:pt>
                <c:pt idx="389">
                  <c:v>28.13</c:v>
                </c:pt>
                <c:pt idx="390">
                  <c:v>7.14</c:v>
                </c:pt>
                <c:pt idx="391">
                  <c:v>6.32</c:v>
                </c:pt>
                <c:pt idx="392">
                  <c:v>7.66</c:v>
                </c:pt>
                <c:pt idx="393">
                  <c:v>141.19</c:v>
                </c:pt>
                <c:pt idx="394">
                  <c:v>9.93</c:v>
                </c:pt>
                <c:pt idx="395">
                  <c:v>164</c:v>
                </c:pt>
                <c:pt idx="396">
                  <c:v>37.86</c:v>
                </c:pt>
                <c:pt idx="397">
                  <c:v>71.43</c:v>
                </c:pt>
                <c:pt idx="398">
                  <c:v>261.28</c:v>
                </c:pt>
                <c:pt idx="399">
                  <c:v>19.72</c:v>
                </c:pt>
                <c:pt idx="400">
                  <c:v>6.28</c:v>
                </c:pt>
                <c:pt idx="401">
                  <c:v>48.34</c:v>
                </c:pt>
                <c:pt idx="402">
                  <c:v>45.08</c:v>
                </c:pt>
                <c:pt idx="403">
                  <c:v>15.31</c:v>
                </c:pt>
                <c:pt idx="404">
                  <c:v>65.81</c:v>
                </c:pt>
                <c:pt idx="405">
                  <c:v>29.32</c:v>
                </c:pt>
                <c:pt idx="406">
                  <c:v>145.2</c:v>
                </c:pt>
                <c:pt idx="407">
                  <c:v>40.54</c:v>
                </c:pt>
                <c:pt idx="408">
                  <c:v>228.79</c:v>
                </c:pt>
                <c:pt idx="409">
                  <c:v>40.98</c:v>
                </c:pt>
                <c:pt idx="410">
                  <c:v>12.16</c:v>
                </c:pt>
                <c:pt idx="411">
                  <c:v>71.6</c:v>
                </c:pt>
                <c:pt idx="412">
                  <c:v>280.9</c:v>
                </c:pt>
                <c:pt idx="413">
                  <c:v>97.21</c:v>
                </c:pt>
                <c:pt idx="414">
                  <c:v>519.49</c:v>
                </c:pt>
                <c:pt idx="415">
                  <c:v>39.38</c:v>
                </c:pt>
                <c:pt idx="416">
                  <c:v>23.99</c:v>
                </c:pt>
                <c:pt idx="417">
                  <c:v>3.01</c:v>
                </c:pt>
                <c:pt idx="418">
                  <c:v>301.03</c:v>
                </c:pt>
                <c:pt idx="419">
                  <c:v>22.57</c:v>
                </c:pt>
                <c:pt idx="420">
                  <c:v>1.9</c:v>
                </c:pt>
                <c:pt idx="421">
                  <c:v>19.41</c:v>
                </c:pt>
                <c:pt idx="422">
                  <c:v>77.43</c:v>
                </c:pt>
                <c:pt idx="423">
                  <c:v>3.04</c:v>
                </c:pt>
                <c:pt idx="424">
                  <c:v>418.24</c:v>
                </c:pt>
                <c:pt idx="425">
                  <c:v>175.82</c:v>
                </c:pt>
                <c:pt idx="426">
                  <c:v>12.32</c:v>
                </c:pt>
                <c:pt idx="427">
                  <c:v>63.57</c:v>
                </c:pt>
                <c:pt idx="428">
                  <c:v>210.29</c:v>
                </c:pt>
                <c:pt idx="429">
                  <c:v>9.05</c:v>
                </c:pt>
                <c:pt idx="430">
                  <c:v>4.05</c:v>
                </c:pt>
                <c:pt idx="431">
                  <c:v>37.32</c:v>
                </c:pt>
                <c:pt idx="432">
                  <c:v>217.98</c:v>
                </c:pt>
                <c:pt idx="433">
                  <c:v>40.73</c:v>
                </c:pt>
                <c:pt idx="434">
                  <c:v>13.44</c:v>
                </c:pt>
                <c:pt idx="435">
                  <c:v>21.68</c:v>
                </c:pt>
                <c:pt idx="436">
                  <c:v>1462.48</c:v>
                </c:pt>
                <c:pt idx="437">
                  <c:v>100.19</c:v>
                </c:pt>
                <c:pt idx="438">
                  <c:v>70.51</c:v>
                </c:pt>
                <c:pt idx="439">
                  <c:v>643.68</c:v>
                </c:pt>
                <c:pt idx="440">
                  <c:v>157.82</c:v>
                </c:pt>
                <c:pt idx="441">
                  <c:v>230.59</c:v>
                </c:pt>
                <c:pt idx="442">
                  <c:v>6.07</c:v>
                </c:pt>
                <c:pt idx="443">
                  <c:v>391.79</c:v>
                </c:pt>
                <c:pt idx="444">
                  <c:v>27.07</c:v>
                </c:pt>
                <c:pt idx="445">
                  <c:v>758.2</c:v>
                </c:pt>
                <c:pt idx="446">
                  <c:v>32.8</c:v>
                </c:pt>
                <c:pt idx="447">
                  <c:v>203.85</c:v>
                </c:pt>
                <c:pt idx="448">
                  <c:v>260.62</c:v>
                </c:pt>
                <c:pt idx="449">
                  <c:v>128.33</c:v>
                </c:pt>
                <c:pt idx="450">
                  <c:v>3.87</c:v>
                </c:pt>
                <c:pt idx="451">
                  <c:v>208.15</c:v>
                </c:pt>
                <c:pt idx="452">
                  <c:v>11.1</c:v>
                </c:pt>
                <c:pt idx="453">
                  <c:v>38.89</c:v>
                </c:pt>
                <c:pt idx="454">
                  <c:v>76.2</c:v>
                </c:pt>
                <c:pt idx="455">
                  <c:v>37.32</c:v>
                </c:pt>
                <c:pt idx="456">
                  <c:v>22.5</c:v>
                </c:pt>
                <c:pt idx="457">
                  <c:v>1215.34</c:v>
                </c:pt>
                <c:pt idx="458">
                  <c:v>25.48</c:v>
                </c:pt>
                <c:pt idx="459">
                  <c:v>52.21</c:v>
                </c:pt>
                <c:pt idx="460">
                  <c:v>42.34</c:v>
                </c:pt>
                <c:pt idx="461">
                  <c:v>134.45</c:v>
                </c:pt>
                <c:pt idx="462">
                  <c:v>313.79</c:v>
                </c:pt>
                <c:pt idx="463">
                  <c:v>214.1</c:v>
                </c:pt>
                <c:pt idx="464">
                  <c:v>653.39</c:v>
                </c:pt>
                <c:pt idx="465">
                  <c:v>12.87</c:v>
                </c:pt>
                <c:pt idx="466">
                  <c:v>7.48</c:v>
                </c:pt>
                <c:pt idx="467">
                  <c:v>25.71</c:v>
                </c:pt>
                <c:pt idx="468">
                  <c:v>10.78</c:v>
                </c:pt>
                <c:pt idx="469">
                  <c:v>24.17</c:v>
                </c:pt>
                <c:pt idx="470">
                  <c:v>47.69</c:v>
                </c:pt>
                <c:pt idx="471">
                  <c:v>23.9</c:v>
                </c:pt>
                <c:pt idx="472">
                  <c:v>144.52</c:v>
                </c:pt>
                <c:pt idx="473">
                  <c:v>29.29</c:v>
                </c:pt>
                <c:pt idx="474">
                  <c:v>9.87</c:v>
                </c:pt>
                <c:pt idx="475">
                  <c:v>738.22</c:v>
                </c:pt>
                <c:pt idx="476">
                  <c:v>10.85</c:v>
                </c:pt>
                <c:pt idx="477">
                  <c:v>12.69</c:v>
                </c:pt>
                <c:pt idx="478">
                  <c:v>229.5</c:v>
                </c:pt>
                <c:pt idx="479">
                  <c:v>6.76</c:v>
                </c:pt>
                <c:pt idx="480">
                  <c:v>124.78</c:v>
                </c:pt>
                <c:pt idx="481">
                  <c:v>181.23</c:v>
                </c:pt>
                <c:pt idx="482">
                  <c:v>48.12</c:v>
                </c:pt>
                <c:pt idx="483">
                  <c:v>1.49</c:v>
                </c:pt>
                <c:pt idx="484">
                  <c:v>158.43</c:v>
                </c:pt>
                <c:pt idx="485">
                  <c:v>167.93</c:v>
                </c:pt>
                <c:pt idx="486">
                  <c:v>58.79</c:v>
                </c:pt>
                <c:pt idx="487">
                  <c:v>19.09</c:v>
                </c:pt>
                <c:pt idx="488">
                  <c:v>11.15</c:v>
                </c:pt>
                <c:pt idx="489">
                  <c:v>6.4</c:v>
                </c:pt>
                <c:pt idx="490">
                  <c:v>75.29</c:v>
                </c:pt>
                <c:pt idx="491">
                  <c:v>94.68</c:v>
                </c:pt>
                <c:pt idx="492">
                  <c:v>97.15</c:v>
                </c:pt>
                <c:pt idx="493">
                  <c:v>17.92</c:v>
                </c:pt>
                <c:pt idx="494">
                  <c:v>6.1</c:v>
                </c:pt>
                <c:pt idx="495">
                  <c:v>11.31</c:v>
                </c:pt>
                <c:pt idx="496">
                  <c:v>119.67</c:v>
                </c:pt>
                <c:pt idx="497">
                  <c:v>55.64</c:v>
                </c:pt>
                <c:pt idx="498">
                  <c:v>10.66</c:v>
                </c:pt>
                <c:pt idx="499">
                  <c:v>246.12</c:v>
                </c:pt>
                <c:pt idx="500">
                  <c:v>385.93</c:v>
                </c:pt>
                <c:pt idx="501">
                  <c:v>9.46</c:v>
                </c:pt>
                <c:pt idx="502">
                  <c:v>2.52</c:v>
                </c:pt>
                <c:pt idx="503">
                  <c:v>224.54</c:v>
                </c:pt>
                <c:pt idx="504">
                  <c:v>20.37</c:v>
                </c:pt>
                <c:pt idx="505">
                  <c:v>18.68</c:v>
                </c:pt>
                <c:pt idx="506">
                  <c:v>10.05</c:v>
                </c:pt>
                <c:pt idx="507">
                  <c:v>122.48</c:v>
                </c:pt>
                <c:pt idx="508">
                  <c:v>124.82</c:v>
                </c:pt>
                <c:pt idx="509">
                  <c:v>117.68</c:v>
                </c:pt>
                <c:pt idx="510">
                  <c:v>36.15</c:v>
                </c:pt>
                <c:pt idx="511">
                  <c:v>3.25</c:v>
                </c:pt>
                <c:pt idx="512">
                  <c:v>8.15</c:v>
                </c:pt>
                <c:pt idx="513">
                  <c:v>5.25</c:v>
                </c:pt>
                <c:pt idx="514">
                  <c:v>12.52</c:v>
                </c:pt>
                <c:pt idx="515">
                  <c:v>316.68</c:v>
                </c:pt>
                <c:pt idx="516">
                  <c:v>22.85</c:v>
                </c:pt>
                <c:pt idx="517">
                  <c:v>275.53</c:v>
                </c:pt>
                <c:pt idx="518">
                  <c:v>22.04</c:v>
                </c:pt>
                <c:pt idx="519">
                  <c:v>31.83</c:v>
                </c:pt>
                <c:pt idx="520">
                  <c:v>72.33</c:v>
                </c:pt>
                <c:pt idx="521">
                  <c:v>53.48</c:v>
                </c:pt>
                <c:pt idx="522">
                  <c:v>8.45</c:v>
                </c:pt>
                <c:pt idx="523">
                  <c:v>17.77</c:v>
                </c:pt>
                <c:pt idx="524">
                  <c:v>687.92</c:v>
                </c:pt>
                <c:pt idx="525">
                  <c:v>35.77</c:v>
                </c:pt>
                <c:pt idx="526">
                  <c:v>481.49</c:v>
                </c:pt>
                <c:pt idx="527">
                  <c:v>23.23</c:v>
                </c:pt>
                <c:pt idx="528">
                  <c:v>31.56</c:v>
                </c:pt>
                <c:pt idx="529">
                  <c:v>330.19</c:v>
                </c:pt>
                <c:pt idx="530">
                  <c:v>26.65</c:v>
                </c:pt>
                <c:pt idx="531">
                  <c:v>25.11</c:v>
                </c:pt>
                <c:pt idx="532">
                  <c:v>12.03</c:v>
                </c:pt>
                <c:pt idx="533">
                  <c:v>123.56</c:v>
                </c:pt>
                <c:pt idx="534">
                  <c:v>24.14</c:v>
                </c:pt>
                <c:pt idx="535">
                  <c:v>33.87</c:v>
                </c:pt>
                <c:pt idx="536">
                  <c:v>70.37</c:v>
                </c:pt>
                <c:pt idx="537">
                  <c:v>19.66</c:v>
                </c:pt>
                <c:pt idx="538">
                  <c:v>10.59</c:v>
                </c:pt>
                <c:pt idx="539">
                  <c:v>13.58</c:v>
                </c:pt>
                <c:pt idx="540">
                  <c:v>642.56</c:v>
                </c:pt>
                <c:pt idx="541">
                  <c:v>102.73</c:v>
                </c:pt>
                <c:pt idx="542">
                  <c:v>5.81</c:v>
                </c:pt>
                <c:pt idx="543">
                  <c:v>13.86</c:v>
                </c:pt>
                <c:pt idx="544">
                  <c:v>8.69</c:v>
                </c:pt>
                <c:pt idx="545">
                  <c:v>80.24</c:v>
                </c:pt>
                <c:pt idx="546">
                  <c:v>601.19</c:v>
                </c:pt>
                <c:pt idx="547">
                  <c:v>9.68</c:v>
                </c:pt>
                <c:pt idx="548">
                  <c:v>4.05</c:v>
                </c:pt>
                <c:pt idx="549">
                  <c:v>82.48</c:v>
                </c:pt>
                <c:pt idx="550">
                  <c:v>17.14</c:v>
                </c:pt>
                <c:pt idx="551">
                  <c:v>205.26</c:v>
                </c:pt>
                <c:pt idx="552">
                  <c:v>643.28</c:v>
                </c:pt>
                <c:pt idx="553">
                  <c:v>8.3</c:v>
                </c:pt>
                <c:pt idx="554">
                  <c:v>6.04</c:v>
                </c:pt>
                <c:pt idx="555">
                  <c:v>431.3</c:v>
                </c:pt>
                <c:pt idx="556">
                  <c:v>36.32</c:v>
                </c:pt>
                <c:pt idx="557">
                  <c:v>15.13</c:v>
                </c:pt>
                <c:pt idx="558">
                  <c:v>51.99</c:v>
                </c:pt>
                <c:pt idx="559">
                  <c:v>11.56</c:v>
                </c:pt>
                <c:pt idx="560">
                  <c:v>11.99</c:v>
                </c:pt>
                <c:pt idx="561">
                  <c:v>17.72</c:v>
                </c:pt>
                <c:pt idx="562">
                  <c:v>129.88</c:v>
                </c:pt>
                <c:pt idx="563">
                  <c:v>204.63</c:v>
                </c:pt>
                <c:pt idx="564">
                  <c:v>14.47</c:v>
                </c:pt>
                <c:pt idx="565">
                  <c:v>636.02</c:v>
                </c:pt>
                <c:pt idx="566">
                  <c:v>87.48</c:v>
                </c:pt>
                <c:pt idx="567">
                  <c:v>40.74</c:v>
                </c:pt>
                <c:pt idx="568">
                  <c:v>41.14</c:v>
                </c:pt>
                <c:pt idx="569">
                  <c:v>2.91</c:v>
                </c:pt>
                <c:pt idx="570">
                  <c:v>2.53</c:v>
                </c:pt>
                <c:pt idx="571">
                  <c:v>24.85</c:v>
                </c:pt>
                <c:pt idx="572">
                  <c:v>272.09</c:v>
                </c:pt>
                <c:pt idx="573">
                  <c:v>8.94</c:v>
                </c:pt>
                <c:pt idx="574">
                  <c:v>7.45</c:v>
                </c:pt>
                <c:pt idx="575">
                  <c:v>105.44</c:v>
                </c:pt>
                <c:pt idx="576">
                  <c:v>12.43</c:v>
                </c:pt>
                <c:pt idx="577">
                  <c:v>41.34</c:v>
                </c:pt>
                <c:pt idx="578">
                  <c:v>627.41</c:v>
                </c:pt>
                <c:pt idx="579">
                  <c:v>47.33</c:v>
                </c:pt>
                <c:pt idx="580">
                  <c:v>9.91</c:v>
                </c:pt>
                <c:pt idx="581">
                  <c:v>17.19</c:v>
                </c:pt>
                <c:pt idx="582">
                  <c:v>36.53</c:v>
                </c:pt>
                <c:pt idx="583">
                  <c:v>359.86</c:v>
                </c:pt>
                <c:pt idx="584">
                  <c:v>32.06</c:v>
                </c:pt>
                <c:pt idx="585">
                  <c:v>74.88</c:v>
                </c:pt>
                <c:pt idx="586">
                  <c:v>12.15</c:v>
                </c:pt>
                <c:pt idx="587">
                  <c:v>35.35</c:v>
                </c:pt>
                <c:pt idx="588">
                  <c:v>37.07</c:v>
                </c:pt>
                <c:pt idx="589">
                  <c:v>293.77</c:v>
                </c:pt>
                <c:pt idx="590">
                  <c:v>12.33</c:v>
                </c:pt>
                <c:pt idx="591">
                  <c:v>29.96</c:v>
                </c:pt>
                <c:pt idx="592">
                  <c:v>324.53</c:v>
                </c:pt>
                <c:pt idx="593">
                  <c:v>110.65</c:v>
                </c:pt>
                <c:pt idx="594">
                  <c:v>200.74</c:v>
                </c:pt>
                <c:pt idx="595">
                  <c:v>4.47</c:v>
                </c:pt>
                <c:pt idx="596">
                  <c:v>138.69</c:v>
                </c:pt>
                <c:pt idx="597">
                  <c:v>7.25</c:v>
                </c:pt>
                <c:pt idx="598">
                  <c:v>3.86</c:v>
                </c:pt>
                <c:pt idx="599">
                  <c:v>180.47</c:v>
                </c:pt>
                <c:pt idx="600">
                  <c:v>388.99</c:v>
                </c:pt>
                <c:pt idx="601">
                  <c:v>4.56</c:v>
                </c:pt>
                <c:pt idx="602">
                  <c:v>142.34</c:v>
                </c:pt>
                <c:pt idx="603">
                  <c:v>405.66</c:v>
                </c:pt>
                <c:pt idx="604">
                  <c:v>6.14</c:v>
                </c:pt>
                <c:pt idx="605">
                  <c:v>163.53</c:v>
                </c:pt>
                <c:pt idx="606">
                  <c:v>3.87</c:v>
                </c:pt>
                <c:pt idx="607">
                  <c:v>89.5</c:v>
                </c:pt>
                <c:pt idx="608">
                  <c:v>325.72</c:v>
                </c:pt>
                <c:pt idx="609">
                  <c:v>24.47</c:v>
                </c:pt>
                <c:pt idx="610">
                  <c:v>100.78</c:v>
                </c:pt>
                <c:pt idx="611">
                  <c:v>4.8</c:v>
                </c:pt>
                <c:pt idx="612">
                  <c:v>167.89</c:v>
                </c:pt>
                <c:pt idx="613">
                  <c:v>9.56</c:v>
                </c:pt>
                <c:pt idx="614">
                  <c:v>45.18</c:v>
                </c:pt>
                <c:pt idx="615">
                  <c:v>66.81</c:v>
                </c:pt>
                <c:pt idx="616">
                  <c:v>3</c:v>
                </c:pt>
                <c:pt idx="617">
                  <c:v>195.8</c:v>
                </c:pt>
                <c:pt idx="618">
                  <c:v>20.27</c:v>
                </c:pt>
                <c:pt idx="619">
                  <c:v>330.01</c:v>
                </c:pt>
                <c:pt idx="620">
                  <c:v>18.37</c:v>
                </c:pt>
                <c:pt idx="621">
                  <c:v>4.02</c:v>
                </c:pt>
                <c:pt idx="622">
                  <c:v>15.15</c:v>
                </c:pt>
                <c:pt idx="623">
                  <c:v>132.66</c:v>
                </c:pt>
                <c:pt idx="624">
                  <c:v>4.22</c:v>
                </c:pt>
                <c:pt idx="625">
                  <c:v>8.49</c:v>
                </c:pt>
                <c:pt idx="626">
                  <c:v>4.77</c:v>
                </c:pt>
                <c:pt idx="627">
                  <c:v>2.98</c:v>
                </c:pt>
                <c:pt idx="628">
                  <c:v>20.23</c:v>
                </c:pt>
                <c:pt idx="629">
                  <c:v>6.57</c:v>
                </c:pt>
                <c:pt idx="630">
                  <c:v>6.64</c:v>
                </c:pt>
                <c:pt idx="631">
                  <c:v>47.69</c:v>
                </c:pt>
                <c:pt idx="632">
                  <c:v>168.01</c:v>
                </c:pt>
                <c:pt idx="633">
                  <c:v>11.92</c:v>
                </c:pt>
                <c:pt idx="634">
                  <c:v>46.01</c:v>
                </c:pt>
                <c:pt idx="635">
                  <c:v>125.97</c:v>
                </c:pt>
                <c:pt idx="636">
                  <c:v>18.7</c:v>
                </c:pt>
                <c:pt idx="637">
                  <c:v>3.08</c:v>
                </c:pt>
                <c:pt idx="638">
                  <c:v>110.59</c:v>
                </c:pt>
                <c:pt idx="639">
                  <c:v>33.33</c:v>
                </c:pt>
                <c:pt idx="640">
                  <c:v>87.03</c:v>
                </c:pt>
                <c:pt idx="641">
                  <c:v>19.24</c:v>
                </c:pt>
                <c:pt idx="642">
                  <c:v>14.51</c:v>
                </c:pt>
                <c:pt idx="643">
                  <c:v>35.91</c:v>
                </c:pt>
                <c:pt idx="644">
                  <c:v>279.18</c:v>
                </c:pt>
                <c:pt idx="645">
                  <c:v>60.82</c:v>
                </c:pt>
                <c:pt idx="646">
                  <c:v>3.18</c:v>
                </c:pt>
                <c:pt idx="647">
                  <c:v>105.15</c:v>
                </c:pt>
                <c:pt idx="648">
                  <c:v>35.74</c:v>
                </c:pt>
                <c:pt idx="649">
                  <c:v>3.47</c:v>
                </c:pt>
                <c:pt idx="650">
                  <c:v>228.99</c:v>
                </c:pt>
                <c:pt idx="651">
                  <c:v>307.23</c:v>
                </c:pt>
                <c:pt idx="652">
                  <c:v>111.56</c:v>
                </c:pt>
                <c:pt idx="653">
                  <c:v>98.73</c:v>
                </c:pt>
                <c:pt idx="654">
                  <c:v>25.19</c:v>
                </c:pt>
                <c:pt idx="655">
                  <c:v>3</c:v>
                </c:pt>
                <c:pt idx="656">
                  <c:v>7.94</c:v>
                </c:pt>
                <c:pt idx="657">
                  <c:v>9.93</c:v>
                </c:pt>
                <c:pt idx="658">
                  <c:v>329.42</c:v>
                </c:pt>
                <c:pt idx="659">
                  <c:v>545.99</c:v>
                </c:pt>
                <c:pt idx="660">
                  <c:v>11.76</c:v>
                </c:pt>
                <c:pt idx="661">
                  <c:v>221.82</c:v>
                </c:pt>
                <c:pt idx="662">
                  <c:v>57.31</c:v>
                </c:pt>
                <c:pt idx="663">
                  <c:v>4.99</c:v>
                </c:pt>
                <c:pt idx="664">
                  <c:v>11.72</c:v>
                </c:pt>
                <c:pt idx="665">
                  <c:v>3.07</c:v>
                </c:pt>
                <c:pt idx="666">
                  <c:v>78.55</c:v>
                </c:pt>
                <c:pt idx="667">
                  <c:v>142.05</c:v>
                </c:pt>
                <c:pt idx="668">
                  <c:v>21.45</c:v>
                </c:pt>
                <c:pt idx="669">
                  <c:v>17.1</c:v>
                </c:pt>
                <c:pt idx="670">
                  <c:v>42.35</c:v>
                </c:pt>
                <c:pt idx="671">
                  <c:v>6.3</c:v>
                </c:pt>
                <c:pt idx="672">
                  <c:v>44.33</c:v>
                </c:pt>
                <c:pt idx="673">
                  <c:v>19.23</c:v>
                </c:pt>
                <c:pt idx="674">
                  <c:v>4.12</c:v>
                </c:pt>
                <c:pt idx="675">
                  <c:v>165.75</c:v>
                </c:pt>
                <c:pt idx="676">
                  <c:v>408.84</c:v>
                </c:pt>
                <c:pt idx="677">
                  <c:v>9.67</c:v>
                </c:pt>
                <c:pt idx="678">
                  <c:v>11.31</c:v>
                </c:pt>
                <c:pt idx="679">
                  <c:v>15.65</c:v>
                </c:pt>
                <c:pt idx="680">
                  <c:v>184.52</c:v>
                </c:pt>
                <c:pt idx="681">
                  <c:v>118.91</c:v>
                </c:pt>
                <c:pt idx="682">
                  <c:v>281.61</c:v>
                </c:pt>
                <c:pt idx="683">
                  <c:v>49.18</c:v>
                </c:pt>
                <c:pt idx="684">
                  <c:v>11.38</c:v>
                </c:pt>
                <c:pt idx="685">
                  <c:v>94.69</c:v>
                </c:pt>
                <c:pt idx="686">
                  <c:v>165.01</c:v>
                </c:pt>
                <c:pt idx="687">
                  <c:v>4.9</c:v>
                </c:pt>
                <c:pt idx="688">
                  <c:v>105.85</c:v>
                </c:pt>
                <c:pt idx="689">
                  <c:v>391.44</c:v>
                </c:pt>
                <c:pt idx="690">
                  <c:v>1.93</c:v>
                </c:pt>
                <c:pt idx="691">
                  <c:v>60.71</c:v>
                </c:pt>
                <c:pt idx="692">
                  <c:v>110.69</c:v>
                </c:pt>
                <c:pt idx="693">
                  <c:v>61.18</c:v>
                </c:pt>
                <c:pt idx="694">
                  <c:v>35.38</c:v>
                </c:pt>
                <c:pt idx="695">
                  <c:v>100.56</c:v>
                </c:pt>
                <c:pt idx="696">
                  <c:v>186.35</c:v>
                </c:pt>
                <c:pt idx="697">
                  <c:v>36.54</c:v>
                </c:pt>
                <c:pt idx="698">
                  <c:v>33.87</c:v>
                </c:pt>
                <c:pt idx="699">
                  <c:v>63.38</c:v>
                </c:pt>
                <c:pt idx="700">
                  <c:v>47.36</c:v>
                </c:pt>
                <c:pt idx="701">
                  <c:v>9.32</c:v>
                </c:pt>
                <c:pt idx="702">
                  <c:v>87.45</c:v>
                </c:pt>
                <c:pt idx="703">
                  <c:v>35.77</c:v>
                </c:pt>
                <c:pt idx="704">
                  <c:v>58.06</c:v>
                </c:pt>
                <c:pt idx="705">
                  <c:v>203.54</c:v>
                </c:pt>
                <c:pt idx="706">
                  <c:v>85.74</c:v>
                </c:pt>
                <c:pt idx="707">
                  <c:v>3.97</c:v>
                </c:pt>
                <c:pt idx="708">
                  <c:v>87.61</c:v>
                </c:pt>
                <c:pt idx="709">
                  <c:v>9.32</c:v>
                </c:pt>
                <c:pt idx="710">
                  <c:v>154.46</c:v>
                </c:pt>
                <c:pt idx="711">
                  <c:v>3.41</c:v>
                </c:pt>
                <c:pt idx="712">
                  <c:v>21.05</c:v>
                </c:pt>
                <c:pt idx="713">
                  <c:v>5.21</c:v>
                </c:pt>
                <c:pt idx="714">
                  <c:v>494.03</c:v>
                </c:pt>
                <c:pt idx="715">
                  <c:v>2.5</c:v>
                </c:pt>
                <c:pt idx="716">
                  <c:v>3.39</c:v>
                </c:pt>
                <c:pt idx="717">
                  <c:v>14.07</c:v>
                </c:pt>
                <c:pt idx="718">
                  <c:v>182.1</c:v>
                </c:pt>
                <c:pt idx="719">
                  <c:v>7.27</c:v>
                </c:pt>
                <c:pt idx="720">
                  <c:v>55.37</c:v>
                </c:pt>
                <c:pt idx="721">
                  <c:v>20.18</c:v>
                </c:pt>
                <c:pt idx="722">
                  <c:v>26.59</c:v>
                </c:pt>
                <c:pt idx="723">
                  <c:v>48.75</c:v>
                </c:pt>
                <c:pt idx="724">
                  <c:v>39.33</c:v>
                </c:pt>
                <c:pt idx="725">
                  <c:v>63.27</c:v>
                </c:pt>
                <c:pt idx="726">
                  <c:v>270.23</c:v>
                </c:pt>
                <c:pt idx="727">
                  <c:v>53.54</c:v>
                </c:pt>
                <c:pt idx="728">
                  <c:v>154.22</c:v>
                </c:pt>
                <c:pt idx="729">
                  <c:v>85.48</c:v>
                </c:pt>
                <c:pt idx="730">
                  <c:v>15.36</c:v>
                </c:pt>
                <c:pt idx="731">
                  <c:v>100.1</c:v>
                </c:pt>
                <c:pt idx="732">
                  <c:v>122.49</c:v>
                </c:pt>
                <c:pt idx="733">
                  <c:v>397.72</c:v>
                </c:pt>
                <c:pt idx="734">
                  <c:v>167.93</c:v>
                </c:pt>
                <c:pt idx="735">
                  <c:v>310.24</c:v>
                </c:pt>
                <c:pt idx="736">
                  <c:v>51.26</c:v>
                </c:pt>
                <c:pt idx="737">
                  <c:v>12.31</c:v>
                </c:pt>
                <c:pt idx="738">
                  <c:v>138.42</c:v>
                </c:pt>
                <c:pt idx="739">
                  <c:v>76.49</c:v>
                </c:pt>
                <c:pt idx="740">
                  <c:v>15.44</c:v>
                </c:pt>
                <c:pt idx="741">
                  <c:v>230.81</c:v>
                </c:pt>
                <c:pt idx="742">
                  <c:v>320.06</c:v>
                </c:pt>
                <c:pt idx="743">
                  <c:v>72.53</c:v>
                </c:pt>
                <c:pt idx="744">
                  <c:v>23.68</c:v>
                </c:pt>
                <c:pt idx="745">
                  <c:v>116.32</c:v>
                </c:pt>
                <c:pt idx="746">
                  <c:v>2.94</c:v>
                </c:pt>
                <c:pt idx="747">
                  <c:v>4.6</c:v>
                </c:pt>
                <c:pt idx="748">
                  <c:v>8.17</c:v>
                </c:pt>
                <c:pt idx="749">
                  <c:v>180.73</c:v>
                </c:pt>
                <c:pt idx="750">
                  <c:v>18.94</c:v>
                </c:pt>
                <c:pt idx="751">
                  <c:v>55.13</c:v>
                </c:pt>
                <c:pt idx="752">
                  <c:v>29.41</c:v>
                </c:pt>
                <c:pt idx="753">
                  <c:v>141.46</c:v>
                </c:pt>
                <c:pt idx="754">
                  <c:v>3.08</c:v>
                </c:pt>
                <c:pt idx="755">
                  <c:v>397.69</c:v>
                </c:pt>
                <c:pt idx="756">
                  <c:v>106.75</c:v>
                </c:pt>
                <c:pt idx="757">
                  <c:v>33.39</c:v>
                </c:pt>
                <c:pt idx="758">
                  <c:v>8.18</c:v>
                </c:pt>
                <c:pt idx="759">
                  <c:v>124.23</c:v>
                </c:pt>
                <c:pt idx="760">
                  <c:v>41.7</c:v>
                </c:pt>
                <c:pt idx="761">
                  <c:v>17.35</c:v>
                </c:pt>
                <c:pt idx="762">
                  <c:v>109.33</c:v>
                </c:pt>
                <c:pt idx="763">
                  <c:v>134.08</c:v>
                </c:pt>
                <c:pt idx="764">
                  <c:v>158.1</c:v>
                </c:pt>
                <c:pt idx="765">
                  <c:v>61.98</c:v>
                </c:pt>
                <c:pt idx="766">
                  <c:v>15.95</c:v>
                </c:pt>
                <c:pt idx="767">
                  <c:v>93.84</c:v>
                </c:pt>
                <c:pt idx="768">
                  <c:v>7.35</c:v>
                </c:pt>
                <c:pt idx="769">
                  <c:v>73.35</c:v>
                </c:pt>
                <c:pt idx="770">
                  <c:v>253.53</c:v>
                </c:pt>
                <c:pt idx="771">
                  <c:v>7.85</c:v>
                </c:pt>
                <c:pt idx="772">
                  <c:v>71.13</c:v>
                </c:pt>
                <c:pt idx="773">
                  <c:v>5.47</c:v>
                </c:pt>
                <c:pt idx="774">
                  <c:v>20.6</c:v>
                </c:pt>
                <c:pt idx="775">
                  <c:v>46.16</c:v>
                </c:pt>
                <c:pt idx="776">
                  <c:v>36.3</c:v>
                </c:pt>
                <c:pt idx="777">
                  <c:v>14.57</c:v>
                </c:pt>
                <c:pt idx="778">
                  <c:v>26.66</c:v>
                </c:pt>
                <c:pt idx="779">
                  <c:v>4.65</c:v>
                </c:pt>
                <c:pt idx="780">
                  <c:v>27.85</c:v>
                </c:pt>
                <c:pt idx="781">
                  <c:v>3.06</c:v>
                </c:pt>
                <c:pt idx="782">
                  <c:v>179.81</c:v>
                </c:pt>
                <c:pt idx="783">
                  <c:v>58.75</c:v>
                </c:pt>
                <c:pt idx="784">
                  <c:v>77.38</c:v>
                </c:pt>
                <c:pt idx="785">
                  <c:v>130.49</c:v>
                </c:pt>
                <c:pt idx="786">
                  <c:v>9.54</c:v>
                </c:pt>
                <c:pt idx="787">
                  <c:v>12.48</c:v>
                </c:pt>
                <c:pt idx="788">
                  <c:v>22.5</c:v>
                </c:pt>
                <c:pt idx="789">
                  <c:v>208.94</c:v>
                </c:pt>
                <c:pt idx="790">
                  <c:v>209.69</c:v>
                </c:pt>
                <c:pt idx="791">
                  <c:v>831.15</c:v>
                </c:pt>
                <c:pt idx="792">
                  <c:v>145.99</c:v>
                </c:pt>
                <c:pt idx="793">
                  <c:v>92.38</c:v>
                </c:pt>
                <c:pt idx="794">
                  <c:v>17.7</c:v>
                </c:pt>
                <c:pt idx="795">
                  <c:v>146.88</c:v>
                </c:pt>
                <c:pt idx="796">
                  <c:v>47.82</c:v>
                </c:pt>
                <c:pt idx="797">
                  <c:v>57.98</c:v>
                </c:pt>
                <c:pt idx="798">
                  <c:v>82.16</c:v>
                </c:pt>
                <c:pt idx="799">
                  <c:v>50.95</c:v>
                </c:pt>
                <c:pt idx="800">
                  <c:v>45.52</c:v>
                </c:pt>
                <c:pt idx="801">
                  <c:v>2.87</c:v>
                </c:pt>
                <c:pt idx="802">
                  <c:v>140.53</c:v>
                </c:pt>
                <c:pt idx="803">
                  <c:v>74.56</c:v>
                </c:pt>
                <c:pt idx="804">
                  <c:v>26.53</c:v>
                </c:pt>
                <c:pt idx="805">
                  <c:v>207.28</c:v>
                </c:pt>
                <c:pt idx="806">
                  <c:v>977.39</c:v>
                </c:pt>
                <c:pt idx="807">
                  <c:v>742.94</c:v>
                </c:pt>
                <c:pt idx="808">
                  <c:v>65.35</c:v>
                </c:pt>
                <c:pt idx="809">
                  <c:v>5.99</c:v>
                </c:pt>
                <c:pt idx="810">
                  <c:v>33.56</c:v>
                </c:pt>
                <c:pt idx="811">
                  <c:v>400.34</c:v>
                </c:pt>
                <c:pt idx="812">
                  <c:v>25.84</c:v>
                </c:pt>
                <c:pt idx="813">
                  <c:v>166.46</c:v>
                </c:pt>
                <c:pt idx="814">
                  <c:v>94.34</c:v>
                </c:pt>
                <c:pt idx="815">
                  <c:v>101.82</c:v>
                </c:pt>
                <c:pt idx="816">
                  <c:v>11.95</c:v>
                </c:pt>
                <c:pt idx="817">
                  <c:v>68.75</c:v>
                </c:pt>
                <c:pt idx="818">
                  <c:v>37.92</c:v>
                </c:pt>
                <c:pt idx="819">
                  <c:v>3.19</c:v>
                </c:pt>
                <c:pt idx="820">
                  <c:v>9.43</c:v>
                </c:pt>
                <c:pt idx="821">
                  <c:v>103.98</c:v>
                </c:pt>
                <c:pt idx="822">
                  <c:v>5.52</c:v>
                </c:pt>
                <c:pt idx="823">
                  <c:v>12.67</c:v>
                </c:pt>
                <c:pt idx="824">
                  <c:v>53.74</c:v>
                </c:pt>
                <c:pt idx="825">
                  <c:v>464.85</c:v>
                </c:pt>
                <c:pt idx="826">
                  <c:v>19.65</c:v>
                </c:pt>
                <c:pt idx="827">
                  <c:v>34.71</c:v>
                </c:pt>
                <c:pt idx="828">
                  <c:v>48.57</c:v>
                </c:pt>
                <c:pt idx="829">
                  <c:v>114.45</c:v>
                </c:pt>
                <c:pt idx="830">
                  <c:v>85.88</c:v>
                </c:pt>
                <c:pt idx="831">
                  <c:v>17.85</c:v>
                </c:pt>
                <c:pt idx="832">
                  <c:v>13.04</c:v>
                </c:pt>
                <c:pt idx="833">
                  <c:v>25.18</c:v>
                </c:pt>
                <c:pt idx="834">
                  <c:v>21.54</c:v>
                </c:pt>
                <c:pt idx="835">
                  <c:v>2.01</c:v>
                </c:pt>
                <c:pt idx="836">
                  <c:v>9.98</c:v>
                </c:pt>
                <c:pt idx="837">
                  <c:v>143.52</c:v>
                </c:pt>
                <c:pt idx="838">
                  <c:v>4.08</c:v>
                </c:pt>
                <c:pt idx="839">
                  <c:v>454.67</c:v>
                </c:pt>
                <c:pt idx="840">
                  <c:v>36.22</c:v>
                </c:pt>
                <c:pt idx="841">
                  <c:v>36.91</c:v>
                </c:pt>
                <c:pt idx="842">
                  <c:v>8.84</c:v>
                </c:pt>
                <c:pt idx="843">
                  <c:v>8.82</c:v>
                </c:pt>
                <c:pt idx="844">
                  <c:v>12</c:v>
                </c:pt>
                <c:pt idx="845">
                  <c:v>13.73</c:v>
                </c:pt>
                <c:pt idx="846">
                  <c:v>625.65</c:v>
                </c:pt>
                <c:pt idx="847">
                  <c:v>27.88</c:v>
                </c:pt>
                <c:pt idx="848">
                  <c:v>72.06</c:v>
                </c:pt>
                <c:pt idx="849">
                  <c:v>45.39</c:v>
                </c:pt>
                <c:pt idx="850">
                  <c:v>142.98</c:v>
                </c:pt>
                <c:pt idx="851">
                  <c:v>17.53</c:v>
                </c:pt>
                <c:pt idx="852">
                  <c:v>26.76</c:v>
                </c:pt>
                <c:pt idx="853">
                  <c:v>76.89</c:v>
                </c:pt>
                <c:pt idx="854">
                  <c:v>21.99</c:v>
                </c:pt>
                <c:pt idx="855">
                  <c:v>46.27</c:v>
                </c:pt>
                <c:pt idx="856">
                  <c:v>24.63</c:v>
                </c:pt>
                <c:pt idx="857">
                  <c:v>5.05</c:v>
                </c:pt>
                <c:pt idx="858">
                  <c:v>27.48</c:v>
                </c:pt>
                <c:pt idx="859">
                  <c:v>57.84</c:v>
                </c:pt>
                <c:pt idx="860">
                  <c:v>320.56</c:v>
                </c:pt>
                <c:pt idx="861">
                  <c:v>257.63</c:v>
                </c:pt>
                <c:pt idx="862">
                  <c:v>18.49</c:v>
                </c:pt>
                <c:pt idx="863">
                  <c:v>27.4</c:v>
                </c:pt>
                <c:pt idx="864">
                  <c:v>18.07</c:v>
                </c:pt>
                <c:pt idx="865">
                  <c:v>34.68</c:v>
                </c:pt>
                <c:pt idx="866">
                  <c:v>99.86</c:v>
                </c:pt>
                <c:pt idx="867">
                  <c:v>7.93</c:v>
                </c:pt>
                <c:pt idx="868">
                  <c:v>11.83</c:v>
                </c:pt>
                <c:pt idx="869">
                  <c:v>45.62</c:v>
                </c:pt>
                <c:pt idx="870">
                  <c:v>116.9</c:v>
                </c:pt>
                <c:pt idx="871">
                  <c:v>137.19</c:v>
                </c:pt>
                <c:pt idx="872">
                  <c:v>7.08</c:v>
                </c:pt>
                <c:pt idx="873">
                  <c:v>6.6</c:v>
                </c:pt>
                <c:pt idx="874">
                  <c:v>95.69</c:v>
                </c:pt>
                <c:pt idx="875">
                  <c:v>228.52</c:v>
                </c:pt>
                <c:pt idx="876">
                  <c:v>62.81</c:v>
                </c:pt>
                <c:pt idx="877">
                  <c:v>232.85</c:v>
                </c:pt>
                <c:pt idx="878">
                  <c:v>374.37</c:v>
                </c:pt>
                <c:pt idx="879">
                  <c:v>16.34</c:v>
                </c:pt>
                <c:pt idx="880">
                  <c:v>3.37</c:v>
                </c:pt>
                <c:pt idx="881">
                  <c:v>1.92</c:v>
                </c:pt>
                <c:pt idx="882">
                  <c:v>78.43</c:v>
                </c:pt>
                <c:pt idx="883">
                  <c:v>8.16</c:v>
                </c:pt>
                <c:pt idx="884">
                  <c:v>83.24</c:v>
                </c:pt>
                <c:pt idx="885">
                  <c:v>171.29</c:v>
                </c:pt>
                <c:pt idx="886">
                  <c:v>72.98</c:v>
                </c:pt>
                <c:pt idx="887">
                  <c:v>132.31</c:v>
                </c:pt>
                <c:pt idx="888">
                  <c:v>2.99</c:v>
                </c:pt>
                <c:pt idx="889">
                  <c:v>4.84</c:v>
                </c:pt>
                <c:pt idx="890">
                  <c:v>3.04</c:v>
                </c:pt>
                <c:pt idx="891">
                  <c:v>83.76</c:v>
                </c:pt>
                <c:pt idx="892">
                  <c:v>166.22</c:v>
                </c:pt>
                <c:pt idx="893">
                  <c:v>160.65</c:v>
                </c:pt>
                <c:pt idx="894">
                  <c:v>158.78</c:v>
                </c:pt>
                <c:pt idx="895">
                  <c:v>7.2</c:v>
                </c:pt>
                <c:pt idx="896">
                  <c:v>655.27</c:v>
                </c:pt>
                <c:pt idx="897">
                  <c:v>66.22</c:v>
                </c:pt>
                <c:pt idx="898">
                  <c:v>285.42</c:v>
                </c:pt>
                <c:pt idx="899">
                  <c:v>146.52</c:v>
                </c:pt>
                <c:pt idx="900">
                  <c:v>142.16</c:v>
                </c:pt>
                <c:pt idx="901">
                  <c:v>8.81</c:v>
                </c:pt>
                <c:pt idx="902">
                  <c:v>12.15</c:v>
                </c:pt>
                <c:pt idx="903">
                  <c:v>21.67</c:v>
                </c:pt>
                <c:pt idx="904">
                  <c:v>811.25</c:v>
                </c:pt>
                <c:pt idx="905">
                  <c:v>34.22</c:v>
                </c:pt>
                <c:pt idx="906">
                  <c:v>147.61</c:v>
                </c:pt>
                <c:pt idx="907">
                  <c:v>26.47</c:v>
                </c:pt>
                <c:pt idx="908">
                  <c:v>1.77</c:v>
                </c:pt>
                <c:pt idx="909">
                  <c:v>33.79</c:v>
                </c:pt>
                <c:pt idx="910">
                  <c:v>76.18</c:v>
                </c:pt>
                <c:pt idx="911">
                  <c:v>113.84</c:v>
                </c:pt>
                <c:pt idx="912">
                  <c:v>78.17</c:v>
                </c:pt>
                <c:pt idx="913">
                  <c:v>11.63</c:v>
                </c:pt>
                <c:pt idx="914">
                  <c:v>93.8</c:v>
                </c:pt>
                <c:pt idx="915">
                  <c:v>7.44</c:v>
                </c:pt>
                <c:pt idx="916">
                  <c:v>174.46</c:v>
                </c:pt>
                <c:pt idx="917">
                  <c:v>3.75</c:v>
                </c:pt>
                <c:pt idx="918">
                  <c:v>221.37</c:v>
                </c:pt>
                <c:pt idx="919">
                  <c:v>753.31</c:v>
                </c:pt>
                <c:pt idx="920">
                  <c:v>127.02</c:v>
                </c:pt>
                <c:pt idx="921">
                  <c:v>62.81</c:v>
                </c:pt>
                <c:pt idx="922">
                  <c:v>4.85</c:v>
                </c:pt>
                <c:pt idx="923">
                  <c:v>17.81</c:v>
                </c:pt>
                <c:pt idx="924">
                  <c:v>66.61</c:v>
                </c:pt>
                <c:pt idx="925">
                  <c:v>4.19</c:v>
                </c:pt>
                <c:pt idx="926">
                  <c:v>3.1</c:v>
                </c:pt>
                <c:pt idx="927">
                  <c:v>6.32</c:v>
                </c:pt>
                <c:pt idx="928">
                  <c:v>14.01</c:v>
                </c:pt>
                <c:pt idx="929">
                  <c:v>38.5</c:v>
                </c:pt>
                <c:pt idx="930">
                  <c:v>17.57</c:v>
                </c:pt>
                <c:pt idx="931">
                  <c:v>23.82</c:v>
                </c:pt>
                <c:pt idx="932">
                  <c:v>2.17</c:v>
                </c:pt>
                <c:pt idx="933">
                  <c:v>5.99</c:v>
                </c:pt>
                <c:pt idx="934">
                  <c:v>217.07</c:v>
                </c:pt>
                <c:pt idx="935">
                  <c:v>503.23</c:v>
                </c:pt>
                <c:pt idx="936">
                  <c:v>92.84</c:v>
                </c:pt>
                <c:pt idx="937">
                  <c:v>53.64</c:v>
                </c:pt>
                <c:pt idx="938">
                  <c:v>136.35</c:v>
                </c:pt>
                <c:pt idx="939">
                  <c:v>6.01</c:v>
                </c:pt>
                <c:pt idx="940">
                  <c:v>121.02</c:v>
                </c:pt>
                <c:pt idx="941">
                  <c:v>21.85</c:v>
                </c:pt>
                <c:pt idx="942">
                  <c:v>95.4</c:v>
                </c:pt>
                <c:pt idx="943">
                  <c:v>11</c:v>
                </c:pt>
                <c:pt idx="944">
                  <c:v>5.88</c:v>
                </c:pt>
                <c:pt idx="945">
                  <c:v>117.51</c:v>
                </c:pt>
                <c:pt idx="946">
                  <c:v>3.26</c:v>
                </c:pt>
                <c:pt idx="947">
                  <c:v>70.35</c:v>
                </c:pt>
                <c:pt idx="948">
                  <c:v>20.72</c:v>
                </c:pt>
                <c:pt idx="949">
                  <c:v>76.7</c:v>
                </c:pt>
                <c:pt idx="950">
                  <c:v>7.26</c:v>
                </c:pt>
                <c:pt idx="951">
                  <c:v>20.66</c:v>
                </c:pt>
                <c:pt idx="952">
                  <c:v>1253.88</c:v>
                </c:pt>
                <c:pt idx="953">
                  <c:v>382.97</c:v>
                </c:pt>
                <c:pt idx="954">
                  <c:v>1.62</c:v>
                </c:pt>
                <c:pt idx="955">
                  <c:v>581.12</c:v>
                </c:pt>
                <c:pt idx="956">
                  <c:v>9.9</c:v>
                </c:pt>
                <c:pt idx="957">
                  <c:v>24.6</c:v>
                </c:pt>
                <c:pt idx="958">
                  <c:v>23.33</c:v>
                </c:pt>
                <c:pt idx="959">
                  <c:v>293.06</c:v>
                </c:pt>
                <c:pt idx="960">
                  <c:v>14.34</c:v>
                </c:pt>
                <c:pt idx="961">
                  <c:v>62.15</c:v>
                </c:pt>
                <c:pt idx="962">
                  <c:v>80.84</c:v>
                </c:pt>
                <c:pt idx="963">
                  <c:v>119.74</c:v>
                </c:pt>
                <c:pt idx="964">
                  <c:v>65.75</c:v>
                </c:pt>
                <c:pt idx="965">
                  <c:v>42.98</c:v>
                </c:pt>
                <c:pt idx="966">
                  <c:v>3</c:v>
                </c:pt>
                <c:pt idx="967">
                  <c:v>107.04</c:v>
                </c:pt>
                <c:pt idx="968">
                  <c:v>80.12</c:v>
                </c:pt>
                <c:pt idx="969">
                  <c:v>113.25</c:v>
                </c:pt>
                <c:pt idx="970">
                  <c:v>113.9</c:v>
                </c:pt>
                <c:pt idx="971">
                  <c:v>19.69</c:v>
                </c:pt>
                <c:pt idx="972">
                  <c:v>12.85</c:v>
                </c:pt>
                <c:pt idx="973">
                  <c:v>81.98</c:v>
                </c:pt>
                <c:pt idx="974">
                  <c:v>16.82</c:v>
                </c:pt>
                <c:pt idx="975">
                  <c:v>568.06</c:v>
                </c:pt>
                <c:pt idx="976">
                  <c:v>6.37</c:v>
                </c:pt>
                <c:pt idx="977">
                  <c:v>270.31</c:v>
                </c:pt>
                <c:pt idx="978">
                  <c:v>51.29</c:v>
                </c:pt>
                <c:pt idx="979">
                  <c:v>8.67</c:v>
                </c:pt>
                <c:pt idx="980">
                  <c:v>37.49</c:v>
                </c:pt>
                <c:pt idx="981">
                  <c:v>76.86</c:v>
                </c:pt>
                <c:pt idx="982">
                  <c:v>41.32</c:v>
                </c:pt>
                <c:pt idx="983">
                  <c:v>62.54</c:v>
                </c:pt>
                <c:pt idx="984">
                  <c:v>168.23</c:v>
                </c:pt>
                <c:pt idx="985">
                  <c:v>22.4</c:v>
                </c:pt>
                <c:pt idx="986">
                  <c:v>305.96</c:v>
                </c:pt>
                <c:pt idx="987">
                  <c:v>16.27</c:v>
                </c:pt>
                <c:pt idx="988">
                  <c:v>21.67</c:v>
                </c:pt>
                <c:pt idx="989">
                  <c:v>73.65</c:v>
                </c:pt>
                <c:pt idx="990">
                  <c:v>82.27</c:v>
                </c:pt>
                <c:pt idx="991">
                  <c:v>7.36</c:v>
                </c:pt>
                <c:pt idx="992">
                  <c:v>327.23</c:v>
                </c:pt>
                <c:pt idx="993">
                  <c:v>92.88</c:v>
                </c:pt>
                <c:pt idx="994">
                  <c:v>925.06</c:v>
                </c:pt>
                <c:pt idx="995">
                  <c:v>1.98</c:v>
                </c:pt>
                <c:pt idx="996">
                  <c:v>176.35</c:v>
                </c:pt>
                <c:pt idx="997">
                  <c:v>7.4</c:v>
                </c:pt>
                <c:pt idx="998">
                  <c:v>101</c:v>
                </c:pt>
                <c:pt idx="999">
                  <c:v>7.89</c:v>
                </c:pt>
              </c:numCache>
            </c:numRef>
          </c:yVal>
          <c:smooth val="1"/>
        </c:ser>
        <c:axId val="872424"/>
        <c:axId val="68871903"/>
      </c:scatterChart>
      <c:valAx>
        <c:axId val="8724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desconto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71903"/>
        <c:crosses val="autoZero"/>
        <c:crossBetween val="midCat"/>
      </c:valAx>
      <c:valAx>
        <c:axId val="68871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da venda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42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17</xdr:col>
      <xdr:colOff>4320</xdr:colOff>
      <xdr:row>15</xdr:row>
      <xdr:rowOff>96120</xdr:rowOff>
    </xdr:to>
    <xdr:graphicFrame>
      <xdr:nvGraphicFramePr>
        <xdr:cNvPr id="0" name="Chart 1"/>
        <xdr:cNvGraphicFramePr/>
      </xdr:nvGraphicFramePr>
      <xdr:xfrm>
        <a:off x="599112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130680</xdr:rowOff>
    </xdr:from>
    <xdr:to>
      <xdr:col>17</xdr:col>
      <xdr:colOff>4320</xdr:colOff>
      <xdr:row>41</xdr:row>
      <xdr:rowOff>173880</xdr:rowOff>
    </xdr:to>
    <xdr:graphicFrame>
      <xdr:nvGraphicFramePr>
        <xdr:cNvPr id="1" name="Chart 2"/>
        <xdr:cNvGraphicFramePr/>
      </xdr:nvGraphicFramePr>
      <xdr:xfrm>
        <a:off x="5991120" y="6153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54</xdr:row>
      <xdr:rowOff>18360</xdr:rowOff>
    </xdr:from>
    <xdr:to>
      <xdr:col>17</xdr:col>
      <xdr:colOff>4320</xdr:colOff>
      <xdr:row>66</xdr:row>
      <xdr:rowOff>173880</xdr:rowOff>
    </xdr:to>
    <xdr:graphicFrame>
      <xdr:nvGraphicFramePr>
        <xdr:cNvPr id="2" name="Chart 3"/>
        <xdr:cNvGraphicFramePr/>
      </xdr:nvGraphicFramePr>
      <xdr:xfrm>
        <a:off x="5991120" y="11353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78</xdr:row>
      <xdr:rowOff>18360</xdr:rowOff>
    </xdr:from>
    <xdr:to>
      <xdr:col>17</xdr:col>
      <xdr:colOff>4320</xdr:colOff>
      <xdr:row>90</xdr:row>
      <xdr:rowOff>40320</xdr:rowOff>
    </xdr:to>
    <xdr:graphicFrame>
      <xdr:nvGraphicFramePr>
        <xdr:cNvPr id="3" name="Chart 4"/>
        <xdr:cNvGraphicFramePr/>
      </xdr:nvGraphicFramePr>
      <xdr:xfrm>
        <a:off x="5991120" y="163638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4320</xdr:colOff>
      <xdr:row>15</xdr:row>
      <xdr:rowOff>96120</xdr:rowOff>
    </xdr:to>
    <xdr:graphicFrame>
      <xdr:nvGraphicFramePr>
        <xdr:cNvPr id="4" name="Chart 1"/>
        <xdr:cNvGraphicFramePr/>
      </xdr:nvGraphicFramePr>
      <xdr:xfrm>
        <a:off x="815328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130680</xdr:rowOff>
    </xdr:from>
    <xdr:to>
      <xdr:col>19</xdr:col>
      <xdr:colOff>4320</xdr:colOff>
      <xdr:row>34</xdr:row>
      <xdr:rowOff>173880</xdr:rowOff>
    </xdr:to>
    <xdr:graphicFrame>
      <xdr:nvGraphicFramePr>
        <xdr:cNvPr id="5" name="Chart 2"/>
        <xdr:cNvGraphicFramePr/>
      </xdr:nvGraphicFramePr>
      <xdr:xfrm>
        <a:off x="8153280" y="4819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43</xdr:row>
      <xdr:rowOff>18360</xdr:rowOff>
    </xdr:from>
    <xdr:to>
      <xdr:col>19</xdr:col>
      <xdr:colOff>4320</xdr:colOff>
      <xdr:row>55</xdr:row>
      <xdr:rowOff>173880</xdr:rowOff>
    </xdr:to>
    <xdr:graphicFrame>
      <xdr:nvGraphicFramePr>
        <xdr:cNvPr id="6" name="Chart 3"/>
        <xdr:cNvGraphicFramePr/>
      </xdr:nvGraphicFramePr>
      <xdr:xfrm>
        <a:off x="8153280" y="939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64</xdr:row>
      <xdr:rowOff>18360</xdr:rowOff>
    </xdr:from>
    <xdr:to>
      <xdr:col>19</xdr:col>
      <xdr:colOff>4320</xdr:colOff>
      <xdr:row>76</xdr:row>
      <xdr:rowOff>173880</xdr:rowOff>
    </xdr:to>
    <xdr:graphicFrame>
      <xdr:nvGraphicFramePr>
        <xdr:cNvPr id="7" name="Chart 4"/>
        <xdr:cNvGraphicFramePr/>
      </xdr:nvGraphicFramePr>
      <xdr:xfrm>
        <a:off x="8153280" y="13963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17</xdr:col>
      <xdr:colOff>507600</xdr:colOff>
      <xdr:row>15</xdr:row>
      <xdr:rowOff>96120</xdr:rowOff>
    </xdr:to>
    <xdr:graphicFrame>
      <xdr:nvGraphicFramePr>
        <xdr:cNvPr id="8" name="Chart 1"/>
        <xdr:cNvGraphicFramePr/>
      </xdr:nvGraphicFramePr>
      <xdr:xfrm>
        <a:off x="822384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131040</xdr:rowOff>
    </xdr:from>
    <xdr:to>
      <xdr:col>19</xdr:col>
      <xdr:colOff>4680</xdr:colOff>
      <xdr:row>33</xdr:row>
      <xdr:rowOff>96120</xdr:rowOff>
    </xdr:to>
    <xdr:graphicFrame>
      <xdr:nvGraphicFramePr>
        <xdr:cNvPr id="9" name="Chart 2"/>
        <xdr:cNvGraphicFramePr/>
      </xdr:nvGraphicFramePr>
      <xdr:xfrm>
        <a:off x="8223840" y="44388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4680</xdr:colOff>
      <xdr:row>18</xdr:row>
      <xdr:rowOff>132120</xdr:rowOff>
    </xdr:to>
    <xdr:graphicFrame>
      <xdr:nvGraphicFramePr>
        <xdr:cNvPr id="10" name="Chart 1"/>
        <xdr:cNvGraphicFramePr/>
      </xdr:nvGraphicFramePr>
      <xdr:xfrm>
        <a:off x="7307640" y="5716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48</xdr:row>
      <xdr:rowOff>18360</xdr:rowOff>
    </xdr:from>
    <xdr:to>
      <xdr:col>19</xdr:col>
      <xdr:colOff>4680</xdr:colOff>
      <xdr:row>64</xdr:row>
      <xdr:rowOff>19440</xdr:rowOff>
    </xdr:to>
    <xdr:graphicFrame>
      <xdr:nvGraphicFramePr>
        <xdr:cNvPr id="11" name="Chart 2"/>
        <xdr:cNvGraphicFramePr/>
      </xdr:nvGraphicFramePr>
      <xdr:xfrm>
        <a:off x="7307640" y="103442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17</xdr:col>
      <xdr:colOff>4680</xdr:colOff>
      <xdr:row>15</xdr:row>
      <xdr:rowOff>96120</xdr:rowOff>
    </xdr:to>
    <xdr:graphicFrame>
      <xdr:nvGraphicFramePr>
        <xdr:cNvPr id="12" name="Chart 1"/>
        <xdr:cNvGraphicFramePr/>
      </xdr:nvGraphicFramePr>
      <xdr:xfrm>
        <a:off x="773064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130680</xdr:rowOff>
    </xdr:from>
    <xdr:to>
      <xdr:col>17</xdr:col>
      <xdr:colOff>4680</xdr:colOff>
      <xdr:row>50</xdr:row>
      <xdr:rowOff>32760</xdr:rowOff>
    </xdr:to>
    <xdr:graphicFrame>
      <xdr:nvGraphicFramePr>
        <xdr:cNvPr id="13" name="Chart 2"/>
        <xdr:cNvGraphicFramePr/>
      </xdr:nvGraphicFramePr>
      <xdr:xfrm>
        <a:off x="7730640" y="65340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63</xdr:row>
      <xdr:rowOff>131040</xdr:rowOff>
    </xdr:from>
    <xdr:to>
      <xdr:col>17</xdr:col>
      <xdr:colOff>4680</xdr:colOff>
      <xdr:row>75</xdr:row>
      <xdr:rowOff>173880</xdr:rowOff>
    </xdr:to>
    <xdr:graphicFrame>
      <xdr:nvGraphicFramePr>
        <xdr:cNvPr id="14" name="Chart 3"/>
        <xdr:cNvGraphicFramePr/>
      </xdr:nvGraphicFramePr>
      <xdr:xfrm>
        <a:off x="7730640" y="130683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81</xdr:row>
      <xdr:rowOff>151560</xdr:rowOff>
    </xdr:from>
    <xdr:to>
      <xdr:col>17</xdr:col>
      <xdr:colOff>4680</xdr:colOff>
      <xdr:row>96</xdr:row>
      <xdr:rowOff>40320</xdr:rowOff>
    </xdr:to>
    <xdr:graphicFrame>
      <xdr:nvGraphicFramePr>
        <xdr:cNvPr id="15" name="Chart 4"/>
        <xdr:cNvGraphicFramePr/>
      </xdr:nvGraphicFramePr>
      <xdr:xfrm>
        <a:off x="7730640" y="17068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4320</xdr:colOff>
      <xdr:row>15</xdr:row>
      <xdr:rowOff>96120</xdr:rowOff>
    </xdr:to>
    <xdr:graphicFrame>
      <xdr:nvGraphicFramePr>
        <xdr:cNvPr id="16" name="Chart 1"/>
        <xdr:cNvGraphicFramePr/>
      </xdr:nvGraphicFramePr>
      <xdr:xfrm>
        <a:off x="815328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49</xdr:row>
      <xdr:rowOff>18360</xdr:rowOff>
    </xdr:from>
    <xdr:to>
      <xdr:col>19</xdr:col>
      <xdr:colOff>4320</xdr:colOff>
      <xdr:row>61</xdr:row>
      <xdr:rowOff>173880</xdr:rowOff>
    </xdr:to>
    <xdr:graphicFrame>
      <xdr:nvGraphicFramePr>
        <xdr:cNvPr id="17" name="Chart 2"/>
        <xdr:cNvGraphicFramePr/>
      </xdr:nvGraphicFramePr>
      <xdr:xfrm>
        <a:off x="8153280" y="10534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Vendas" displayName="tbVendas" ref="A1:Q1001" headerRowCount="1" totalsRowCount="0" totalsRowShown="0">
  <autoFilter ref="A1:Q1001"/>
  <tableColumns count="17">
    <tableColumn id="1" name="id_venda"/>
    <tableColumn id="2" name="data"/>
    <tableColumn id="3" name="mes"/>
    <tableColumn id="4" name="ano"/>
    <tableColumn id="5" name="dia"/>
    <tableColumn id="6" name="dia_semana"/>
    <tableColumn id="7" name="cliente"/>
    <tableColumn id="8" name="categoria"/>
    <tableColumn id="9" name="canal"/>
    <tableColumn id="10" name="uf"/>
    <tableColumn id="11" name="quantidade"/>
    <tableColumn id="12" name="preco_unit"/>
    <tableColumn id="13" name="desconto_pct"/>
    <tableColumn id="14" name="valor_total"/>
    <tableColumn id="15" name="preco_origem"/>
    <tableColumn id="16" name="desconto_origem"/>
    <tableColumn id="17" name="valor_orige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B4" s="3" t="s">
        <v>2</v>
      </c>
      <c r="C4" s="4" t="s">
        <v>3</v>
      </c>
      <c r="D4" s="4"/>
      <c r="E4" s="4"/>
      <c r="F4" s="4"/>
    </row>
    <row r="5" customFormat="false" ht="42" hidden="false" customHeight="true" outlineLevel="0" collapsed="false">
      <c r="B5" s="3" t="s">
        <v>4</v>
      </c>
      <c r="C5" s="4" t="s">
        <v>5</v>
      </c>
      <c r="D5" s="4"/>
      <c r="E5" s="4"/>
      <c r="F5" s="4"/>
    </row>
    <row r="6" customFormat="false" ht="42" hidden="false" customHeight="true" outlineLevel="0" collapsed="false">
      <c r="B6" s="3" t="s">
        <v>6</v>
      </c>
      <c r="C6" s="4" t="s">
        <v>7</v>
      </c>
      <c r="D6" s="4"/>
      <c r="E6" s="4"/>
      <c r="F6" s="4"/>
    </row>
    <row r="7" customFormat="false" ht="42" hidden="false" customHeight="true" outlineLevel="0" collapsed="false">
      <c r="B7" s="3" t="s">
        <v>8</v>
      </c>
      <c r="C7" s="4" t="s">
        <v>9</v>
      </c>
      <c r="D7" s="4"/>
      <c r="E7" s="4"/>
      <c r="F7" s="4"/>
    </row>
    <row r="8" customFormat="false" ht="42" hidden="false" customHeight="true" outlineLevel="0" collapsed="false">
      <c r="B8" s="3" t="s">
        <v>10</v>
      </c>
      <c r="C8" s="4" t="s">
        <v>11</v>
      </c>
      <c r="D8" s="4"/>
      <c r="E8" s="4"/>
      <c r="F8" s="4"/>
    </row>
    <row r="10" customFormat="false" ht="15" hidden="false" customHeight="false" outlineLevel="0" collapsed="false">
      <c r="B10" s="5" t="s">
        <v>12</v>
      </c>
    </row>
    <row r="11" customFormat="false" ht="15" hidden="false" customHeight="false" outlineLevel="0" collapsed="false">
      <c r="B11" s="6" t="s">
        <v>13</v>
      </c>
      <c r="C11" s="7" t="s">
        <v>14</v>
      </c>
      <c r="D11" s="7"/>
      <c r="E11" s="7"/>
      <c r="F11" s="7"/>
    </row>
    <row r="12" customFormat="false" ht="15" hidden="false" customHeight="false" outlineLevel="0" collapsed="false">
      <c r="B12" s="8" t="s">
        <v>15</v>
      </c>
      <c r="C12" s="7" t="s">
        <v>16</v>
      </c>
      <c r="D12" s="7"/>
      <c r="E12" s="7"/>
      <c r="F12" s="7"/>
    </row>
    <row r="13" customFormat="false" ht="15" hidden="false" customHeight="false" outlineLevel="0" collapsed="false">
      <c r="B13" s="9" t="s">
        <v>17</v>
      </c>
      <c r="C13" s="7" t="s">
        <v>18</v>
      </c>
      <c r="D13" s="7"/>
      <c r="E13" s="7"/>
      <c r="F13" s="7"/>
    </row>
    <row r="14" customFormat="false" ht="15" hidden="false" customHeight="false" outlineLevel="0" collapsed="false">
      <c r="B14" s="10" t="s">
        <v>19</v>
      </c>
      <c r="C14" s="7" t="s">
        <v>20</v>
      </c>
      <c r="D14" s="7"/>
      <c r="E14" s="7"/>
      <c r="F14" s="7"/>
    </row>
    <row r="15" customFormat="false" ht="30" hidden="false" customHeight="true" outlineLevel="0" collapsed="false">
      <c r="B15" s="11" t="s">
        <v>21</v>
      </c>
      <c r="C15" s="12" t="s">
        <v>22</v>
      </c>
      <c r="D15" s="12"/>
      <c r="E15" s="12"/>
      <c r="F15" s="12"/>
    </row>
    <row r="17" customFormat="false" ht="15" hidden="false" customHeight="false" outlineLevel="0" collapsed="false">
      <c r="B17" s="13" t="s">
        <v>23</v>
      </c>
    </row>
    <row r="18" customFormat="false" ht="15" hidden="false" customHeight="false" outlineLevel="0" collapsed="false">
      <c r="A18" s="14" t="s">
        <v>24</v>
      </c>
      <c r="B18" s="14" t="s">
        <v>25</v>
      </c>
      <c r="C18" s="14" t="s">
        <v>26</v>
      </c>
      <c r="D18" s="14" t="s">
        <v>27</v>
      </c>
      <c r="E18" s="14" t="s">
        <v>28</v>
      </c>
      <c r="F18" s="14" t="s">
        <v>29</v>
      </c>
    </row>
    <row r="19" customFormat="false" ht="15" hidden="false" customHeight="false" outlineLevel="0" collapsed="false">
      <c r="A19" s="15" t="n">
        <v>1</v>
      </c>
      <c r="B19" s="10" t="s">
        <v>30</v>
      </c>
      <c r="C19" s="16" t="s">
        <v>31</v>
      </c>
      <c r="D19" s="17" t="s">
        <v>32</v>
      </c>
      <c r="E19" s="10" t="s">
        <v>33</v>
      </c>
      <c r="F19" s="6" t="s">
        <v>34</v>
      </c>
    </row>
    <row r="20" customFormat="false" ht="15" hidden="false" customHeight="false" outlineLevel="0" collapsed="false">
      <c r="A20" s="15" t="n">
        <v>2</v>
      </c>
      <c r="B20" s="10" t="s">
        <v>30</v>
      </c>
      <c r="C20" s="16" t="s">
        <v>35</v>
      </c>
      <c r="D20" s="17" t="s">
        <v>32</v>
      </c>
      <c r="E20" s="10" t="s">
        <v>36</v>
      </c>
      <c r="F20" s="6" t="s">
        <v>34</v>
      </c>
    </row>
    <row r="21" customFormat="false" ht="15" hidden="false" customHeight="false" outlineLevel="0" collapsed="false">
      <c r="A21" s="15" t="n">
        <v>3</v>
      </c>
      <c r="B21" s="10" t="s">
        <v>30</v>
      </c>
      <c r="C21" s="16" t="s">
        <v>37</v>
      </c>
      <c r="D21" s="17" t="s">
        <v>32</v>
      </c>
      <c r="E21" s="10" t="s">
        <v>33</v>
      </c>
      <c r="F21" s="6" t="s">
        <v>34</v>
      </c>
    </row>
    <row r="22" customFormat="false" ht="15" hidden="false" customHeight="false" outlineLevel="0" collapsed="false">
      <c r="A22" s="15" t="n">
        <v>4</v>
      </c>
      <c r="B22" s="10" t="s">
        <v>30</v>
      </c>
      <c r="C22" s="16" t="s">
        <v>38</v>
      </c>
      <c r="D22" s="17" t="s">
        <v>32</v>
      </c>
      <c r="E22" s="10" t="s">
        <v>39</v>
      </c>
      <c r="F22" s="6" t="s">
        <v>34</v>
      </c>
    </row>
    <row r="23" customFormat="false" ht="15" hidden="false" customHeight="false" outlineLevel="0" collapsed="false">
      <c r="A23" s="15" t="n">
        <v>5</v>
      </c>
      <c r="B23" s="10" t="s">
        <v>40</v>
      </c>
      <c r="C23" s="16" t="s">
        <v>41</v>
      </c>
      <c r="D23" s="17" t="s">
        <v>42</v>
      </c>
      <c r="E23" s="10" t="s">
        <v>43</v>
      </c>
      <c r="F23" s="6" t="s">
        <v>34</v>
      </c>
    </row>
    <row r="24" customFormat="false" ht="15" hidden="false" customHeight="false" outlineLevel="0" collapsed="false">
      <c r="A24" s="15" t="n">
        <v>6</v>
      </c>
      <c r="B24" s="10" t="s">
        <v>40</v>
      </c>
      <c r="C24" s="16" t="s">
        <v>44</v>
      </c>
      <c r="D24" s="17" t="s">
        <v>42</v>
      </c>
      <c r="E24" s="10" t="s">
        <v>45</v>
      </c>
      <c r="F24" s="6" t="s">
        <v>34</v>
      </c>
    </row>
    <row r="25" customFormat="false" ht="15" hidden="false" customHeight="false" outlineLevel="0" collapsed="false">
      <c r="A25" s="15" t="n">
        <v>7</v>
      </c>
      <c r="B25" s="10" t="s">
        <v>40</v>
      </c>
      <c r="C25" s="16" t="s">
        <v>46</v>
      </c>
      <c r="D25" s="17" t="s">
        <v>42</v>
      </c>
      <c r="E25" s="10" t="s">
        <v>47</v>
      </c>
      <c r="F25" s="6" t="s">
        <v>34</v>
      </c>
    </row>
    <row r="26" customFormat="false" ht="15" hidden="false" customHeight="false" outlineLevel="0" collapsed="false">
      <c r="A26" s="15" t="n">
        <v>8</v>
      </c>
      <c r="B26" s="10" t="s">
        <v>40</v>
      </c>
      <c r="C26" s="16" t="s">
        <v>48</v>
      </c>
      <c r="D26" s="17" t="s">
        <v>42</v>
      </c>
      <c r="E26" s="10" t="s">
        <v>49</v>
      </c>
      <c r="F26" s="6" t="s">
        <v>34</v>
      </c>
    </row>
    <row r="27" customFormat="false" ht="15" hidden="false" customHeight="false" outlineLevel="0" collapsed="false">
      <c r="A27" s="15" t="n">
        <v>9</v>
      </c>
      <c r="B27" s="10" t="s">
        <v>50</v>
      </c>
      <c r="C27" s="16" t="s">
        <v>51</v>
      </c>
      <c r="D27" s="17" t="s">
        <v>52</v>
      </c>
      <c r="E27" s="10" t="s">
        <v>53</v>
      </c>
      <c r="F27" s="6" t="s">
        <v>34</v>
      </c>
    </row>
    <row r="28" customFormat="false" ht="15" hidden="false" customHeight="false" outlineLevel="0" collapsed="false">
      <c r="A28" s="15" t="n">
        <v>10</v>
      </c>
      <c r="B28" s="10" t="s">
        <v>50</v>
      </c>
      <c r="C28" s="16" t="s">
        <v>54</v>
      </c>
      <c r="D28" s="17" t="s">
        <v>52</v>
      </c>
      <c r="E28" s="10" t="s">
        <v>43</v>
      </c>
      <c r="F28" s="6" t="s">
        <v>34</v>
      </c>
    </row>
    <row r="29" customFormat="false" ht="15" hidden="false" customHeight="false" outlineLevel="0" collapsed="false">
      <c r="A29" s="15" t="n">
        <v>11</v>
      </c>
      <c r="B29" s="10" t="s">
        <v>50</v>
      </c>
      <c r="C29" s="16" t="s">
        <v>55</v>
      </c>
      <c r="D29" s="17" t="s">
        <v>52</v>
      </c>
      <c r="E29" s="10" t="s">
        <v>56</v>
      </c>
      <c r="F29" s="6" t="s">
        <v>34</v>
      </c>
    </row>
    <row r="30" customFormat="false" ht="15" hidden="false" customHeight="false" outlineLevel="0" collapsed="false">
      <c r="A30" s="15" t="n">
        <v>12</v>
      </c>
      <c r="B30" s="10" t="s">
        <v>57</v>
      </c>
      <c r="C30" s="16" t="s">
        <v>58</v>
      </c>
      <c r="D30" s="17" t="s">
        <v>59</v>
      </c>
      <c r="E30" s="10" t="s">
        <v>60</v>
      </c>
      <c r="F30" s="6" t="s">
        <v>34</v>
      </c>
    </row>
    <row r="31" customFormat="false" ht="15" hidden="false" customHeight="false" outlineLevel="0" collapsed="false">
      <c r="A31" s="15" t="n">
        <v>13</v>
      </c>
      <c r="B31" s="10" t="s">
        <v>57</v>
      </c>
      <c r="C31" s="16" t="s">
        <v>61</v>
      </c>
      <c r="D31" s="17" t="s">
        <v>59</v>
      </c>
      <c r="E31" s="10" t="s">
        <v>62</v>
      </c>
      <c r="F31" s="6" t="s">
        <v>34</v>
      </c>
    </row>
    <row r="32" customFormat="false" ht="15" hidden="false" customHeight="false" outlineLevel="0" collapsed="false">
      <c r="A32" s="15" t="n">
        <v>14</v>
      </c>
      <c r="B32" s="10" t="s">
        <v>57</v>
      </c>
      <c r="C32" s="16" t="s">
        <v>63</v>
      </c>
      <c r="D32" s="17" t="s">
        <v>59</v>
      </c>
      <c r="E32" s="10" t="s">
        <v>64</v>
      </c>
      <c r="F32" s="6" t="s">
        <v>34</v>
      </c>
    </row>
    <row r="33" customFormat="false" ht="15" hidden="false" customHeight="false" outlineLevel="0" collapsed="false">
      <c r="A33" s="15" t="n">
        <v>15</v>
      </c>
      <c r="B33" s="10" t="s">
        <v>65</v>
      </c>
      <c r="C33" s="16" t="s">
        <v>66</v>
      </c>
      <c r="D33" s="17" t="s">
        <v>67</v>
      </c>
      <c r="E33" s="10" t="s">
        <v>68</v>
      </c>
      <c r="F33" s="6" t="s">
        <v>34</v>
      </c>
    </row>
    <row r="34" customFormat="false" ht="15" hidden="false" customHeight="false" outlineLevel="0" collapsed="false">
      <c r="A34" s="15" t="n">
        <v>16</v>
      </c>
      <c r="B34" s="10" t="s">
        <v>65</v>
      </c>
      <c r="C34" s="16" t="s">
        <v>69</v>
      </c>
      <c r="D34" s="17" t="s">
        <v>67</v>
      </c>
      <c r="E34" s="10" t="s">
        <v>43</v>
      </c>
      <c r="F34" s="6" t="s">
        <v>34</v>
      </c>
    </row>
    <row r="35" customFormat="false" ht="15" hidden="false" customHeight="false" outlineLevel="0" collapsed="false">
      <c r="A35" s="15" t="n">
        <v>17</v>
      </c>
      <c r="B35" s="10" t="s">
        <v>65</v>
      </c>
      <c r="C35" s="16" t="s">
        <v>70</v>
      </c>
      <c r="D35" s="17" t="s">
        <v>67</v>
      </c>
      <c r="E35" s="10" t="s">
        <v>71</v>
      </c>
      <c r="F35" s="6" t="s">
        <v>34</v>
      </c>
    </row>
    <row r="36" customFormat="false" ht="15" hidden="false" customHeight="false" outlineLevel="0" collapsed="false">
      <c r="A36" s="15" t="n">
        <v>18</v>
      </c>
      <c r="B36" s="10" t="s">
        <v>72</v>
      </c>
      <c r="C36" s="16" t="s">
        <v>73</v>
      </c>
      <c r="D36" s="17" t="s">
        <v>74</v>
      </c>
      <c r="E36" s="10" t="s">
        <v>68</v>
      </c>
      <c r="F36" s="6" t="s">
        <v>34</v>
      </c>
    </row>
    <row r="37" customFormat="false" ht="15" hidden="false" customHeight="false" outlineLevel="0" collapsed="false">
      <c r="A37" s="15" t="n">
        <v>19</v>
      </c>
      <c r="B37" s="10" t="s">
        <v>72</v>
      </c>
      <c r="C37" s="16" t="s">
        <v>75</v>
      </c>
      <c r="D37" s="17" t="s">
        <v>74</v>
      </c>
      <c r="E37" s="10" t="s">
        <v>56</v>
      </c>
      <c r="F37" s="6" t="s">
        <v>34</v>
      </c>
    </row>
    <row r="38" customFormat="false" ht="15" hidden="false" customHeight="false" outlineLevel="0" collapsed="false">
      <c r="A38" s="15" t="n">
        <v>20</v>
      </c>
      <c r="B38" s="10" t="s">
        <v>72</v>
      </c>
      <c r="C38" s="16" t="s">
        <v>76</v>
      </c>
      <c r="D38" s="17" t="s">
        <v>74</v>
      </c>
      <c r="E38" s="10" t="s">
        <v>77</v>
      </c>
      <c r="F38" s="6" t="s">
        <v>34</v>
      </c>
    </row>
    <row r="40" customFormat="false" ht="15" hidden="false" customHeight="false" outlineLevel="0" collapsed="false">
      <c r="B40" s="11" t="s">
        <v>78</v>
      </c>
    </row>
  </sheetData>
  <mergeCells count="10">
    <mergeCell ref="C4:F4"/>
    <mergeCell ref="C5:F5"/>
    <mergeCell ref="C6:F6"/>
    <mergeCell ref="C7:F7"/>
    <mergeCell ref="C8:F8"/>
    <mergeCell ref="C11:F11"/>
    <mergeCell ref="C12:F12"/>
    <mergeCell ref="C13:F13"/>
    <mergeCell ref="C14:F14"/>
    <mergeCell ref="C15:F15"/>
  </mergeCells>
  <dataValidations count="1">
    <dataValidation allowBlank="true" errorStyle="stop" operator="between" showDropDown="false" showErrorMessage="false" showInputMessage="false" sqref="F19:F38" type="list">
      <formula1>"A fazer,Em andamento,Concluído"</formula1>
      <formula2>0</formula2>
    </dataValidation>
  </dataValidations>
  <hyperlinks>
    <hyperlink ref="D19" location="'1_Receita'!A4" display="1_Receita →"/>
    <hyperlink ref="D20" location="'1_Receita'!A31" display="1_Receita →"/>
    <hyperlink ref="D21" location="'1_Receita'!A56" display="1_Receita →"/>
    <hyperlink ref="D22" location="'1_Receita'!A80" display="1_Receita →"/>
    <hyperlink ref="D23" location="'2_Categorias'!A4" display="2_Categorias →"/>
    <hyperlink ref="D24" location="'2_Categorias'!A24" display="2_Categorias →"/>
    <hyperlink ref="D25" location="'2_Categorias'!A45" display="2_Categorias →"/>
    <hyperlink ref="D26" location="'2_Categorias'!A66" display="2_Categorias →"/>
    <hyperlink ref="D27" location="'3_Canais'!A4" display="3_Canais →"/>
    <hyperlink ref="D28" location="'3_Canais'!A22" display="3_Canais →"/>
    <hyperlink ref="D29" location="'3_Canais'!A40" display="3_Canais →"/>
    <hyperlink ref="D30" location="'4_Geografia'!A4" display="4_Geografia →"/>
    <hyperlink ref="D31" location="'4_Geografia'!A36" display="4_Geografia →"/>
    <hyperlink ref="D32" location="'4_Geografia'!A50" display="4_Geografia →"/>
    <hyperlink ref="D33" location="'5_Clientes'!A4" display="5_Clientes →"/>
    <hyperlink ref="D34" location="'5_Clientes'!A33" display="5_Clientes →"/>
    <hyperlink ref="D35" location="'5_Clientes'!A65" display="5_Clientes →"/>
    <hyperlink ref="D36" location="'6_Desconto'!A4" display="6_Desconto →"/>
    <hyperlink ref="D37" location="'6_Desconto'!A31" display="6_Desconto →"/>
    <hyperlink ref="D38" location="'6_Desconto'!A51" display="6_Desconto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21.75" hidden="false" customHeight="true" outlineLevel="0" collapsed="false">
      <c r="A4" s="18" t="s">
        <v>81</v>
      </c>
      <c r="B4" s="18"/>
      <c r="C4" s="18"/>
      <c r="D4" s="18"/>
      <c r="E4" s="18"/>
      <c r="F4" s="18"/>
    </row>
    <row r="5" customFormat="false" ht="27.75" hidden="false" customHeight="true" outlineLevel="0" collapsed="false">
      <c r="A5" s="19" t="s">
        <v>82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12" t="s">
        <v>83</v>
      </c>
      <c r="B6" s="12"/>
      <c r="C6" s="12"/>
      <c r="D6" s="12"/>
      <c r="E6" s="12"/>
      <c r="F6" s="12"/>
    </row>
    <row r="8" customFormat="false" ht="15" hidden="false" customHeight="false" outlineLevel="0" collapsed="false">
      <c r="A8" s="14" t="s">
        <v>84</v>
      </c>
      <c r="B8" s="14" t="s">
        <v>85</v>
      </c>
      <c r="C8" s="14" t="s">
        <v>86</v>
      </c>
      <c r="D8" s="14" t="s">
        <v>87</v>
      </c>
      <c r="E8" s="14" t="s">
        <v>88</v>
      </c>
      <c r="F8" s="14" t="s">
        <v>89</v>
      </c>
    </row>
    <row r="9" customFormat="false" ht="15" hidden="false" customHeight="false" outlineLevel="0" collapsed="false">
      <c r="A9" s="10" t="n">
        <v>1</v>
      </c>
      <c r="B9" s="10" t="s">
        <v>90</v>
      </c>
      <c r="C9" s="20" t="n">
        <f aca="false">SUMIFS(v_valor,v_mes,A9)</f>
        <v>8995.65</v>
      </c>
      <c r="D9" s="21" t="n">
        <f aca="false">COUNTIFS(v_mes,A9)</f>
        <v>96</v>
      </c>
      <c r="E9" s="20" t="n">
        <f aca="false">IFERROR(C9/D9,0)</f>
        <v>93.7046875</v>
      </c>
      <c r="F9" s="22" t="n">
        <f aca="false">C9/$C$22-1</f>
        <v>-0.012772216804578</v>
      </c>
    </row>
    <row r="10" customFormat="false" ht="15" hidden="false" customHeight="false" outlineLevel="0" collapsed="false">
      <c r="A10" s="10" t="n">
        <v>2</v>
      </c>
      <c r="B10" s="10" t="s">
        <v>91</v>
      </c>
      <c r="C10" s="20" t="n">
        <f aca="false">SUMIFS(v_valor,v_mes,A10)</f>
        <v>7046.33</v>
      </c>
      <c r="D10" s="21" t="n">
        <f aca="false">COUNTIFS(v_mes,A10)</f>
        <v>71</v>
      </c>
      <c r="E10" s="20" t="n">
        <f aca="false">IFERROR(C10/D10,0)</f>
        <v>99.2440845070423</v>
      </c>
      <c r="F10" s="22" t="n">
        <f aca="false">C10/$C$22-1</f>
        <v>-0.226700377897829</v>
      </c>
    </row>
    <row r="11" customFormat="false" ht="15" hidden="false" customHeight="false" outlineLevel="0" collapsed="false">
      <c r="A11" s="10" t="n">
        <v>3</v>
      </c>
      <c r="B11" s="10" t="s">
        <v>92</v>
      </c>
      <c r="C11" s="20" t="n">
        <f aca="false">SUMIFS(v_valor,v_mes,A11)</f>
        <v>8135.14</v>
      </c>
      <c r="D11" s="21" t="n">
        <f aca="false">COUNTIFS(v_mes,A11)</f>
        <v>100</v>
      </c>
      <c r="E11" s="20" t="n">
        <f aca="false">IFERROR(C11/D11,0)</f>
        <v>81.3514</v>
      </c>
      <c r="F11" s="22" t="n">
        <f aca="false">C11/$C$22-1</f>
        <v>-0.107208903393929</v>
      </c>
    </row>
    <row r="12" customFormat="false" ht="15" hidden="false" customHeight="false" outlineLevel="0" collapsed="false">
      <c r="A12" s="10" t="n">
        <v>4</v>
      </c>
      <c r="B12" s="10" t="s">
        <v>93</v>
      </c>
      <c r="C12" s="20" t="n">
        <f aca="false">SUMIFS(v_valor,v_mes,A12)</f>
        <v>6542.71</v>
      </c>
      <c r="D12" s="21" t="n">
        <f aca="false">COUNTIFS(v_mes,A12)</f>
        <v>67</v>
      </c>
      <c r="E12" s="20" t="n">
        <f aca="false">IFERROR(C12/D12,0)</f>
        <v>97.6523880597015</v>
      </c>
      <c r="F12" s="22" t="n">
        <f aca="false">C12/$C$22-1</f>
        <v>-0.281970164536135</v>
      </c>
    </row>
    <row r="13" customFormat="false" ht="15" hidden="false" customHeight="false" outlineLevel="0" collapsed="false">
      <c r="A13" s="10" t="n">
        <v>5</v>
      </c>
      <c r="B13" s="10" t="s">
        <v>94</v>
      </c>
      <c r="C13" s="20" t="n">
        <f aca="false">SUMIFS(v_valor,v_mes,A13)</f>
        <v>10142.67</v>
      </c>
      <c r="D13" s="21" t="n">
        <f aca="false">COUNTIFS(v_mes,A13)</f>
        <v>91</v>
      </c>
      <c r="E13" s="20" t="n">
        <f aca="false">IFERROR(C13/D13,0)</f>
        <v>111.457912087912</v>
      </c>
      <c r="F13" s="22" t="n">
        <f aca="false">C13/$C$22-1</f>
        <v>0.113107515274906</v>
      </c>
    </row>
    <row r="14" customFormat="false" ht="15" hidden="false" customHeight="false" outlineLevel="0" collapsed="false">
      <c r="A14" s="10" t="n">
        <v>6</v>
      </c>
      <c r="B14" s="10" t="s">
        <v>95</v>
      </c>
      <c r="C14" s="20" t="n">
        <f aca="false">SUMIFS(v_valor,v_mes,A14)</f>
        <v>7362.53</v>
      </c>
      <c r="D14" s="21" t="n">
        <f aca="false">COUNTIFS(v_mes,A14)</f>
        <v>75</v>
      </c>
      <c r="E14" s="20" t="n">
        <f aca="false">IFERROR(C14/D14,0)</f>
        <v>98.1670666666667</v>
      </c>
      <c r="F14" s="22" t="n">
        <f aca="false">C14/$C$22-1</f>
        <v>-0.191999002783591</v>
      </c>
    </row>
    <row r="15" customFormat="false" ht="15" hidden="false" customHeight="false" outlineLevel="0" collapsed="false">
      <c r="A15" s="10" t="n">
        <v>7</v>
      </c>
      <c r="B15" s="10" t="s">
        <v>96</v>
      </c>
      <c r="C15" s="20" t="n">
        <f aca="false">SUMIFS(v_valor,v_mes,A15)</f>
        <v>11652.93</v>
      </c>
      <c r="D15" s="21" t="n">
        <f aca="false">COUNTIFS(v_mes,A15)</f>
        <v>84</v>
      </c>
      <c r="E15" s="20" t="n">
        <f aca="false">IFERROR(C15/D15,0)</f>
        <v>138.725357142857</v>
      </c>
      <c r="F15" s="22" t="n">
        <f aca="false">C15/$C$22-1</f>
        <v>0.278851028178223</v>
      </c>
    </row>
    <row r="16" customFormat="false" ht="15" hidden="false" customHeight="false" outlineLevel="0" collapsed="false">
      <c r="A16" s="10" t="n">
        <v>8</v>
      </c>
      <c r="B16" s="10" t="s">
        <v>97</v>
      </c>
      <c r="C16" s="20" t="n">
        <f aca="false">SUMIFS(v_valor,v_mes,A16)</f>
        <v>10403.65</v>
      </c>
      <c r="D16" s="21" t="n">
        <f aca="false">COUNTIFS(v_mes,A16)</f>
        <v>97</v>
      </c>
      <c r="E16" s="20" t="n">
        <f aca="false">IFERROR(C16/D16,0)</f>
        <v>107.25412371134</v>
      </c>
      <c r="F16" s="22" t="n">
        <f aca="false">C16/$C$22-1</f>
        <v>0.141748770421376</v>
      </c>
    </row>
    <row r="17" customFormat="false" ht="15" hidden="false" customHeight="false" outlineLevel="0" collapsed="false">
      <c r="A17" s="10" t="n">
        <v>9</v>
      </c>
      <c r="B17" s="10" t="s">
        <v>98</v>
      </c>
      <c r="C17" s="20" t="n">
        <f aca="false">SUMIFS(v_valor,v_mes,A17)</f>
        <v>10750.49</v>
      </c>
      <c r="D17" s="21" t="n">
        <f aca="false">COUNTIFS(v_mes,A17)</f>
        <v>83</v>
      </c>
      <c r="E17" s="20" t="n">
        <f aca="false">IFERROR(C17/D17,0)</f>
        <v>129.523975903614</v>
      </c>
      <c r="F17" s="22" t="n">
        <f aca="false">C17/$C$22-1</f>
        <v>0.179812732928088</v>
      </c>
    </row>
    <row r="18" customFormat="false" ht="15" hidden="false" customHeight="false" outlineLevel="0" collapsed="false">
      <c r="A18" s="10" t="n">
        <v>10</v>
      </c>
      <c r="B18" s="10" t="s">
        <v>99</v>
      </c>
      <c r="C18" s="20" t="n">
        <f aca="false">SUMIFS(v_valor,v_mes,A18)</f>
        <v>10432.27</v>
      </c>
      <c r="D18" s="21" t="n">
        <f aca="false">COUNTIFS(v_mes,A18)</f>
        <v>71</v>
      </c>
      <c r="E18" s="20" t="n">
        <f aca="false">IFERROR(C18/D18,0)</f>
        <v>146.93338028169</v>
      </c>
      <c r="F18" s="22" t="n">
        <f aca="false">C18/$C$22-1</f>
        <v>0.14488967287479</v>
      </c>
    </row>
    <row r="19" customFormat="false" ht="15" hidden="false" customHeight="false" outlineLevel="0" collapsed="false">
      <c r="A19" s="10" t="n">
        <v>11</v>
      </c>
      <c r="B19" s="10" t="s">
        <v>100</v>
      </c>
      <c r="C19" s="20" t="n">
        <f aca="false">SUMIFS(v_valor,v_mes,A19)</f>
        <v>10521.63</v>
      </c>
      <c r="D19" s="21" t="n">
        <f aca="false">COUNTIFS(v_mes,A19)</f>
        <v>75</v>
      </c>
      <c r="E19" s="20" t="n">
        <f aca="false">IFERROR(C19/D19,0)</f>
        <v>140.2884</v>
      </c>
      <c r="F19" s="22" t="n">
        <f aca="false">C19/$C$22-1</f>
        <v>0.15469648780271</v>
      </c>
    </row>
    <row r="20" customFormat="false" ht="15" hidden="false" customHeight="false" outlineLevel="0" collapsed="false">
      <c r="A20" s="10" t="n">
        <v>12</v>
      </c>
      <c r="B20" s="10" t="s">
        <v>101</v>
      </c>
      <c r="C20" s="20" t="n">
        <f aca="false">SUMIFS(v_valor,v_mes,A20)</f>
        <v>7358.37</v>
      </c>
      <c r="D20" s="21" t="n">
        <f aca="false">COUNTIFS(v_mes,A20)</f>
        <v>90</v>
      </c>
      <c r="E20" s="20" t="n">
        <f aca="false">IFERROR(C20/D20,0)</f>
        <v>81.7596666666667</v>
      </c>
      <c r="F20" s="22" t="n">
        <f aca="false">C20/$C$22-1</f>
        <v>-0.192455542064031</v>
      </c>
    </row>
    <row r="21" customFormat="false" ht="15" hidden="false" customHeight="false" outlineLevel="0" collapsed="false">
      <c r="B21" s="23" t="s">
        <v>102</v>
      </c>
      <c r="C21" s="24" t="n">
        <f aca="false">SUM(C9:C20)</f>
        <v>109344.37</v>
      </c>
      <c r="D21" s="25" t="n">
        <f aca="false">SUM(D9:D20)</f>
        <v>1000</v>
      </c>
      <c r="E21" s="24" t="n">
        <f aca="false">C21/D21</f>
        <v>109.34437</v>
      </c>
    </row>
    <row r="22" customFormat="false" ht="15" hidden="false" customHeight="false" outlineLevel="0" collapsed="false">
      <c r="B22" s="23" t="s">
        <v>103</v>
      </c>
      <c r="C22" s="24" t="n">
        <f aca="false">AVERAGE(C9:C20)</f>
        <v>9112.03083333333</v>
      </c>
    </row>
    <row r="23" customFormat="false" ht="15" hidden="false" customHeight="false" outlineLevel="0" collapsed="false">
      <c r="B23" s="11" t="s">
        <v>104</v>
      </c>
      <c r="C23" s="11" t="str">
        <f aca="false">IF(ABS(C21-SUM(v_valor))&lt;0.01,"bate com a base","NÃO BATE")</f>
        <v>bate com a base</v>
      </c>
    </row>
    <row r="25" customFormat="false" ht="15" hidden="false" customHeight="false" outlineLevel="0" collapsed="false">
      <c r="A25" s="5" t="s">
        <v>105</v>
      </c>
    </row>
    <row r="26" customFormat="false" ht="15" hidden="false" customHeight="true" outlineLevel="0" collapsed="false">
      <c r="A26" s="26" t="s">
        <v>106</v>
      </c>
      <c r="B26" s="26"/>
      <c r="C26" s="26"/>
      <c r="D26" s="26"/>
      <c r="E26" s="26"/>
      <c r="F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</row>
    <row r="31" customFormat="false" ht="21.75" hidden="false" customHeight="true" outlineLevel="0" collapsed="false">
      <c r="A31" s="18" t="s">
        <v>107</v>
      </c>
      <c r="B31" s="18"/>
      <c r="C31" s="18"/>
      <c r="D31" s="18"/>
      <c r="E31" s="18"/>
      <c r="F31" s="18"/>
    </row>
    <row r="32" customFormat="false" ht="27.75" hidden="false" customHeight="true" outlineLevel="0" collapsed="false">
      <c r="A32" s="19" t="s">
        <v>108</v>
      </c>
      <c r="B32" s="19"/>
      <c r="C32" s="19"/>
      <c r="D32" s="19"/>
      <c r="E32" s="19"/>
      <c r="F32" s="19"/>
    </row>
    <row r="33" customFormat="false" ht="30" hidden="false" customHeight="true" outlineLevel="0" collapsed="false">
      <c r="A33" s="12" t="s">
        <v>109</v>
      </c>
      <c r="B33" s="12"/>
      <c r="C33" s="12"/>
      <c r="D33" s="12"/>
      <c r="E33" s="12"/>
      <c r="F33" s="12"/>
    </row>
    <row r="35" customFormat="false" ht="23.85" hidden="false" customHeight="false" outlineLevel="0" collapsed="false">
      <c r="A35" s="14" t="s">
        <v>84</v>
      </c>
      <c r="B35" s="14" t="s">
        <v>85</v>
      </c>
      <c r="C35" s="14" t="s">
        <v>86</v>
      </c>
      <c r="D35" s="14" t="s">
        <v>110</v>
      </c>
      <c r="E35" s="14" t="s">
        <v>111</v>
      </c>
    </row>
    <row r="36" customFormat="false" ht="15" hidden="false" customHeight="false" outlineLevel="0" collapsed="false">
      <c r="A36" s="10" t="n">
        <f aca="false">A9</f>
        <v>1</v>
      </c>
      <c r="B36" s="10" t="str">
        <f aca="false">B9</f>
        <v>Jan</v>
      </c>
      <c r="C36" s="20" t="n">
        <f aca="false">C9</f>
        <v>8995.65</v>
      </c>
      <c r="D36" s="20" t="n">
        <f aca="false">$C$22</f>
        <v>9112.03083333333</v>
      </c>
      <c r="E36" s="10" t="str">
        <f aca="false">IF(C36&gt;D36,"Sim","Não")</f>
        <v>Não</v>
      </c>
    </row>
    <row r="37" customFormat="false" ht="15" hidden="false" customHeight="false" outlineLevel="0" collapsed="false">
      <c r="A37" s="10" t="n">
        <f aca="false">A10</f>
        <v>2</v>
      </c>
      <c r="B37" s="10" t="str">
        <f aca="false">B10</f>
        <v>Fev</v>
      </c>
      <c r="C37" s="20" t="n">
        <f aca="false">C10</f>
        <v>7046.33</v>
      </c>
      <c r="D37" s="20" t="n">
        <f aca="false">$C$22</f>
        <v>9112.03083333333</v>
      </c>
      <c r="E37" s="10" t="str">
        <f aca="false">IF(C37&gt;D37,"Sim","Não")</f>
        <v>Não</v>
      </c>
    </row>
    <row r="38" customFormat="false" ht="15" hidden="false" customHeight="false" outlineLevel="0" collapsed="false">
      <c r="A38" s="10" t="n">
        <f aca="false">A11</f>
        <v>3</v>
      </c>
      <c r="B38" s="10" t="str">
        <f aca="false">B11</f>
        <v>Mar</v>
      </c>
      <c r="C38" s="20" t="n">
        <f aca="false">C11</f>
        <v>8135.14</v>
      </c>
      <c r="D38" s="20" t="n">
        <f aca="false">$C$22</f>
        <v>9112.03083333333</v>
      </c>
      <c r="E38" s="10" t="str">
        <f aca="false">IF(C38&gt;D38,"Sim","Não")</f>
        <v>Não</v>
      </c>
    </row>
    <row r="39" customFormat="false" ht="15" hidden="false" customHeight="false" outlineLevel="0" collapsed="false">
      <c r="A39" s="10" t="n">
        <f aca="false">A12</f>
        <v>4</v>
      </c>
      <c r="B39" s="10" t="str">
        <f aca="false">B12</f>
        <v>Abr</v>
      </c>
      <c r="C39" s="20" t="n">
        <f aca="false">C12</f>
        <v>6542.71</v>
      </c>
      <c r="D39" s="20" t="n">
        <f aca="false">$C$22</f>
        <v>9112.03083333333</v>
      </c>
      <c r="E39" s="10" t="str">
        <f aca="false">IF(C39&gt;D39,"Sim","Não")</f>
        <v>Não</v>
      </c>
    </row>
    <row r="40" customFormat="false" ht="15" hidden="false" customHeight="false" outlineLevel="0" collapsed="false">
      <c r="A40" s="10" t="n">
        <f aca="false">A13</f>
        <v>5</v>
      </c>
      <c r="B40" s="10" t="str">
        <f aca="false">B13</f>
        <v>Mai</v>
      </c>
      <c r="C40" s="20" t="n">
        <f aca="false">C13</f>
        <v>10142.67</v>
      </c>
      <c r="D40" s="20" t="n">
        <f aca="false">$C$22</f>
        <v>9112.03083333333</v>
      </c>
      <c r="E40" s="10" t="str">
        <f aca="false">IF(C40&gt;D40,"Sim","Não")</f>
        <v>Sim</v>
      </c>
    </row>
    <row r="41" customFormat="false" ht="15" hidden="false" customHeight="false" outlineLevel="0" collapsed="false">
      <c r="A41" s="10" t="n">
        <f aca="false">A14</f>
        <v>6</v>
      </c>
      <c r="B41" s="10" t="str">
        <f aca="false">B14</f>
        <v>Jun</v>
      </c>
      <c r="C41" s="20" t="n">
        <f aca="false">C14</f>
        <v>7362.53</v>
      </c>
      <c r="D41" s="20" t="n">
        <f aca="false">$C$22</f>
        <v>9112.03083333333</v>
      </c>
      <c r="E41" s="10" t="str">
        <f aca="false">IF(C41&gt;D41,"Sim","Não")</f>
        <v>Não</v>
      </c>
    </row>
    <row r="42" customFormat="false" ht="15" hidden="false" customHeight="false" outlineLevel="0" collapsed="false">
      <c r="A42" s="10" t="n">
        <f aca="false">A15</f>
        <v>7</v>
      </c>
      <c r="B42" s="10" t="str">
        <f aca="false">B15</f>
        <v>Jul</v>
      </c>
      <c r="C42" s="20" t="n">
        <f aca="false">C15</f>
        <v>11652.93</v>
      </c>
      <c r="D42" s="20" t="n">
        <f aca="false">$C$22</f>
        <v>9112.03083333333</v>
      </c>
      <c r="E42" s="10" t="str">
        <f aca="false">IF(C42&gt;D42,"Sim","Não")</f>
        <v>Sim</v>
      </c>
    </row>
    <row r="43" customFormat="false" ht="15" hidden="false" customHeight="false" outlineLevel="0" collapsed="false">
      <c r="A43" s="10" t="n">
        <f aca="false">A16</f>
        <v>8</v>
      </c>
      <c r="B43" s="10" t="str">
        <f aca="false">B16</f>
        <v>Ago</v>
      </c>
      <c r="C43" s="20" t="n">
        <f aca="false">C16</f>
        <v>10403.65</v>
      </c>
      <c r="D43" s="20" t="n">
        <f aca="false">$C$22</f>
        <v>9112.03083333333</v>
      </c>
      <c r="E43" s="10" t="str">
        <f aca="false">IF(C43&gt;D43,"Sim","Não")</f>
        <v>Sim</v>
      </c>
    </row>
    <row r="44" customFormat="false" ht="15" hidden="false" customHeight="false" outlineLevel="0" collapsed="false">
      <c r="A44" s="10" t="n">
        <f aca="false">A17</f>
        <v>9</v>
      </c>
      <c r="B44" s="10" t="str">
        <f aca="false">B17</f>
        <v>Set</v>
      </c>
      <c r="C44" s="20" t="n">
        <f aca="false">C17</f>
        <v>10750.49</v>
      </c>
      <c r="D44" s="20" t="n">
        <f aca="false">$C$22</f>
        <v>9112.03083333333</v>
      </c>
      <c r="E44" s="10" t="str">
        <f aca="false">IF(C44&gt;D44,"Sim","Não")</f>
        <v>Sim</v>
      </c>
    </row>
    <row r="45" customFormat="false" ht="15" hidden="false" customHeight="false" outlineLevel="0" collapsed="false">
      <c r="A45" s="10" t="n">
        <f aca="false">A18</f>
        <v>10</v>
      </c>
      <c r="B45" s="10" t="str">
        <f aca="false">B18</f>
        <v>Out</v>
      </c>
      <c r="C45" s="20" t="n">
        <f aca="false">C18</f>
        <v>10432.27</v>
      </c>
      <c r="D45" s="20" t="n">
        <f aca="false">$C$22</f>
        <v>9112.03083333333</v>
      </c>
      <c r="E45" s="10" t="str">
        <f aca="false">IF(C45&gt;D45,"Sim","Não")</f>
        <v>Sim</v>
      </c>
    </row>
    <row r="46" customFormat="false" ht="15" hidden="false" customHeight="false" outlineLevel="0" collapsed="false">
      <c r="A46" s="10" t="n">
        <f aca="false">A19</f>
        <v>11</v>
      </c>
      <c r="B46" s="10" t="str">
        <f aca="false">B19</f>
        <v>Nov</v>
      </c>
      <c r="C46" s="20" t="n">
        <f aca="false">C19</f>
        <v>10521.63</v>
      </c>
      <c r="D46" s="20" t="n">
        <f aca="false">$C$22</f>
        <v>9112.03083333333</v>
      </c>
      <c r="E46" s="10" t="str">
        <f aca="false">IF(C46&gt;D46,"Sim","Não")</f>
        <v>Sim</v>
      </c>
    </row>
    <row r="47" customFormat="false" ht="15" hidden="false" customHeight="false" outlineLevel="0" collapsed="false">
      <c r="A47" s="10" t="n">
        <f aca="false">A20</f>
        <v>12</v>
      </c>
      <c r="B47" s="10" t="str">
        <f aca="false">B20</f>
        <v>Dez</v>
      </c>
      <c r="C47" s="20" t="n">
        <f aca="false">C20</f>
        <v>7358.37</v>
      </c>
      <c r="D47" s="20" t="n">
        <f aca="false">$C$22</f>
        <v>9112.03083333333</v>
      </c>
      <c r="E47" s="10" t="str">
        <f aca="false">IF(C47&gt;D47,"Sim","Não")</f>
        <v>Não</v>
      </c>
    </row>
    <row r="48" customFormat="false" ht="15" hidden="false" customHeight="false" outlineLevel="0" collapsed="false">
      <c r="B48" s="23" t="s">
        <v>112</v>
      </c>
      <c r="C48" s="25" t="n">
        <f aca="false">COUNTIF(E36:E47,"Sim")</f>
        <v>6</v>
      </c>
    </row>
    <row r="50" customFormat="false" ht="15" hidden="false" customHeight="false" outlineLevel="0" collapsed="false">
      <c r="A50" s="5" t="s">
        <v>105</v>
      </c>
    </row>
    <row r="51" customFormat="false" ht="15" hidden="false" customHeight="true" outlineLevel="0" collapsed="false">
      <c r="A51" s="26" t="s">
        <v>106</v>
      </c>
      <c r="B51" s="26"/>
      <c r="C51" s="26"/>
      <c r="D51" s="26"/>
      <c r="E51" s="26"/>
      <c r="F51" s="26"/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6"/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6"/>
    </row>
    <row r="56" customFormat="false" ht="21.75" hidden="false" customHeight="true" outlineLevel="0" collapsed="false">
      <c r="A56" s="18" t="s">
        <v>113</v>
      </c>
      <c r="B56" s="18"/>
      <c r="C56" s="18"/>
      <c r="D56" s="18"/>
      <c r="E56" s="18"/>
      <c r="F56" s="18"/>
    </row>
    <row r="57" customFormat="false" ht="27.75" hidden="false" customHeight="true" outlineLevel="0" collapsed="false">
      <c r="A57" s="19" t="s">
        <v>114</v>
      </c>
      <c r="B57" s="19"/>
      <c r="C57" s="19"/>
      <c r="D57" s="19"/>
      <c r="E57" s="19"/>
      <c r="F57" s="19"/>
    </row>
    <row r="58" customFormat="false" ht="30" hidden="false" customHeight="true" outlineLevel="0" collapsed="false">
      <c r="A58" s="12" t="s">
        <v>115</v>
      </c>
      <c r="B58" s="12"/>
      <c r="C58" s="12"/>
      <c r="D58" s="12"/>
      <c r="E58" s="12"/>
      <c r="F58" s="12"/>
    </row>
    <row r="60" customFormat="false" ht="15" hidden="false" customHeight="false" outlineLevel="0" collapsed="false">
      <c r="A60" s="14" t="s">
        <v>84</v>
      </c>
      <c r="B60" s="14" t="s">
        <v>85</v>
      </c>
      <c r="C60" s="14" t="s">
        <v>88</v>
      </c>
      <c r="D60" s="14" t="s">
        <v>87</v>
      </c>
    </row>
    <row r="61" customFormat="false" ht="15" hidden="false" customHeight="false" outlineLevel="0" collapsed="false">
      <c r="A61" s="10" t="n">
        <f aca="false">A9</f>
        <v>1</v>
      </c>
      <c r="B61" s="10" t="str">
        <f aca="false">B9</f>
        <v>Jan</v>
      </c>
      <c r="C61" s="20" t="n">
        <f aca="false">E9</f>
        <v>93.7046875</v>
      </c>
      <c r="D61" s="21" t="n">
        <f aca="false">D9</f>
        <v>96</v>
      </c>
    </row>
    <row r="62" customFormat="false" ht="15" hidden="false" customHeight="false" outlineLevel="0" collapsed="false">
      <c r="A62" s="10" t="n">
        <f aca="false">A10</f>
        <v>2</v>
      </c>
      <c r="B62" s="10" t="str">
        <f aca="false">B10</f>
        <v>Fev</v>
      </c>
      <c r="C62" s="20" t="n">
        <f aca="false">E10</f>
        <v>99.2440845070423</v>
      </c>
      <c r="D62" s="21" t="n">
        <f aca="false">D10</f>
        <v>71</v>
      </c>
    </row>
    <row r="63" customFormat="false" ht="15" hidden="false" customHeight="false" outlineLevel="0" collapsed="false">
      <c r="A63" s="10" t="n">
        <f aca="false">A11</f>
        <v>3</v>
      </c>
      <c r="B63" s="10" t="str">
        <f aca="false">B11</f>
        <v>Mar</v>
      </c>
      <c r="C63" s="20" t="n">
        <f aca="false">E11</f>
        <v>81.3514</v>
      </c>
      <c r="D63" s="21" t="n">
        <f aca="false">D11</f>
        <v>100</v>
      </c>
    </row>
    <row r="64" customFormat="false" ht="15" hidden="false" customHeight="false" outlineLevel="0" collapsed="false">
      <c r="A64" s="10" t="n">
        <f aca="false">A12</f>
        <v>4</v>
      </c>
      <c r="B64" s="10" t="str">
        <f aca="false">B12</f>
        <v>Abr</v>
      </c>
      <c r="C64" s="20" t="n">
        <f aca="false">E12</f>
        <v>97.6523880597015</v>
      </c>
      <c r="D64" s="21" t="n">
        <f aca="false">D12</f>
        <v>67</v>
      </c>
    </row>
    <row r="65" customFormat="false" ht="15" hidden="false" customHeight="false" outlineLevel="0" collapsed="false">
      <c r="A65" s="10" t="n">
        <f aca="false">A13</f>
        <v>5</v>
      </c>
      <c r="B65" s="10" t="str">
        <f aca="false">B13</f>
        <v>Mai</v>
      </c>
      <c r="C65" s="20" t="n">
        <f aca="false">E13</f>
        <v>111.457912087912</v>
      </c>
      <c r="D65" s="21" t="n">
        <f aca="false">D13</f>
        <v>91</v>
      </c>
    </row>
    <row r="66" customFormat="false" ht="15" hidden="false" customHeight="false" outlineLevel="0" collapsed="false">
      <c r="A66" s="10" t="n">
        <f aca="false">A14</f>
        <v>6</v>
      </c>
      <c r="B66" s="10" t="str">
        <f aca="false">B14</f>
        <v>Jun</v>
      </c>
      <c r="C66" s="20" t="n">
        <f aca="false">E14</f>
        <v>98.1670666666667</v>
      </c>
      <c r="D66" s="21" t="n">
        <f aca="false">D14</f>
        <v>75</v>
      </c>
    </row>
    <row r="67" customFormat="false" ht="15" hidden="false" customHeight="false" outlineLevel="0" collapsed="false">
      <c r="A67" s="10" t="n">
        <f aca="false">A15</f>
        <v>7</v>
      </c>
      <c r="B67" s="10" t="str">
        <f aca="false">B15</f>
        <v>Jul</v>
      </c>
      <c r="C67" s="20" t="n">
        <f aca="false">E15</f>
        <v>138.725357142857</v>
      </c>
      <c r="D67" s="21" t="n">
        <f aca="false">D15</f>
        <v>84</v>
      </c>
    </row>
    <row r="68" customFormat="false" ht="15" hidden="false" customHeight="false" outlineLevel="0" collapsed="false">
      <c r="A68" s="10" t="n">
        <f aca="false">A16</f>
        <v>8</v>
      </c>
      <c r="B68" s="10" t="str">
        <f aca="false">B16</f>
        <v>Ago</v>
      </c>
      <c r="C68" s="20" t="n">
        <f aca="false">E16</f>
        <v>107.25412371134</v>
      </c>
      <c r="D68" s="21" t="n">
        <f aca="false">D16</f>
        <v>97</v>
      </c>
    </row>
    <row r="69" customFormat="false" ht="15" hidden="false" customHeight="false" outlineLevel="0" collapsed="false">
      <c r="A69" s="10" t="n">
        <f aca="false">A17</f>
        <v>9</v>
      </c>
      <c r="B69" s="10" t="str">
        <f aca="false">B17</f>
        <v>Set</v>
      </c>
      <c r="C69" s="20" t="n">
        <f aca="false">E17</f>
        <v>129.523975903614</v>
      </c>
      <c r="D69" s="21" t="n">
        <f aca="false">D17</f>
        <v>83</v>
      </c>
    </row>
    <row r="70" customFormat="false" ht="15" hidden="false" customHeight="false" outlineLevel="0" collapsed="false">
      <c r="A70" s="10" t="n">
        <f aca="false">A18</f>
        <v>10</v>
      </c>
      <c r="B70" s="10" t="str">
        <f aca="false">B18</f>
        <v>Out</v>
      </c>
      <c r="C70" s="20" t="n">
        <f aca="false">E18</f>
        <v>146.93338028169</v>
      </c>
      <c r="D70" s="21" t="n">
        <f aca="false">D18</f>
        <v>71</v>
      </c>
    </row>
    <row r="71" customFormat="false" ht="15" hidden="false" customHeight="false" outlineLevel="0" collapsed="false">
      <c r="A71" s="10" t="n">
        <f aca="false">A19</f>
        <v>11</v>
      </c>
      <c r="B71" s="10" t="str">
        <f aca="false">B19</f>
        <v>Nov</v>
      </c>
      <c r="C71" s="20" t="n">
        <f aca="false">E19</f>
        <v>140.2884</v>
      </c>
      <c r="D71" s="21" t="n">
        <f aca="false">D19</f>
        <v>75</v>
      </c>
    </row>
    <row r="72" customFormat="false" ht="15" hidden="false" customHeight="false" outlineLevel="0" collapsed="false">
      <c r="A72" s="10" t="n">
        <f aca="false">A20</f>
        <v>12</v>
      </c>
      <c r="B72" s="10" t="str">
        <f aca="false">B20</f>
        <v>Dez</v>
      </c>
      <c r="C72" s="20" t="n">
        <f aca="false">E20</f>
        <v>81.7596666666667</v>
      </c>
      <c r="D72" s="21" t="n">
        <f aca="false">D20</f>
        <v>90</v>
      </c>
    </row>
    <row r="74" customFormat="false" ht="15" hidden="false" customHeight="false" outlineLevel="0" collapsed="false">
      <c r="A74" s="5" t="s">
        <v>105</v>
      </c>
    </row>
    <row r="75" customFormat="false" ht="15" hidden="false" customHeight="true" outlineLevel="0" collapsed="false">
      <c r="A75" s="26" t="s">
        <v>106</v>
      </c>
      <c r="B75" s="26"/>
      <c r="C75" s="26"/>
      <c r="D75" s="26"/>
      <c r="E75" s="26"/>
      <c r="F75" s="26"/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6"/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6"/>
    </row>
    <row r="80" customFormat="false" ht="21.75" hidden="false" customHeight="true" outlineLevel="0" collapsed="false">
      <c r="A80" s="18" t="s">
        <v>116</v>
      </c>
      <c r="B80" s="18"/>
      <c r="C80" s="18"/>
      <c r="D80" s="18"/>
      <c r="E80" s="18"/>
      <c r="F80" s="18"/>
    </row>
    <row r="81" customFormat="false" ht="27.75" hidden="false" customHeight="true" outlineLevel="0" collapsed="false">
      <c r="A81" s="19" t="s">
        <v>117</v>
      </c>
      <c r="B81" s="19"/>
      <c r="C81" s="19"/>
      <c r="D81" s="19"/>
      <c r="E81" s="19"/>
      <c r="F81" s="19"/>
    </row>
    <row r="82" customFormat="false" ht="30" hidden="false" customHeight="true" outlineLevel="0" collapsed="false">
      <c r="A82" s="12" t="s">
        <v>118</v>
      </c>
      <c r="B82" s="12"/>
      <c r="C82" s="12"/>
      <c r="D82" s="12"/>
      <c r="E82" s="12"/>
      <c r="F82" s="12"/>
    </row>
    <row r="84" customFormat="false" ht="15" hidden="false" customHeight="true" outlineLevel="0" collapsed="false">
      <c r="A84" s="14" t="s">
        <v>119</v>
      </c>
      <c r="B84" s="14"/>
      <c r="C84" s="14" t="s">
        <v>120</v>
      </c>
    </row>
    <row r="85" customFormat="false" ht="15" hidden="false" customHeight="false" outlineLevel="0" collapsed="false">
      <c r="A85" s="27" t="s">
        <v>121</v>
      </c>
      <c r="B85" s="27"/>
      <c r="C85" s="28" t="n">
        <f aca="false">COUNTIF(aux_pareto!$D$2:$D$1001,"&lt;0.8")+1</f>
        <v>304</v>
      </c>
    </row>
    <row r="86" customFormat="false" ht="15" hidden="false" customHeight="false" outlineLevel="0" collapsed="false">
      <c r="A86" s="27" t="s">
        <v>122</v>
      </c>
      <c r="B86" s="27"/>
      <c r="C86" s="29" t="n">
        <f aca="false">C85/1000</f>
        <v>0.304</v>
      </c>
    </row>
    <row r="87" customFormat="false" ht="15" hidden="false" customHeight="false" outlineLevel="0" collapsed="false">
      <c r="A87" s="27" t="s">
        <v>123</v>
      </c>
      <c r="B87" s="27"/>
      <c r="C87" s="30" t="n">
        <f aca="false">aux_pareto!$B$2</f>
        <v>1462.48</v>
      </c>
    </row>
    <row r="88" customFormat="false" ht="15" hidden="false" customHeight="false" outlineLevel="0" collapsed="false">
      <c r="A88" s="27" t="s">
        <v>124</v>
      </c>
      <c r="B88" s="27"/>
      <c r="C88" s="29" t="n">
        <f aca="false">aux_pareto!$D$101</f>
        <v>0.473238082582578</v>
      </c>
    </row>
    <row r="90" customFormat="false" ht="25.5" hidden="false" customHeight="true" outlineLevel="0" collapsed="false">
      <c r="A90" s="12" t="s">
        <v>125</v>
      </c>
      <c r="B90" s="12"/>
      <c r="C90" s="12"/>
      <c r="D90" s="12"/>
      <c r="E90" s="12"/>
      <c r="F90" s="12"/>
    </row>
    <row r="92" customFormat="false" ht="15" hidden="false" customHeight="false" outlineLevel="0" collapsed="false">
      <c r="A92" s="5" t="s">
        <v>105</v>
      </c>
    </row>
    <row r="93" customFormat="false" ht="15" hidden="false" customHeight="true" outlineLevel="0" collapsed="false">
      <c r="A93" s="26" t="s">
        <v>106</v>
      </c>
      <c r="B93" s="26"/>
      <c r="C93" s="26"/>
      <c r="D93" s="26"/>
      <c r="E93" s="26"/>
      <c r="F93" s="26"/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6"/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6"/>
    </row>
  </sheetData>
  <mergeCells count="22">
    <mergeCell ref="A4:F4"/>
    <mergeCell ref="A5:F5"/>
    <mergeCell ref="A6:F6"/>
    <mergeCell ref="A26:F28"/>
    <mergeCell ref="A31:F31"/>
    <mergeCell ref="A32:F32"/>
    <mergeCell ref="A33:F33"/>
    <mergeCell ref="A51:F53"/>
    <mergeCell ref="A56:F56"/>
    <mergeCell ref="A57:F57"/>
    <mergeCell ref="A58:F58"/>
    <mergeCell ref="A75:F77"/>
    <mergeCell ref="A80:F80"/>
    <mergeCell ref="A81:F81"/>
    <mergeCell ref="A82:F82"/>
    <mergeCell ref="A84:B84"/>
    <mergeCell ref="A85:B85"/>
    <mergeCell ref="A86:B86"/>
    <mergeCell ref="A87:B87"/>
    <mergeCell ref="A88:B88"/>
    <mergeCell ref="A90:F90"/>
    <mergeCell ref="A93:F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8" min="5" style="0" width="13"/>
  </cols>
  <sheetData>
    <row r="1" customFormat="false" ht="19.7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21.75" hidden="false" customHeight="true" outlineLevel="0" collapsed="false">
      <c r="A4" s="18" t="s">
        <v>128</v>
      </c>
      <c r="B4" s="18"/>
      <c r="C4" s="18"/>
      <c r="D4" s="18"/>
      <c r="E4" s="18"/>
      <c r="F4" s="18"/>
    </row>
    <row r="5" customFormat="false" ht="27.75" hidden="false" customHeight="true" outlineLevel="0" collapsed="false">
      <c r="A5" s="19" t="s">
        <v>129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12" t="s">
        <v>130</v>
      </c>
      <c r="B6" s="12"/>
      <c r="C6" s="12"/>
      <c r="D6" s="12"/>
      <c r="E6" s="12"/>
      <c r="F6" s="12"/>
    </row>
    <row r="8" customFormat="false" ht="15" hidden="false" customHeight="false" outlineLevel="0" collapsed="false">
      <c r="A8" s="14" t="s">
        <v>131</v>
      </c>
      <c r="B8" s="14" t="s">
        <v>86</v>
      </c>
      <c r="C8" s="14" t="s">
        <v>132</v>
      </c>
      <c r="D8" s="14" t="s">
        <v>87</v>
      </c>
      <c r="E8" s="14" t="s">
        <v>133</v>
      </c>
    </row>
    <row r="9" customFormat="false" ht="15" hidden="false" customHeight="false" outlineLevel="0" collapsed="false">
      <c r="A9" s="10" t="s">
        <v>134</v>
      </c>
      <c r="B9" s="20" t="n">
        <f aca="false">SUMIFS(v_valor,v_categoria,A9)</f>
        <v>30008.46</v>
      </c>
      <c r="C9" s="22" t="n">
        <f aca="false">B9/SUM(v_valor)</f>
        <v>0.27443991858017</v>
      </c>
      <c r="D9" s="21" t="n">
        <f aca="false">COUNTIFS(v_categoria,A9)</f>
        <v>203</v>
      </c>
      <c r="E9" s="21" t="n">
        <f aca="false">RANK(B9,$B$9:$B$15)</f>
        <v>1</v>
      </c>
    </row>
    <row r="10" customFormat="false" ht="15" hidden="false" customHeight="false" outlineLevel="0" collapsed="false">
      <c r="A10" s="10" t="s">
        <v>135</v>
      </c>
      <c r="B10" s="20" t="n">
        <f aca="false">SUMIFS(v_valor,v_categoria,A10)</f>
        <v>26172.15</v>
      </c>
      <c r="C10" s="22" t="n">
        <f aca="false">B10/SUM(v_valor)</f>
        <v>0.239355258985899</v>
      </c>
      <c r="D10" s="21" t="n">
        <f aca="false">COUNTIFS(v_categoria,A10)</f>
        <v>225</v>
      </c>
      <c r="E10" s="21" t="n">
        <f aca="false">RANK(B10,$B$9:$B$15)</f>
        <v>2</v>
      </c>
    </row>
    <row r="11" customFormat="false" ht="15" hidden="false" customHeight="false" outlineLevel="0" collapsed="false">
      <c r="A11" s="10" t="s">
        <v>136</v>
      </c>
      <c r="B11" s="20" t="n">
        <f aca="false">SUMIFS(v_valor,v_categoria,A11)</f>
        <v>17880.79</v>
      </c>
      <c r="C11" s="22" t="n">
        <f aca="false">B11/SUM(v_valor)</f>
        <v>0.163527303691996</v>
      </c>
      <c r="D11" s="21" t="n">
        <f aca="false">COUNTIFS(v_categoria,A11)</f>
        <v>162</v>
      </c>
      <c r="E11" s="21" t="n">
        <f aca="false">RANK(B11,$B$9:$B$15)</f>
        <v>3</v>
      </c>
    </row>
    <row r="12" customFormat="false" ht="15" hidden="false" customHeight="false" outlineLevel="0" collapsed="false">
      <c r="A12" s="10" t="s">
        <v>137</v>
      </c>
      <c r="B12" s="20" t="n">
        <f aca="false">SUMIFS(v_valor,v_categoria,A12)</f>
        <v>12390.32</v>
      </c>
      <c r="C12" s="22" t="n">
        <f aca="false">B12/SUM(v_valor)</f>
        <v>0.113314658998904</v>
      </c>
      <c r="D12" s="21" t="n">
        <f aca="false">COUNTIFS(v_categoria,A12)</f>
        <v>102</v>
      </c>
      <c r="E12" s="21" t="n">
        <f aca="false">RANK(B12,$B$9:$B$15)</f>
        <v>4</v>
      </c>
    </row>
    <row r="13" customFormat="false" ht="15" hidden="false" customHeight="false" outlineLevel="0" collapsed="false">
      <c r="A13" s="10" t="s">
        <v>138</v>
      </c>
      <c r="B13" s="20" t="n">
        <f aca="false">SUMIFS(v_valor,v_categoria,A13)</f>
        <v>8898.98</v>
      </c>
      <c r="C13" s="22" t="n">
        <f aca="false">B13/SUM(v_valor)</f>
        <v>0.0813848943480126</v>
      </c>
      <c r="D13" s="21" t="n">
        <f aca="false">COUNTIFS(v_categoria,A13)</f>
        <v>75</v>
      </c>
      <c r="E13" s="21" t="n">
        <f aca="false">RANK(B13,$B$9:$B$15)</f>
        <v>5</v>
      </c>
    </row>
    <row r="14" customFormat="false" ht="15" hidden="false" customHeight="false" outlineLevel="0" collapsed="false">
      <c r="A14" s="10" t="s">
        <v>139</v>
      </c>
      <c r="B14" s="20" t="n">
        <f aca="false">SUMIFS(v_valor,v_categoria,A14)</f>
        <v>7820.41</v>
      </c>
      <c r="C14" s="22" t="n">
        <f aca="false">B14/SUM(v_valor)</f>
        <v>0.0715209205558549</v>
      </c>
      <c r="D14" s="21" t="n">
        <f aca="false">COUNTIFS(v_categoria,A14)</f>
        <v>121</v>
      </c>
      <c r="E14" s="21" t="n">
        <f aca="false">RANK(B14,$B$9:$B$15)</f>
        <v>6</v>
      </c>
    </row>
    <row r="15" customFormat="false" ht="15" hidden="false" customHeight="false" outlineLevel="0" collapsed="false">
      <c r="A15" s="10" t="s">
        <v>140</v>
      </c>
      <c r="B15" s="20" t="n">
        <f aca="false">SUMIFS(v_valor,v_categoria,A15)</f>
        <v>6173.26</v>
      </c>
      <c r="C15" s="22" t="n">
        <f aca="false">B15/SUM(v_valor)</f>
        <v>0.0564570448391627</v>
      </c>
      <c r="D15" s="21" t="n">
        <f aca="false">COUNTIFS(v_categoria,A15)</f>
        <v>112</v>
      </c>
      <c r="E15" s="21" t="n">
        <f aca="false">RANK(B15,$B$9:$B$15)</f>
        <v>7</v>
      </c>
    </row>
    <row r="16" customFormat="false" ht="15" hidden="false" customHeight="false" outlineLevel="0" collapsed="false">
      <c r="A16" s="23" t="s">
        <v>102</v>
      </c>
      <c r="B16" s="24" t="n">
        <f aca="false">SUM(B9:B15)</f>
        <v>109344.37</v>
      </c>
      <c r="C16" s="31" t="n">
        <f aca="false">SUM(C9:C15)</f>
        <v>1</v>
      </c>
    </row>
    <row r="18" customFormat="false" ht="15" hidden="false" customHeight="false" outlineLevel="0" collapsed="false">
      <c r="A18" s="5" t="s">
        <v>105</v>
      </c>
    </row>
    <row r="19" customFormat="false" ht="15" hidden="false" customHeight="true" outlineLevel="0" collapsed="false">
      <c r="A19" s="26" t="s">
        <v>106</v>
      </c>
      <c r="B19" s="26"/>
      <c r="C19" s="26"/>
      <c r="D19" s="26"/>
      <c r="E19" s="26"/>
      <c r="F19" s="26"/>
      <c r="G19" s="26"/>
      <c r="H19" s="26"/>
    </row>
    <row r="20" customFormat="false" ht="15" hidden="false" customHeight="false" outlineLevel="0" collapsed="false">
      <c r="A20" s="26"/>
      <c r="B20" s="26"/>
      <c r="C20" s="26"/>
      <c r="D20" s="26"/>
      <c r="E20" s="26"/>
      <c r="F20" s="26"/>
      <c r="G20" s="26"/>
      <c r="H20" s="26"/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  <c r="G21" s="26"/>
      <c r="H21" s="26"/>
    </row>
    <row r="24" customFormat="false" ht="21.75" hidden="false" customHeight="true" outlineLevel="0" collapsed="false">
      <c r="A24" s="18" t="s">
        <v>141</v>
      </c>
      <c r="B24" s="18"/>
      <c r="C24" s="18"/>
      <c r="D24" s="18"/>
      <c r="E24" s="18"/>
      <c r="F24" s="18"/>
      <c r="G24" s="18"/>
      <c r="H24" s="18"/>
    </row>
    <row r="25" customFormat="false" ht="27.75" hidden="false" customHeight="true" outlineLevel="0" collapsed="false">
      <c r="A25" s="19" t="s">
        <v>142</v>
      </c>
      <c r="B25" s="19"/>
      <c r="C25" s="19"/>
      <c r="D25" s="19"/>
      <c r="E25" s="19"/>
      <c r="F25" s="19"/>
      <c r="G25" s="19"/>
      <c r="H25" s="19"/>
    </row>
    <row r="26" customFormat="false" ht="30" hidden="false" customHeight="true" outlineLevel="0" collapsed="false">
      <c r="A26" s="12" t="s">
        <v>143</v>
      </c>
      <c r="B26" s="12"/>
      <c r="C26" s="12"/>
      <c r="D26" s="12"/>
      <c r="E26" s="12"/>
      <c r="F26" s="12"/>
      <c r="G26" s="12"/>
      <c r="H26" s="12"/>
    </row>
    <row r="28" customFormat="false" ht="23.85" hidden="false" customHeight="false" outlineLevel="0" collapsed="false">
      <c r="A28" s="14" t="s">
        <v>131</v>
      </c>
      <c r="B28" s="14" t="s">
        <v>144</v>
      </c>
      <c r="C28" s="14" t="s">
        <v>86</v>
      </c>
      <c r="D28" s="14" t="s">
        <v>145</v>
      </c>
      <c r="E28" s="14" t="s">
        <v>146</v>
      </c>
      <c r="F28" s="14" t="s">
        <v>147</v>
      </c>
      <c r="G28" s="14" t="s">
        <v>148</v>
      </c>
    </row>
    <row r="29" customFormat="false" ht="15" hidden="false" customHeight="false" outlineLevel="0" collapsed="false">
      <c r="A29" s="10" t="s">
        <v>134</v>
      </c>
      <c r="B29" s="21" t="n">
        <f aca="false">SUMIFS(v_qtd,v_categoria,A29)</f>
        <v>557</v>
      </c>
      <c r="C29" s="20" t="n">
        <f aca="false">SUMIFS(v_valor,v_categoria,A29)</f>
        <v>30008.46</v>
      </c>
      <c r="D29" s="22" t="n">
        <f aca="false">B29/SUM(v_qtd)</f>
        <v>0.210268025670064</v>
      </c>
      <c r="E29" s="22" t="n">
        <f aca="false">C29/SUM(v_valor)</f>
        <v>0.27443991858017</v>
      </c>
      <c r="F29" s="20" t="n">
        <f aca="false">C29/B29</f>
        <v>53.8751526032316</v>
      </c>
      <c r="G29" s="10" t="str">
        <f aca="false">IF(D29&gt;E29,"tráfego","valor")</f>
        <v>valor</v>
      </c>
    </row>
    <row r="30" customFormat="false" ht="15" hidden="false" customHeight="false" outlineLevel="0" collapsed="false">
      <c r="A30" s="10" t="s">
        <v>135</v>
      </c>
      <c r="B30" s="21" t="n">
        <f aca="false">SUMIFS(v_qtd,v_categoria,A30)</f>
        <v>589</v>
      </c>
      <c r="C30" s="20" t="n">
        <f aca="false">SUMIFS(v_valor,v_categoria,A30)</f>
        <v>26172.15</v>
      </c>
      <c r="D30" s="22" t="n">
        <f aca="false">B30/SUM(v_qtd)</f>
        <v>0.22234805587014</v>
      </c>
      <c r="E30" s="22" t="n">
        <f aca="false">C30/SUM(v_valor)</f>
        <v>0.239355258985899</v>
      </c>
      <c r="F30" s="20" t="n">
        <f aca="false">C30/B30</f>
        <v>44.4348896434635</v>
      </c>
      <c r="G30" s="10" t="str">
        <f aca="false">IF(D30&gt;E30,"tráfego","valor")</f>
        <v>valor</v>
      </c>
    </row>
    <row r="31" customFormat="false" ht="15" hidden="false" customHeight="false" outlineLevel="0" collapsed="false">
      <c r="A31" s="10" t="s">
        <v>136</v>
      </c>
      <c r="B31" s="21" t="n">
        <f aca="false">SUMIFS(v_qtd,v_categoria,A31)</f>
        <v>430</v>
      </c>
      <c r="C31" s="20" t="n">
        <f aca="false">SUMIFS(v_valor,v_categoria,A31)</f>
        <v>17880.79</v>
      </c>
      <c r="D31" s="22" t="n">
        <f aca="false">B31/SUM(v_qtd)</f>
        <v>0.162325405813515</v>
      </c>
      <c r="E31" s="22" t="n">
        <f aca="false">C31/SUM(v_valor)</f>
        <v>0.163527303691996</v>
      </c>
      <c r="F31" s="20" t="n">
        <f aca="false">C31/B31</f>
        <v>41.5832325581395</v>
      </c>
      <c r="G31" s="10" t="str">
        <f aca="false">IF(D31&gt;E31,"tráfego","valor")</f>
        <v>valor</v>
      </c>
    </row>
    <row r="32" customFormat="false" ht="15" hidden="false" customHeight="false" outlineLevel="0" collapsed="false">
      <c r="A32" s="10" t="s">
        <v>137</v>
      </c>
      <c r="B32" s="21" t="n">
        <f aca="false">SUMIFS(v_qtd,v_categoria,A32)</f>
        <v>268</v>
      </c>
      <c r="C32" s="20" t="n">
        <f aca="false">SUMIFS(v_valor,v_categoria,A32)</f>
        <v>12390.32</v>
      </c>
      <c r="D32" s="22" t="n">
        <f aca="false">B32/SUM(v_qtd)</f>
        <v>0.101170252925632</v>
      </c>
      <c r="E32" s="22" t="n">
        <f aca="false">C32/SUM(v_valor)</f>
        <v>0.113314658998904</v>
      </c>
      <c r="F32" s="20" t="n">
        <f aca="false">C32/B32</f>
        <v>46.2325373134328</v>
      </c>
      <c r="G32" s="10" t="str">
        <f aca="false">IF(D32&gt;E32,"tráfego","valor")</f>
        <v>valor</v>
      </c>
    </row>
    <row r="33" customFormat="false" ht="15" hidden="false" customHeight="false" outlineLevel="0" collapsed="false">
      <c r="A33" s="10" t="s">
        <v>138</v>
      </c>
      <c r="B33" s="21" t="n">
        <f aca="false">SUMIFS(v_qtd,v_categoria,A33)</f>
        <v>202</v>
      </c>
      <c r="C33" s="20" t="n">
        <f aca="false">SUMIFS(v_valor,v_categoria,A33)</f>
        <v>8898.98</v>
      </c>
      <c r="D33" s="22" t="n">
        <f aca="false">B33/SUM(v_qtd)</f>
        <v>0.0762551906379766</v>
      </c>
      <c r="E33" s="22" t="n">
        <f aca="false">C33/SUM(v_valor)</f>
        <v>0.0813848943480126</v>
      </c>
      <c r="F33" s="20" t="n">
        <f aca="false">C33/B33</f>
        <v>44.0543564356436</v>
      </c>
      <c r="G33" s="10" t="str">
        <f aca="false">IF(D33&gt;E33,"tráfego","valor")</f>
        <v>valor</v>
      </c>
    </row>
    <row r="34" customFormat="false" ht="15" hidden="false" customHeight="false" outlineLevel="0" collapsed="false">
      <c r="A34" s="10" t="s">
        <v>139</v>
      </c>
      <c r="B34" s="21" t="n">
        <f aca="false">SUMIFS(v_qtd,v_categoria,A34)</f>
        <v>313</v>
      </c>
      <c r="C34" s="20" t="n">
        <f aca="false">SUMIFS(v_valor,v_categoria,A34)</f>
        <v>7820.41</v>
      </c>
      <c r="D34" s="22" t="n">
        <f aca="false">B34/SUM(v_qtd)</f>
        <v>0.118157795394488</v>
      </c>
      <c r="E34" s="22" t="n">
        <f aca="false">C34/SUM(v_valor)</f>
        <v>0.0715209205558549</v>
      </c>
      <c r="F34" s="20" t="n">
        <f aca="false">C34/B34</f>
        <v>24.9853354632588</v>
      </c>
      <c r="G34" s="10" t="str">
        <f aca="false">IF(D34&gt;E34,"tráfego","valor")</f>
        <v>tráfego</v>
      </c>
    </row>
    <row r="35" customFormat="false" ht="15" hidden="false" customHeight="false" outlineLevel="0" collapsed="false">
      <c r="A35" s="10" t="s">
        <v>140</v>
      </c>
      <c r="B35" s="21" t="n">
        <f aca="false">SUMIFS(v_qtd,v_categoria,A35)</f>
        <v>290</v>
      </c>
      <c r="C35" s="20" t="n">
        <f aca="false">SUMIFS(v_valor,v_categoria,A35)</f>
        <v>6173.26</v>
      </c>
      <c r="D35" s="22" t="n">
        <f aca="false">B35/SUM(v_qtd)</f>
        <v>0.109475273688184</v>
      </c>
      <c r="E35" s="22" t="n">
        <f aca="false">C35/SUM(v_valor)</f>
        <v>0.0564570448391627</v>
      </c>
      <c r="F35" s="20" t="n">
        <f aca="false">C35/B35</f>
        <v>21.2871034482759</v>
      </c>
      <c r="G35" s="10" t="str">
        <f aca="false">IF(D35&gt;E35,"tráfego","valor")</f>
        <v>tráfego</v>
      </c>
    </row>
    <row r="37" customFormat="false" ht="25.5" hidden="false" customHeight="true" outlineLevel="0" collapsed="false">
      <c r="A37" s="12" t="s">
        <v>149</v>
      </c>
      <c r="B37" s="12"/>
      <c r="C37" s="12"/>
      <c r="D37" s="12"/>
      <c r="E37" s="12"/>
      <c r="F37" s="12"/>
      <c r="G37" s="12"/>
      <c r="H37" s="12"/>
    </row>
    <row r="39" customFormat="false" ht="15" hidden="false" customHeight="false" outlineLevel="0" collapsed="false">
      <c r="A39" s="5" t="s">
        <v>105</v>
      </c>
    </row>
    <row r="40" customFormat="false" ht="15" hidden="false" customHeight="true" outlineLevel="0" collapsed="false">
      <c r="A40" s="26" t="s">
        <v>106</v>
      </c>
      <c r="B40" s="26"/>
      <c r="C40" s="26"/>
      <c r="D40" s="26"/>
      <c r="E40" s="26"/>
      <c r="F40" s="26"/>
      <c r="G40" s="26"/>
      <c r="H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  <c r="G41" s="26"/>
      <c r="H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6"/>
      <c r="G42" s="26"/>
      <c r="H42" s="26"/>
    </row>
    <row r="45" customFormat="false" ht="21.75" hidden="false" customHeight="true" outlineLevel="0" collapsed="false">
      <c r="A45" s="18" t="s">
        <v>150</v>
      </c>
      <c r="B45" s="18"/>
      <c r="C45" s="18"/>
      <c r="D45" s="18"/>
      <c r="E45" s="18"/>
      <c r="F45" s="18"/>
      <c r="G45" s="18"/>
      <c r="H45" s="18"/>
    </row>
    <row r="46" customFormat="false" ht="27.75" hidden="false" customHeight="true" outlineLevel="0" collapsed="false">
      <c r="A46" s="19" t="s">
        <v>151</v>
      </c>
      <c r="B46" s="19"/>
      <c r="C46" s="19"/>
      <c r="D46" s="19"/>
      <c r="E46" s="19"/>
      <c r="F46" s="19"/>
      <c r="G46" s="19"/>
      <c r="H46" s="19"/>
    </row>
    <row r="47" customFormat="false" ht="30" hidden="false" customHeight="true" outlineLevel="0" collapsed="false">
      <c r="A47" s="12" t="s">
        <v>152</v>
      </c>
      <c r="B47" s="12"/>
      <c r="C47" s="12"/>
      <c r="D47" s="12"/>
      <c r="E47" s="12"/>
      <c r="F47" s="12"/>
      <c r="G47" s="12"/>
      <c r="H47" s="12"/>
    </row>
    <row r="49" customFormat="false" ht="15" hidden="false" customHeight="false" outlineLevel="0" collapsed="false">
      <c r="A49" s="14" t="s">
        <v>131</v>
      </c>
      <c r="B49" s="14" t="s">
        <v>153</v>
      </c>
      <c r="C49" s="14" t="s">
        <v>154</v>
      </c>
      <c r="D49" s="14" t="s">
        <v>155</v>
      </c>
      <c r="E49" s="14" t="s">
        <v>156</v>
      </c>
      <c r="F49" s="14" t="s">
        <v>157</v>
      </c>
      <c r="G49" s="14" t="s">
        <v>158</v>
      </c>
      <c r="H49" s="14" t="s">
        <v>159</v>
      </c>
    </row>
    <row r="50" customFormat="false" ht="15" hidden="false" customHeight="false" outlineLevel="0" collapsed="false">
      <c r="A50" s="10" t="s">
        <v>134</v>
      </c>
      <c r="B50" s="21" t="n">
        <f aca="false">COUNTIFS(v_categoria,A50,v_preco_origem,"&lt;&gt;imputado_mediana_categoria")</f>
        <v>139</v>
      </c>
      <c r="C50" s="20" t="n">
        <f aca="false">_xlfn.MINIFS(v_preco,v_categoria,A50,v_preco_origem,"&lt;&gt;imputado_mediana_categoria")</f>
        <v>3</v>
      </c>
      <c r="D50" s="20" t="n">
        <f aca="false" t="array" ref="D50:D50">PERCENTILE(IF((v_categoria=A50)*(v_preco_origem&lt;&gt;"imputado_mediana_categoria"),v_preco),0.25)</f>
        <v>5.05</v>
      </c>
      <c r="E50" s="20" t="n">
        <f aca="false" t="array" ref="E50:E50">PERCENTILE(IF((v_categoria=A50)*(v_preco_origem&lt;&gt;"imputado_mediana_categoria"),v_preco),0.5)</f>
        <v>29.18</v>
      </c>
      <c r="F50" s="20" t="n">
        <f aca="false" t="array" ref="F50:F50">PERCENTILE(IF((v_categoria=A50)*(v_preco_origem&lt;&gt;"imputado_mediana_categoria"),v_preco),0.75)</f>
        <v>78.195</v>
      </c>
      <c r="G50" s="20" t="n">
        <f aca="false">_xlfn.MAXIFS(v_preco,v_categoria,A50,v_preco_origem,"&lt;&gt;imputado_mediana_categoria")</f>
        <v>239.17</v>
      </c>
      <c r="H50" s="20" t="n">
        <f aca="false">AVERAGEIFS(v_preco,v_categoria,A50,v_preco_origem,"&lt;&gt;imputado_mediana_categoria")</f>
        <v>55.7115827338129</v>
      </c>
    </row>
    <row r="51" customFormat="false" ht="15" hidden="false" customHeight="false" outlineLevel="0" collapsed="false">
      <c r="A51" s="10" t="s">
        <v>135</v>
      </c>
      <c r="B51" s="21" t="n">
        <f aca="false">COUNTIFS(v_categoria,A51,v_preco_origem,"&lt;&gt;imputado_mediana_categoria")</f>
        <v>170</v>
      </c>
      <c r="C51" s="20" t="n">
        <f aca="false">_xlfn.MINIFS(v_preco,v_categoria,A51,v_preco_origem,"&lt;&gt;imputado_mediana_categoria")</f>
        <v>2.5</v>
      </c>
      <c r="D51" s="20" t="n">
        <f aca="false" t="array" ref="D51:D51">PERCENTILE(IF((v_categoria=A51)*(v_preco_origem&lt;&gt;"imputado_mediana_categoria"),v_preco),0.25)</f>
        <v>5.4875</v>
      </c>
      <c r="E51" s="20" t="n">
        <f aca="false" t="array" ref="E51:E51">PERCENTILE(IF((v_categoria=A51)*(v_preco_origem&lt;&gt;"imputado_mediana_categoria"),v_preco),0.5)</f>
        <v>30.44</v>
      </c>
      <c r="F51" s="20" t="n">
        <f aca="false" t="array" ref="F51:F51">PERCENTILE(IF((v_categoria=A51)*(v_preco_origem&lt;&gt;"imputado_mediana_categoria"),v_preco),0.75)</f>
        <v>77.09</v>
      </c>
      <c r="G51" s="20" t="n">
        <f aca="false">_xlfn.MAXIFS(v_preco,v_categoria,A51,v_preco_origem,"&lt;&gt;imputado_mediana_categoria")</f>
        <v>177.16</v>
      </c>
      <c r="H51" s="20" t="n">
        <f aca="false">AVERAGEIFS(v_preco,v_categoria,A51,v_preco_origem,"&lt;&gt;imputado_mediana_categoria")</f>
        <v>49.8132941176471</v>
      </c>
    </row>
    <row r="52" customFormat="false" ht="15" hidden="false" customHeight="false" outlineLevel="0" collapsed="false">
      <c r="A52" s="10" t="s">
        <v>136</v>
      </c>
      <c r="B52" s="21" t="n">
        <f aca="false">COUNTIFS(v_categoria,A52,v_preco_origem,"&lt;&gt;imputado_mediana_categoria")</f>
        <v>127</v>
      </c>
      <c r="C52" s="20" t="n">
        <f aca="false">_xlfn.MINIFS(v_preco,v_categoria,A52,v_preco_origem,"&lt;&gt;imputado_mediana_categoria")</f>
        <v>4</v>
      </c>
      <c r="D52" s="20" t="n">
        <f aca="false" t="array" ref="D52:D52">PERCENTILE(IF((v_categoria=A52)*(v_preco_origem&lt;&gt;"imputado_mediana_categoria"),v_preco),0.25)</f>
        <v>5.525</v>
      </c>
      <c r="E52" s="20" t="n">
        <f aca="false" t="array" ref="E52:E52">PERCENTILE(IF((v_categoria=A52)*(v_preco_origem&lt;&gt;"imputado_mediana_categoria"),v_preco),0.5)</f>
        <v>21.67</v>
      </c>
      <c r="F52" s="20" t="n">
        <f aca="false" t="array" ref="F52:F52">PERCENTILE(IF((v_categoria=A52)*(v_preco_origem&lt;&gt;"imputado_mediana_categoria"),v_preco),0.75)</f>
        <v>73.63</v>
      </c>
      <c r="G52" s="20" t="n">
        <f aca="false">_xlfn.MAXIFS(v_preco,v_categoria,A52,v_preco_origem,"&lt;&gt;imputado_mediana_categoria")</f>
        <v>158.1</v>
      </c>
      <c r="H52" s="20" t="n">
        <f aca="false">AVERAGEIFS(v_preco,v_categoria,A52,v_preco_origem,"&lt;&gt;imputado_mediana_categoria")</f>
        <v>44.3004724409449</v>
      </c>
    </row>
    <row r="53" customFormat="false" ht="15" hidden="false" customHeight="false" outlineLevel="0" collapsed="false">
      <c r="A53" s="10" t="s">
        <v>137</v>
      </c>
      <c r="B53" s="21" t="n">
        <f aca="false">COUNTIFS(v_categoria,A53,v_preco_origem,"&lt;&gt;imputado_mediana_categoria")</f>
        <v>76</v>
      </c>
      <c r="C53" s="20" t="n">
        <f aca="false">_xlfn.MINIFS(v_preco,v_categoria,A53,v_preco_origem,"&lt;&gt;imputado_mediana_categoria")</f>
        <v>6</v>
      </c>
      <c r="D53" s="20" t="n">
        <f aca="false" t="array" ref="D53:D53">PERCENTILE(IF((v_categoria=A53)*(v_preco_origem&lt;&gt;"imputado_mediana_categoria"),v_preco),0.25)</f>
        <v>9.915</v>
      </c>
      <c r="E53" s="20" t="n">
        <f aca="false" t="array" ref="E53:E53">PERCENTILE(IF((v_categoria=A53)*(v_preco_origem&lt;&gt;"imputado_mediana_categoria"),v_preco),0.5)</f>
        <v>28.195</v>
      </c>
      <c r="F53" s="20" t="n">
        <f aca="false" t="array" ref="F53:F53">PERCENTILE(IF((v_categoria=A53)*(v_preco_origem&lt;&gt;"imputado_mediana_categoria"),v_preco),0.75)</f>
        <v>86.3</v>
      </c>
      <c r="G53" s="20" t="n">
        <f aca="false">_xlfn.MAXIFS(v_preco,v_categoria,A53,v_preco_origem,"&lt;&gt;imputado_mediana_categoria")</f>
        <v>207.34</v>
      </c>
      <c r="H53" s="20" t="n">
        <f aca="false">AVERAGEIFS(v_preco,v_categoria,A53,v_preco_origem,"&lt;&gt;imputado_mediana_categoria")</f>
        <v>54.9371052631579</v>
      </c>
    </row>
    <row r="54" customFormat="false" ht="15" hidden="false" customHeight="false" outlineLevel="0" collapsed="false">
      <c r="A54" s="10" t="s">
        <v>138</v>
      </c>
      <c r="B54" s="21" t="n">
        <f aca="false">COUNTIFS(v_categoria,A54,v_preco_origem,"&lt;&gt;imputado_mediana_categoria")</f>
        <v>54</v>
      </c>
      <c r="C54" s="20" t="n">
        <f aca="false">_xlfn.MINIFS(v_preco,v_categoria,A54,v_preco_origem,"&lt;&gt;imputado_mediana_categoria")</f>
        <v>3.5</v>
      </c>
      <c r="D54" s="20" t="n">
        <f aca="false" t="array" ref="D54:D54">PERCENTILE(IF((v_categoria=A54)*(v_preco_origem&lt;&gt;"imputado_mediana_categoria"),v_preco),0.25)</f>
        <v>6.5725</v>
      </c>
      <c r="E54" s="20" t="n">
        <f aca="false" t="array" ref="E54:E54">PERCENTILE(IF((v_categoria=A54)*(v_preco_origem&lt;&gt;"imputado_mediana_categoria"),v_preco),0.5)</f>
        <v>26.69</v>
      </c>
      <c r="F54" s="20" t="n">
        <f aca="false" t="array" ref="F54:F54">PERCENTILE(IF((v_categoria=A54)*(v_preco_origem&lt;&gt;"imputado_mediana_categoria"),v_preco),0.75)</f>
        <v>73.2225</v>
      </c>
      <c r="G54" s="20" t="n">
        <f aca="false">_xlfn.MAXIFS(v_preco,v_categoria,A54,v_preco_origem,"&lt;&gt;imputado_mediana_categoria")</f>
        <v>145.03</v>
      </c>
      <c r="H54" s="20" t="n">
        <f aca="false">AVERAGEIFS(v_preco,v_categoria,A54,v_preco_origem,"&lt;&gt;imputado_mediana_categoria")</f>
        <v>43.0092592592593</v>
      </c>
    </row>
    <row r="55" customFormat="false" ht="15" hidden="false" customHeight="false" outlineLevel="0" collapsed="false">
      <c r="A55" s="10" t="s">
        <v>139</v>
      </c>
      <c r="B55" s="21" t="n">
        <f aca="false">COUNTIFS(v_categoria,A55,v_preco_origem,"&lt;&gt;imputado_mediana_categoria")</f>
        <v>87</v>
      </c>
      <c r="C55" s="20" t="n">
        <f aca="false">_xlfn.MINIFS(v_preco,v_categoria,A55,v_preco_origem,"&lt;&gt;imputado_mediana_categoria")</f>
        <v>1.5</v>
      </c>
      <c r="D55" s="20" t="n">
        <f aca="false" t="array" ref="D55:D55">PERCENTILE(IF((v_categoria=A55)*(v_preco_origem&lt;&gt;"imputado_mediana_categoria"),v_preco),0.25)</f>
        <v>3.74</v>
      </c>
      <c r="E55" s="20" t="n">
        <f aca="false" t="array" ref="E55:E55">PERCENTILE(IF((v_categoria=A55)*(v_preco_origem&lt;&gt;"imputado_mediana_categoria"),v_preco),0.5)</f>
        <v>18.33</v>
      </c>
      <c r="F55" s="20" t="n">
        <f aca="false" t="array" ref="F55:F55">PERCENTILE(IF((v_categoria=A55)*(v_preco_origem&lt;&gt;"imputado_mediana_categoria"),v_preco),0.75)</f>
        <v>38.445</v>
      </c>
      <c r="G55" s="20" t="n">
        <f aca="false">_xlfn.MAXIFS(v_preco,v_categoria,A55,v_preco_origem,"&lt;&gt;imputado_mediana_categoria")</f>
        <v>87.89</v>
      </c>
      <c r="H55" s="20" t="n">
        <f aca="false">AVERAGEIFS(v_preco,v_categoria,A55,v_preco_origem,"&lt;&gt;imputado_mediana_categoria")</f>
        <v>25.562183908046</v>
      </c>
    </row>
    <row r="56" customFormat="false" ht="15" hidden="false" customHeight="false" outlineLevel="0" collapsed="false">
      <c r="A56" s="10" t="s">
        <v>140</v>
      </c>
      <c r="B56" s="21" t="n">
        <f aca="false">COUNTIFS(v_categoria,A56,v_preco_origem,"&lt;&gt;imputado_mediana_categoria")</f>
        <v>87</v>
      </c>
      <c r="C56" s="20" t="n">
        <f aca="false">_xlfn.MINIFS(v_preco,v_categoria,A56,v_preco_origem,"&lt;&gt;imputado_mediana_categoria")</f>
        <v>1.9</v>
      </c>
      <c r="D56" s="20" t="n">
        <f aca="false" t="array" ref="D56:D56">PERCENTILE(IF((v_categoria=A56)*(v_preco_origem&lt;&gt;"imputado_mediana_categoria"),v_preco),0.25)</f>
        <v>3.76</v>
      </c>
      <c r="E56" s="20" t="n">
        <f aca="false" t="array" ref="E56:E56">PERCENTILE(IF((v_categoria=A56)*(v_preco_origem&lt;&gt;"imputado_mediana_categoria"),v_preco),0.5)</f>
        <v>11.31</v>
      </c>
      <c r="F56" s="20" t="n">
        <f aca="false" t="array" ref="F56:F56">PERCENTILE(IF((v_categoria=A56)*(v_preco_origem&lt;&gt;"imputado_mediana_categoria"),v_preco),0.75)</f>
        <v>30.03</v>
      </c>
      <c r="G56" s="20" t="n">
        <f aca="false">_xlfn.MAXIFS(v_preco,v_categoria,A56,v_preco_origem,"&lt;&gt;imputado_mediana_categoria")</f>
        <v>68.77</v>
      </c>
      <c r="H56" s="20" t="n">
        <f aca="false">AVERAGEIFS(v_preco,v_categoria,A56,v_preco_origem,"&lt;&gt;imputado_mediana_categoria")</f>
        <v>20.0283908045977</v>
      </c>
    </row>
    <row r="58" customFormat="false" ht="25.5" hidden="false" customHeight="true" outlineLevel="0" collapsed="false">
      <c r="A58" s="12" t="s">
        <v>160</v>
      </c>
      <c r="B58" s="12"/>
      <c r="C58" s="12"/>
      <c r="D58" s="12"/>
      <c r="E58" s="12"/>
      <c r="F58" s="12"/>
      <c r="G58" s="12"/>
      <c r="H58" s="12"/>
    </row>
    <row r="60" customFormat="false" ht="15" hidden="false" customHeight="false" outlineLevel="0" collapsed="false">
      <c r="A60" s="5" t="s">
        <v>105</v>
      </c>
    </row>
    <row r="61" customFormat="false" ht="15" hidden="false" customHeight="true" outlineLevel="0" collapsed="false">
      <c r="A61" s="26" t="s">
        <v>106</v>
      </c>
      <c r="B61" s="26"/>
      <c r="C61" s="26"/>
      <c r="D61" s="26"/>
      <c r="E61" s="26"/>
      <c r="F61" s="26"/>
      <c r="G61" s="26"/>
      <c r="H61" s="26"/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  <c r="G62" s="26"/>
      <c r="H62" s="26"/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6"/>
      <c r="G63" s="26"/>
      <c r="H63" s="26"/>
    </row>
    <row r="66" customFormat="false" ht="21.75" hidden="false" customHeight="true" outlineLevel="0" collapsed="false">
      <c r="A66" s="18" t="s">
        <v>161</v>
      </c>
      <c r="B66" s="18"/>
      <c r="C66" s="18"/>
      <c r="D66" s="18"/>
      <c r="E66" s="18"/>
      <c r="F66" s="18"/>
      <c r="G66" s="18"/>
      <c r="H66" s="18"/>
    </row>
    <row r="67" customFormat="false" ht="27.75" hidden="false" customHeight="true" outlineLevel="0" collapsed="false">
      <c r="A67" s="19" t="s">
        <v>162</v>
      </c>
      <c r="B67" s="19"/>
      <c r="C67" s="19"/>
      <c r="D67" s="19"/>
      <c r="E67" s="19"/>
      <c r="F67" s="19"/>
      <c r="G67" s="19"/>
      <c r="H67" s="19"/>
    </row>
    <row r="68" customFormat="false" ht="30" hidden="false" customHeight="true" outlineLevel="0" collapsed="false">
      <c r="A68" s="12" t="s">
        <v>163</v>
      </c>
      <c r="B68" s="12"/>
      <c r="C68" s="12"/>
      <c r="D68" s="12"/>
      <c r="E68" s="12"/>
      <c r="F68" s="12"/>
      <c r="G68" s="12"/>
      <c r="H68" s="12"/>
    </row>
    <row r="70" customFormat="false" ht="15" hidden="false" customHeight="false" outlineLevel="0" collapsed="false">
      <c r="A70" s="14" t="s">
        <v>84</v>
      </c>
      <c r="B70" s="14" t="s">
        <v>134</v>
      </c>
      <c r="C70" s="14" t="s">
        <v>135</v>
      </c>
      <c r="D70" s="14" t="s">
        <v>136</v>
      </c>
      <c r="E70" s="14" t="s">
        <v>137</v>
      </c>
      <c r="F70" s="14" t="s">
        <v>138</v>
      </c>
      <c r="G70" s="14" t="s">
        <v>139</v>
      </c>
      <c r="H70" s="14" t="s">
        <v>140</v>
      </c>
    </row>
    <row r="71" customFormat="false" ht="15" hidden="false" customHeight="false" outlineLevel="0" collapsed="false">
      <c r="A71" s="10" t="s">
        <v>90</v>
      </c>
      <c r="B71" s="22" t="n">
        <f aca="false">IFERROR(SUMIFS(v_valor,v_mes,1,v_categoria,B$70)/SUMIFS(v_valor,v_mes,1),0)</f>
        <v>0.140838071734672</v>
      </c>
      <c r="C71" s="22" t="n">
        <f aca="false">IFERROR(SUMIFS(v_valor,v_mes,1,v_categoria,C$70)/SUMIFS(v_valor,v_mes,1),0)</f>
        <v>0.346793172255479</v>
      </c>
      <c r="D71" s="22" t="n">
        <f aca="false">IFERROR(SUMIFS(v_valor,v_mes,1,v_categoria,D$70)/SUMIFS(v_valor,v_mes,1),0)</f>
        <v>0.0673603352731598</v>
      </c>
      <c r="E71" s="22" t="n">
        <f aca="false">IFERROR(SUMIFS(v_valor,v_mes,1,v_categoria,E$70)/SUMIFS(v_valor,v_mes,1),0)</f>
        <v>0.102307226270475</v>
      </c>
      <c r="F71" s="22" t="n">
        <f aca="false">IFERROR(SUMIFS(v_valor,v_mes,1,v_categoria,F$70)/SUMIFS(v_valor,v_mes,1),0)</f>
        <v>0.0945334689544391</v>
      </c>
      <c r="G71" s="22" t="n">
        <f aca="false">IFERROR(SUMIFS(v_valor,v_mes,1,v_categoria,G$70)/SUMIFS(v_valor,v_mes,1),0)</f>
        <v>0.070783100720904</v>
      </c>
      <c r="H71" s="22" t="n">
        <f aca="false">IFERROR(SUMIFS(v_valor,v_mes,1,v_categoria,H$70)/SUMIFS(v_valor,v_mes,1),0)</f>
        <v>0.177384624790871</v>
      </c>
    </row>
    <row r="72" customFormat="false" ht="15" hidden="false" customHeight="false" outlineLevel="0" collapsed="false">
      <c r="A72" s="10" t="s">
        <v>91</v>
      </c>
      <c r="B72" s="22" t="n">
        <f aca="false">IFERROR(SUMIFS(v_valor,v_mes,2,v_categoria,B$70)/SUMIFS(v_valor,v_mes,2),0)</f>
        <v>0.394965890044889</v>
      </c>
      <c r="C72" s="22" t="n">
        <f aca="false">IFERROR(SUMIFS(v_valor,v_mes,2,v_categoria,C$70)/SUMIFS(v_valor,v_mes,2),0)</f>
        <v>0.109378924915523</v>
      </c>
      <c r="D72" s="22" t="n">
        <f aca="false">IFERROR(SUMIFS(v_valor,v_mes,2,v_categoria,D$70)/SUMIFS(v_valor,v_mes,2),0)</f>
        <v>0.129397856756638</v>
      </c>
      <c r="E72" s="22" t="n">
        <f aca="false">IFERROR(SUMIFS(v_valor,v_mes,2,v_categoria,E$70)/SUMIFS(v_valor,v_mes,2),0)</f>
        <v>0.219886096734045</v>
      </c>
      <c r="F72" s="22" t="n">
        <f aca="false">IFERROR(SUMIFS(v_valor,v_mes,2,v_categoria,F$70)/SUMIFS(v_valor,v_mes,2),0)</f>
        <v>0.0605620230673272</v>
      </c>
      <c r="G72" s="22" t="n">
        <f aca="false">IFERROR(SUMIFS(v_valor,v_mes,2,v_categoria,G$70)/SUMIFS(v_valor,v_mes,2),0)</f>
        <v>0.0554558188447036</v>
      </c>
      <c r="H72" s="22" t="n">
        <f aca="false">IFERROR(SUMIFS(v_valor,v_mes,2,v_categoria,H$70)/SUMIFS(v_valor,v_mes,2),0)</f>
        <v>0.0303533896368748</v>
      </c>
    </row>
    <row r="73" customFormat="false" ht="15" hidden="false" customHeight="false" outlineLevel="0" collapsed="false">
      <c r="A73" s="10" t="s">
        <v>92</v>
      </c>
      <c r="B73" s="22" t="n">
        <f aca="false">IFERROR(SUMIFS(v_valor,v_mes,3,v_categoria,B$70)/SUMIFS(v_valor,v_mes,3),0)</f>
        <v>0.182180023945501</v>
      </c>
      <c r="C73" s="22" t="n">
        <f aca="false">IFERROR(SUMIFS(v_valor,v_mes,3,v_categoria,C$70)/SUMIFS(v_valor,v_mes,3),0)</f>
        <v>0.345133580983241</v>
      </c>
      <c r="D73" s="22" t="n">
        <f aca="false">IFERROR(SUMIFS(v_valor,v_mes,3,v_categoria,D$70)/SUMIFS(v_valor,v_mes,3),0)</f>
        <v>0.101913427427186</v>
      </c>
      <c r="E73" s="22" t="n">
        <f aca="false">IFERROR(SUMIFS(v_valor,v_mes,3,v_categoria,E$70)/SUMIFS(v_valor,v_mes,3),0)</f>
        <v>0.0839297172513319</v>
      </c>
      <c r="F73" s="22" t="n">
        <f aca="false">IFERROR(SUMIFS(v_valor,v_mes,3,v_categoria,F$70)/SUMIFS(v_valor,v_mes,3),0)</f>
        <v>0.142483104162928</v>
      </c>
      <c r="G73" s="22" t="n">
        <f aca="false">IFERROR(SUMIFS(v_valor,v_mes,3,v_categoria,G$70)/SUMIFS(v_valor,v_mes,3),0)</f>
        <v>0.10046907613145</v>
      </c>
      <c r="H73" s="22" t="n">
        <f aca="false">IFERROR(SUMIFS(v_valor,v_mes,3,v_categoria,H$70)/SUMIFS(v_valor,v_mes,3),0)</f>
        <v>0.0438910700983634</v>
      </c>
    </row>
    <row r="74" customFormat="false" ht="15" hidden="false" customHeight="false" outlineLevel="0" collapsed="false">
      <c r="A74" s="10" t="s">
        <v>93</v>
      </c>
      <c r="B74" s="22" t="n">
        <f aca="false">IFERROR(SUMIFS(v_valor,v_mes,4,v_categoria,B$70)/SUMIFS(v_valor,v_mes,4),0)</f>
        <v>0.32338740369052</v>
      </c>
      <c r="C74" s="22" t="n">
        <f aca="false">IFERROR(SUMIFS(v_valor,v_mes,4,v_categoria,C$70)/SUMIFS(v_valor,v_mes,4),0)</f>
        <v>0.175885833240355</v>
      </c>
      <c r="D74" s="22" t="n">
        <f aca="false">IFERROR(SUMIFS(v_valor,v_mes,4,v_categoria,D$70)/SUMIFS(v_valor,v_mes,4),0)</f>
        <v>0.22377118961409</v>
      </c>
      <c r="E74" s="22" t="n">
        <f aca="false">IFERROR(SUMIFS(v_valor,v_mes,4,v_categoria,E$70)/SUMIFS(v_valor,v_mes,4),0)</f>
        <v>0.0519264952901779</v>
      </c>
      <c r="F74" s="22" t="n">
        <f aca="false">IFERROR(SUMIFS(v_valor,v_mes,4,v_categoria,F$70)/SUMIFS(v_valor,v_mes,4),0)</f>
        <v>0.089929096658724</v>
      </c>
      <c r="G74" s="22" t="n">
        <f aca="false">IFERROR(SUMIFS(v_valor,v_mes,4,v_categoria,G$70)/SUMIFS(v_valor,v_mes,4),0)</f>
        <v>0.0337872227257513</v>
      </c>
      <c r="H74" s="22" t="n">
        <f aca="false">IFERROR(SUMIFS(v_valor,v_mes,4,v_categoria,H$70)/SUMIFS(v_valor,v_mes,4),0)</f>
        <v>0.101312758780383</v>
      </c>
    </row>
    <row r="75" customFormat="false" ht="15" hidden="false" customHeight="false" outlineLevel="0" collapsed="false">
      <c r="A75" s="10" t="s">
        <v>94</v>
      </c>
      <c r="B75" s="22" t="n">
        <f aca="false">IFERROR(SUMIFS(v_valor,v_mes,5,v_categoria,B$70)/SUMIFS(v_valor,v_mes,5),0)</f>
        <v>0.0628207365516181</v>
      </c>
      <c r="C75" s="22" t="n">
        <f aca="false">IFERROR(SUMIFS(v_valor,v_mes,5,v_categoria,C$70)/SUMIFS(v_valor,v_mes,5),0)</f>
        <v>0.326286865292867</v>
      </c>
      <c r="D75" s="22" t="n">
        <f aca="false">IFERROR(SUMIFS(v_valor,v_mes,5,v_categoria,D$70)/SUMIFS(v_valor,v_mes,5),0)</f>
        <v>0.163618652682183</v>
      </c>
      <c r="E75" s="22" t="n">
        <f aca="false">IFERROR(SUMIFS(v_valor,v_mes,5,v_categoria,E$70)/SUMIFS(v_valor,v_mes,5),0)</f>
        <v>0.209868801804653</v>
      </c>
      <c r="F75" s="22" t="n">
        <f aca="false">IFERROR(SUMIFS(v_valor,v_mes,5,v_categoria,F$70)/SUMIFS(v_valor,v_mes,5),0)</f>
        <v>0.135052210118243</v>
      </c>
      <c r="G75" s="22" t="n">
        <f aca="false">IFERROR(SUMIFS(v_valor,v_mes,5,v_categoria,G$70)/SUMIFS(v_valor,v_mes,5),0)</f>
        <v>0.0556214487901115</v>
      </c>
      <c r="H75" s="22" t="n">
        <f aca="false">IFERROR(SUMIFS(v_valor,v_mes,5,v_categoria,H$70)/SUMIFS(v_valor,v_mes,5),0)</f>
        <v>0.0467312847603245</v>
      </c>
    </row>
    <row r="76" customFormat="false" ht="15" hidden="false" customHeight="false" outlineLevel="0" collapsed="false">
      <c r="A76" s="10" t="s">
        <v>95</v>
      </c>
      <c r="B76" s="22" t="n">
        <f aca="false">IFERROR(SUMIFS(v_valor,v_mes,6,v_categoria,B$70)/SUMIFS(v_valor,v_mes,6),0)</f>
        <v>0.26031812434041</v>
      </c>
      <c r="C76" s="22" t="n">
        <f aca="false">IFERROR(SUMIFS(v_valor,v_mes,6,v_categoria,C$70)/SUMIFS(v_valor,v_mes,6),0)</f>
        <v>0.22868361826709</v>
      </c>
      <c r="D76" s="22" t="n">
        <f aca="false">IFERROR(SUMIFS(v_valor,v_mes,6,v_categoria,D$70)/SUMIFS(v_valor,v_mes,6),0)</f>
        <v>0.247036005286226</v>
      </c>
      <c r="E76" s="22" t="n">
        <f aca="false">IFERROR(SUMIFS(v_valor,v_mes,6,v_categoria,E$70)/SUMIFS(v_valor,v_mes,6),0)</f>
        <v>0.0670571121611729</v>
      </c>
      <c r="F76" s="22" t="n">
        <f aca="false">IFERROR(SUMIFS(v_valor,v_mes,6,v_categoria,F$70)/SUMIFS(v_valor,v_mes,6),0)</f>
        <v>0.03484264240689</v>
      </c>
      <c r="G76" s="22" t="n">
        <f aca="false">IFERROR(SUMIFS(v_valor,v_mes,6,v_categoria,G$70)/SUMIFS(v_valor,v_mes,6),0)</f>
        <v>0.102180907921598</v>
      </c>
      <c r="H76" s="22" t="n">
        <f aca="false">IFERROR(SUMIFS(v_valor,v_mes,6,v_categoria,H$70)/SUMIFS(v_valor,v_mes,6),0)</f>
        <v>0.0598815896166128</v>
      </c>
    </row>
    <row r="77" customFormat="false" ht="15" hidden="false" customHeight="false" outlineLevel="0" collapsed="false">
      <c r="A77" s="10" t="s">
        <v>96</v>
      </c>
      <c r="B77" s="22" t="n">
        <f aca="false">IFERROR(SUMIFS(v_valor,v_mes,7,v_categoria,B$70)/SUMIFS(v_valor,v_mes,7),0)</f>
        <v>0.296753691989912</v>
      </c>
      <c r="C77" s="22" t="n">
        <f aca="false">IFERROR(SUMIFS(v_valor,v_mes,7,v_categoria,C$70)/SUMIFS(v_valor,v_mes,7),0)</f>
        <v>0.200200292973527</v>
      </c>
      <c r="D77" s="22" t="n">
        <f aca="false">IFERROR(SUMIFS(v_valor,v_mes,7,v_categoria,D$70)/SUMIFS(v_valor,v_mes,7),0)</f>
        <v>0.271189306037194</v>
      </c>
      <c r="E77" s="22" t="n">
        <f aca="false">IFERROR(SUMIFS(v_valor,v_mes,7,v_categoria,E$70)/SUMIFS(v_valor,v_mes,7),0)</f>
        <v>0.125347873882363</v>
      </c>
      <c r="F77" s="22" t="n">
        <f aca="false">IFERROR(SUMIFS(v_valor,v_mes,7,v_categoria,F$70)/SUMIFS(v_valor,v_mes,7),0)</f>
        <v>0.0462965108346141</v>
      </c>
      <c r="G77" s="22" t="n">
        <f aca="false">IFERROR(SUMIFS(v_valor,v_mes,7,v_categoria,G$70)/SUMIFS(v_valor,v_mes,7),0)</f>
        <v>0.0539950038316544</v>
      </c>
      <c r="H77" s="22" t="n">
        <f aca="false">IFERROR(SUMIFS(v_valor,v_mes,7,v_categoria,H$70)/SUMIFS(v_valor,v_mes,7),0)</f>
        <v>0.00621732045073642</v>
      </c>
    </row>
    <row r="78" customFormat="false" ht="15" hidden="false" customHeight="false" outlineLevel="0" collapsed="false">
      <c r="A78" s="10" t="s">
        <v>97</v>
      </c>
      <c r="B78" s="22" t="n">
        <f aca="false">IFERROR(SUMIFS(v_valor,v_mes,8,v_categoria,B$70)/SUMIFS(v_valor,v_mes,8),0)</f>
        <v>0.478121620777323</v>
      </c>
      <c r="C78" s="22" t="n">
        <f aca="false">IFERROR(SUMIFS(v_valor,v_mes,8,v_categoria,C$70)/SUMIFS(v_valor,v_mes,8),0)</f>
        <v>0.0874846808571992</v>
      </c>
      <c r="D78" s="22" t="n">
        <f aca="false">IFERROR(SUMIFS(v_valor,v_mes,8,v_categoria,D$70)/SUMIFS(v_valor,v_mes,8),0)</f>
        <v>0.0950031959937138</v>
      </c>
      <c r="E78" s="22" t="n">
        <f aca="false">IFERROR(SUMIFS(v_valor,v_mes,8,v_categoria,E$70)/SUMIFS(v_valor,v_mes,8),0)</f>
        <v>0.146240982732022</v>
      </c>
      <c r="F78" s="22" t="n">
        <f aca="false">IFERROR(SUMIFS(v_valor,v_mes,8,v_categoria,F$70)/SUMIFS(v_valor,v_mes,8),0)</f>
        <v>0.0468921964887323</v>
      </c>
      <c r="G78" s="22" t="n">
        <f aca="false">IFERROR(SUMIFS(v_valor,v_mes,8,v_categoria,G$70)/SUMIFS(v_valor,v_mes,8),0)</f>
        <v>0.0944168633123952</v>
      </c>
      <c r="H78" s="22" t="n">
        <f aca="false">IFERROR(SUMIFS(v_valor,v_mes,8,v_categoria,H$70)/SUMIFS(v_valor,v_mes,8),0)</f>
        <v>0.0518404598386143</v>
      </c>
    </row>
    <row r="79" customFormat="false" ht="15" hidden="false" customHeight="false" outlineLevel="0" collapsed="false">
      <c r="A79" s="10" t="s">
        <v>98</v>
      </c>
      <c r="B79" s="22" t="n">
        <f aca="false">IFERROR(SUMIFS(v_valor,v_mes,9,v_categoria,B$70)/SUMIFS(v_valor,v_mes,9),0)</f>
        <v>0.291195099014091</v>
      </c>
      <c r="C79" s="22" t="n">
        <f aca="false">IFERROR(SUMIFS(v_valor,v_mes,9,v_categoria,C$70)/SUMIFS(v_valor,v_mes,9),0)</f>
        <v>0.22096760240696</v>
      </c>
      <c r="D79" s="22" t="n">
        <f aca="false">IFERROR(SUMIFS(v_valor,v_mes,9,v_categoria,D$70)/SUMIFS(v_valor,v_mes,9),0)</f>
        <v>0.143262307113443</v>
      </c>
      <c r="E79" s="22" t="n">
        <f aca="false">IFERROR(SUMIFS(v_valor,v_mes,9,v_categoria,E$70)/SUMIFS(v_valor,v_mes,9),0)</f>
        <v>0.118229959750672</v>
      </c>
      <c r="F79" s="22" t="n">
        <f aca="false">IFERROR(SUMIFS(v_valor,v_mes,9,v_categoria,F$70)/SUMIFS(v_valor,v_mes,9),0)</f>
        <v>0.169121593527365</v>
      </c>
      <c r="G79" s="22" t="n">
        <f aca="false">IFERROR(SUMIFS(v_valor,v_mes,9,v_categoria,G$70)/SUMIFS(v_valor,v_mes,9),0)</f>
        <v>0.0424259731416894</v>
      </c>
      <c r="H79" s="22" t="n">
        <f aca="false">IFERROR(SUMIFS(v_valor,v_mes,9,v_categoria,H$70)/SUMIFS(v_valor,v_mes,9),0)</f>
        <v>0.0147974650457793</v>
      </c>
    </row>
    <row r="80" customFormat="false" ht="15" hidden="false" customHeight="false" outlineLevel="0" collapsed="false">
      <c r="A80" s="10" t="s">
        <v>99</v>
      </c>
      <c r="B80" s="22" t="n">
        <f aca="false">IFERROR(SUMIFS(v_valor,v_mes,10,v_categoria,B$70)/SUMIFS(v_valor,v_mes,10),0)</f>
        <v>0.293961908577903</v>
      </c>
      <c r="C80" s="22" t="n">
        <f aca="false">IFERROR(SUMIFS(v_valor,v_mes,10,v_categoria,C$70)/SUMIFS(v_valor,v_mes,10),0)</f>
        <v>0.330376801980777</v>
      </c>
      <c r="D80" s="22" t="n">
        <f aca="false">IFERROR(SUMIFS(v_valor,v_mes,10,v_categoria,D$70)/SUMIFS(v_valor,v_mes,10),0)</f>
        <v>0.105752631018944</v>
      </c>
      <c r="E80" s="22" t="n">
        <f aca="false">IFERROR(SUMIFS(v_valor,v_mes,10,v_categoria,E$70)/SUMIFS(v_valor,v_mes,10),0)</f>
        <v>0.0487525725465311</v>
      </c>
      <c r="F80" s="22" t="n">
        <f aca="false">IFERROR(SUMIFS(v_valor,v_mes,10,v_categoria,F$70)/SUMIFS(v_valor,v_mes,10),0)</f>
        <v>0.0700346137513696</v>
      </c>
      <c r="G80" s="22" t="n">
        <f aca="false">IFERROR(SUMIFS(v_valor,v_mes,10,v_categoria,G$70)/SUMIFS(v_valor,v_mes,10),0)</f>
        <v>0.0905766434342669</v>
      </c>
      <c r="H80" s="22" t="n">
        <f aca="false">IFERROR(SUMIFS(v_valor,v_mes,10,v_categoria,H$70)/SUMIFS(v_valor,v_mes,10),0)</f>
        <v>0.0605448286902084</v>
      </c>
    </row>
    <row r="81" customFormat="false" ht="15" hidden="false" customHeight="false" outlineLevel="0" collapsed="false">
      <c r="A81" s="10" t="s">
        <v>100</v>
      </c>
      <c r="B81" s="22" t="n">
        <f aca="false">IFERROR(SUMIFS(v_valor,v_mes,11,v_categoria,B$70)/SUMIFS(v_valor,v_mes,11),0)</f>
        <v>0.320339148972165</v>
      </c>
      <c r="C81" s="22" t="n">
        <f aca="false">IFERROR(SUMIFS(v_valor,v_mes,11,v_categoria,C$70)/SUMIFS(v_valor,v_mes,11),0)</f>
        <v>0.25587765393765</v>
      </c>
      <c r="D81" s="22" t="n">
        <f aca="false">IFERROR(SUMIFS(v_valor,v_mes,11,v_categoria,D$70)/SUMIFS(v_valor,v_mes,11),0)</f>
        <v>0.262906032620421</v>
      </c>
      <c r="E81" s="22" t="n">
        <f aca="false">IFERROR(SUMIFS(v_valor,v_mes,11,v_categoria,E$70)/SUMIFS(v_valor,v_mes,11),0)</f>
        <v>0.0168833156079429</v>
      </c>
      <c r="F81" s="22" t="n">
        <f aca="false">IFERROR(SUMIFS(v_valor,v_mes,11,v_categoria,F$70)/SUMIFS(v_valor,v_mes,11),0)</f>
        <v>0.0301939908550291</v>
      </c>
      <c r="G81" s="22" t="n">
        <f aca="false">IFERROR(SUMIFS(v_valor,v_mes,11,v_categoria,G$70)/SUMIFS(v_valor,v_mes,11),0)</f>
        <v>0.0810283197565396</v>
      </c>
      <c r="H81" s="22" t="n">
        <f aca="false">IFERROR(SUMIFS(v_valor,v_mes,11,v_categoria,H$70)/SUMIFS(v_valor,v_mes,11),0)</f>
        <v>0.0327715382502521</v>
      </c>
    </row>
    <row r="82" customFormat="false" ht="15" hidden="false" customHeight="false" outlineLevel="0" collapsed="false">
      <c r="A82" s="10" t="s">
        <v>101</v>
      </c>
      <c r="B82" s="22" t="n">
        <f aca="false">IFERROR(SUMIFS(v_valor,v_mes,12,v_categoria,B$70)/SUMIFS(v_valor,v_mes,12),0)</f>
        <v>0.245554382288469</v>
      </c>
      <c r="C82" s="22" t="n">
        <f aca="false">IFERROR(SUMIFS(v_valor,v_mes,12,v_categoria,C$70)/SUMIFS(v_valor,v_mes,12),0)</f>
        <v>0.213741630279532</v>
      </c>
      <c r="D82" s="22" t="n">
        <f aca="false">IFERROR(SUMIFS(v_valor,v_mes,12,v_categoria,D$70)/SUMIFS(v_valor,v_mes,12),0)</f>
        <v>0.140446865270434</v>
      </c>
      <c r="E82" s="22" t="n">
        <f aca="false">IFERROR(SUMIFS(v_valor,v_mes,12,v_categoria,E$70)/SUMIFS(v_valor,v_mes,12),0)</f>
        <v>0.181612232056828</v>
      </c>
      <c r="F82" s="22" t="n">
        <f aca="false">IFERROR(SUMIFS(v_valor,v_mes,12,v_categoria,F$70)/SUMIFS(v_valor,v_mes,12),0)</f>
        <v>0.0481410964656575</v>
      </c>
      <c r="G82" s="22" t="n">
        <f aca="false">IFERROR(SUMIFS(v_valor,v_mes,12,v_categoria,G$70)/SUMIFS(v_valor,v_mes,12),0)</f>
        <v>0.0778718656441576</v>
      </c>
      <c r="H82" s="22" t="n">
        <f aca="false">IFERROR(SUMIFS(v_valor,v_mes,12,v_categoria,H$70)/SUMIFS(v_valor,v_mes,12),0)</f>
        <v>0.0926319279949228</v>
      </c>
    </row>
    <row r="84" customFormat="false" ht="15" hidden="false" customHeight="false" outlineLevel="0" collapsed="false">
      <c r="A84" s="5" t="s">
        <v>105</v>
      </c>
    </row>
    <row r="85" customFormat="false" ht="15" hidden="false" customHeight="true" outlineLevel="0" collapsed="false">
      <c r="A85" s="26" t="s">
        <v>106</v>
      </c>
      <c r="B85" s="26"/>
      <c r="C85" s="26"/>
      <c r="D85" s="26"/>
      <c r="E85" s="26"/>
      <c r="F85" s="26"/>
      <c r="G85" s="26"/>
      <c r="H85" s="26"/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6"/>
      <c r="G86" s="26"/>
      <c r="H86" s="26"/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6"/>
      <c r="G87" s="26"/>
      <c r="H87" s="26"/>
    </row>
  </sheetData>
  <mergeCells count="18">
    <mergeCell ref="A4:F4"/>
    <mergeCell ref="A5:F5"/>
    <mergeCell ref="A6:F6"/>
    <mergeCell ref="A19:H21"/>
    <mergeCell ref="A24:H24"/>
    <mergeCell ref="A25:H25"/>
    <mergeCell ref="A26:H26"/>
    <mergeCell ref="A37:H37"/>
    <mergeCell ref="A40:H42"/>
    <mergeCell ref="A45:H45"/>
    <mergeCell ref="A46:H46"/>
    <mergeCell ref="A47:H47"/>
    <mergeCell ref="A58:H58"/>
    <mergeCell ref="A61:H63"/>
    <mergeCell ref="A66:H66"/>
    <mergeCell ref="A67:H67"/>
    <mergeCell ref="A68:H68"/>
    <mergeCell ref="A85:H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8" min="3" style="0" width="13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21.75" hidden="false" customHeight="true" outlineLevel="0" collapsed="false">
      <c r="A4" s="18" t="s">
        <v>166</v>
      </c>
      <c r="B4" s="18"/>
      <c r="C4" s="18"/>
      <c r="D4" s="18"/>
      <c r="E4" s="18"/>
      <c r="F4" s="18"/>
    </row>
    <row r="5" customFormat="false" ht="27.75" hidden="false" customHeight="true" outlineLevel="0" collapsed="false">
      <c r="A5" s="19" t="s">
        <v>167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12" t="s">
        <v>168</v>
      </c>
      <c r="B6" s="12"/>
      <c r="C6" s="12"/>
      <c r="D6" s="12"/>
      <c r="E6" s="12"/>
      <c r="F6" s="12"/>
    </row>
    <row r="8" customFormat="false" ht="15" hidden="false" customHeight="false" outlineLevel="0" collapsed="false">
      <c r="A8" s="14" t="s">
        <v>169</v>
      </c>
      <c r="B8" s="14" t="s">
        <v>86</v>
      </c>
      <c r="C8" s="14" t="s">
        <v>170</v>
      </c>
      <c r="D8" s="14" t="s">
        <v>171</v>
      </c>
      <c r="E8" s="14" t="s">
        <v>87</v>
      </c>
    </row>
    <row r="9" customFormat="false" ht="15" hidden="false" customHeight="false" outlineLevel="0" collapsed="false">
      <c r="A9" s="10" t="s">
        <v>172</v>
      </c>
      <c r="B9" s="20" t="n">
        <f aca="false">SUMIFS(v_valor,v_canal,A9)</f>
        <v>38289.29</v>
      </c>
      <c r="C9" s="22" t="n">
        <f aca="false">B9/SUM(v_valor)</f>
        <v>0.350171572619605</v>
      </c>
      <c r="D9" s="22" t="n">
        <f aca="false">IF(A9="Não informado","—",B9/(SUM(v_valor)-SUMIFS(v_valor,v_canal,"Não informado")))</f>
        <v>0.471262370251211</v>
      </c>
      <c r="E9" s="21" t="n">
        <f aca="false">COUNTIFS(v_canal,A9)</f>
        <v>339</v>
      </c>
    </row>
    <row r="10" customFormat="false" ht="15" hidden="false" customHeight="false" outlineLevel="0" collapsed="false">
      <c r="A10" s="10" t="s">
        <v>173</v>
      </c>
      <c r="B10" s="20" t="n">
        <f aca="false">SUMIFS(v_valor,v_canal,A10)</f>
        <v>23622.95</v>
      </c>
      <c r="C10" s="22" t="n">
        <f aca="false">B10/SUM(v_valor)</f>
        <v>0.216041758711491</v>
      </c>
      <c r="D10" s="22" t="n">
        <f aca="false">IF(A10="Não informado","—",B10/(SUM(v_valor)-SUMIFS(v_valor,v_canal,"Não informado")))</f>
        <v>0.290749904459598</v>
      </c>
      <c r="E10" s="21" t="n">
        <f aca="false">COUNTIFS(v_canal,A10)</f>
        <v>210</v>
      </c>
    </row>
    <row r="11" customFormat="false" ht="15" hidden="false" customHeight="false" outlineLevel="0" collapsed="false">
      <c r="A11" s="10" t="s">
        <v>174</v>
      </c>
      <c r="B11" s="20" t="n">
        <f aca="false">SUMIFS(v_valor,v_canal,A11)</f>
        <v>16769.02</v>
      </c>
      <c r="C11" s="22" t="n">
        <f aca="false">B11/SUM(v_valor)</f>
        <v>0.153359702013007</v>
      </c>
      <c r="D11" s="22" t="n">
        <f aca="false">IF(A11="Não informado","—",B11/(SUM(v_valor)-SUMIFS(v_valor,v_canal,"Não informado")))</f>
        <v>0.206392129809405</v>
      </c>
      <c r="E11" s="21" t="n">
        <f aca="false">COUNTIFS(v_canal,A11)</f>
        <v>180</v>
      </c>
    </row>
    <row r="12" customFormat="false" ht="15" hidden="false" customHeight="false" outlineLevel="0" collapsed="false">
      <c r="A12" s="10" t="s">
        <v>175</v>
      </c>
      <c r="B12" s="20" t="n">
        <f aca="false">SUMIFS(v_valor,v_canal,A12)</f>
        <v>2567.09</v>
      </c>
      <c r="C12" s="22" t="n">
        <f aca="false">B12/SUM(v_valor)</f>
        <v>0.0234771118074026</v>
      </c>
      <c r="D12" s="22" t="n">
        <f aca="false">IF(A12="Não informado","—",B12/(SUM(v_valor)-SUMIFS(v_valor,v_canal,"Não informado")))</f>
        <v>0.0315955954797851</v>
      </c>
      <c r="E12" s="21" t="n">
        <f aca="false">COUNTIFS(v_canal,A12)</f>
        <v>38</v>
      </c>
    </row>
    <row r="13" customFormat="false" ht="15" hidden="false" customHeight="false" outlineLevel="0" collapsed="false">
      <c r="A13" s="10" t="s">
        <v>176</v>
      </c>
      <c r="B13" s="20" t="n">
        <f aca="false">SUMIFS(v_valor,v_canal,A13)</f>
        <v>28096.02</v>
      </c>
      <c r="C13" s="22" t="n">
        <f aca="false">B13/SUM(v_valor)</f>
        <v>0.256949854848494</v>
      </c>
      <c r="D13" s="22" t="str">
        <f aca="false">IF(A13="Não informado","—",B13/(SUM(v_valor)-SUMIFS(v_valor,v_canal,"Não informado")))</f>
        <v>—</v>
      </c>
      <c r="E13" s="21" t="n">
        <f aca="false">COUNTIFS(v_canal,A13)</f>
        <v>233</v>
      </c>
    </row>
    <row r="16" customFormat="false" ht="15" hidden="false" customHeight="false" outlineLevel="0" collapsed="false">
      <c r="A16" s="5" t="s">
        <v>105</v>
      </c>
    </row>
    <row r="17" customFormat="false" ht="15" hidden="false" customHeight="true" outlineLevel="0" collapsed="false">
      <c r="A17" s="26" t="s">
        <v>106</v>
      </c>
      <c r="B17" s="26"/>
      <c r="C17" s="26"/>
      <c r="D17" s="26"/>
      <c r="E17" s="26"/>
      <c r="F17" s="26"/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</row>
    <row r="22" customFormat="false" ht="21.75" hidden="false" customHeight="true" outlineLevel="0" collapsed="false">
      <c r="A22" s="18" t="s">
        <v>177</v>
      </c>
      <c r="B22" s="18"/>
      <c r="C22" s="18"/>
      <c r="D22" s="18"/>
      <c r="E22" s="18"/>
      <c r="F22" s="18"/>
    </row>
    <row r="23" customFormat="false" ht="27.75" hidden="false" customHeight="true" outlineLevel="0" collapsed="false">
      <c r="A23" s="19" t="s">
        <v>178</v>
      </c>
      <c r="B23" s="19"/>
      <c r="C23" s="19"/>
      <c r="D23" s="19"/>
      <c r="E23" s="19"/>
      <c r="F23" s="19"/>
    </row>
    <row r="24" customFormat="false" ht="30" hidden="false" customHeight="true" outlineLevel="0" collapsed="false">
      <c r="A24" s="12" t="s">
        <v>179</v>
      </c>
      <c r="B24" s="12"/>
      <c r="C24" s="12"/>
      <c r="D24" s="12"/>
      <c r="E24" s="12"/>
      <c r="F24" s="12"/>
    </row>
    <row r="26" customFormat="false" ht="15" hidden="false" customHeight="false" outlineLevel="0" collapsed="false">
      <c r="A26" s="14" t="s">
        <v>169</v>
      </c>
      <c r="B26" s="14" t="s">
        <v>86</v>
      </c>
      <c r="C26" s="14" t="s">
        <v>87</v>
      </c>
      <c r="D26" s="14" t="s">
        <v>88</v>
      </c>
      <c r="E26" s="14" t="s">
        <v>180</v>
      </c>
    </row>
    <row r="27" customFormat="false" ht="15" hidden="false" customHeight="false" outlineLevel="0" collapsed="false">
      <c r="A27" s="10" t="s">
        <v>172</v>
      </c>
      <c r="B27" s="20" t="n">
        <f aca="false">SUMIFS(v_valor,v_canal,A27)</f>
        <v>38289.29</v>
      </c>
      <c r="C27" s="21" t="n">
        <f aca="false">COUNTIFS(v_canal,A27)</f>
        <v>339</v>
      </c>
      <c r="D27" s="20" t="n">
        <f aca="false">IFERROR(B27/C27,0)</f>
        <v>112.947758112094</v>
      </c>
      <c r="E27" s="22" t="n">
        <f aca="false">D27/(SUM(v_valor)/COUNT(v_valor))-1</f>
        <v>0.0329544915032607</v>
      </c>
    </row>
    <row r="28" customFormat="false" ht="15" hidden="false" customHeight="false" outlineLevel="0" collapsed="false">
      <c r="A28" s="10" t="s">
        <v>173</v>
      </c>
      <c r="B28" s="20" t="n">
        <f aca="false">SUMIFS(v_valor,v_canal,A28)</f>
        <v>23622.95</v>
      </c>
      <c r="C28" s="21" t="n">
        <f aca="false">COUNTIFS(v_canal,A28)</f>
        <v>210</v>
      </c>
      <c r="D28" s="20" t="n">
        <f aca="false">IFERROR(B28/C28,0)</f>
        <v>112.490238095238</v>
      </c>
      <c r="E28" s="22" t="n">
        <f aca="false">D28/(SUM(v_valor)/COUNT(v_valor))-1</f>
        <v>0.0287702795785287</v>
      </c>
    </row>
    <row r="29" customFormat="false" ht="15" hidden="false" customHeight="false" outlineLevel="0" collapsed="false">
      <c r="A29" s="10" t="s">
        <v>174</v>
      </c>
      <c r="B29" s="20" t="n">
        <f aca="false">SUMIFS(v_valor,v_canal,A29)</f>
        <v>16769.02</v>
      </c>
      <c r="C29" s="21" t="n">
        <f aca="false">COUNTIFS(v_canal,A29)</f>
        <v>180</v>
      </c>
      <c r="D29" s="20" t="n">
        <f aca="false">IFERROR(B29/C29,0)</f>
        <v>93.1612222222222</v>
      </c>
      <c r="E29" s="22" t="n">
        <f aca="false">D29/(SUM(v_valor)/COUNT(v_valor))-1</f>
        <v>-0.148001655483294</v>
      </c>
    </row>
    <row r="30" customFormat="false" ht="15" hidden="false" customHeight="false" outlineLevel="0" collapsed="false">
      <c r="A30" s="10" t="s">
        <v>175</v>
      </c>
      <c r="B30" s="20" t="n">
        <f aca="false">SUMIFS(v_valor,v_canal,A30)</f>
        <v>2567.09</v>
      </c>
      <c r="C30" s="21" t="n">
        <f aca="false">COUNTIFS(v_canal,A30)</f>
        <v>38</v>
      </c>
      <c r="D30" s="20" t="n">
        <f aca="false">IFERROR(B30/C30,0)</f>
        <v>67.555</v>
      </c>
      <c r="E30" s="22" t="n">
        <f aca="false">D30/(SUM(v_valor)/COUNT(v_valor))-1</f>
        <v>-0.382181268226247</v>
      </c>
    </row>
    <row r="31" customFormat="false" ht="15" hidden="false" customHeight="false" outlineLevel="0" collapsed="false">
      <c r="A31" s="10" t="s">
        <v>176</v>
      </c>
      <c r="B31" s="20" t="n">
        <f aca="false">SUMIFS(v_valor,v_canal,A31)</f>
        <v>28096.02</v>
      </c>
      <c r="C31" s="21" t="n">
        <f aca="false">COUNTIFS(v_canal,A31)</f>
        <v>233</v>
      </c>
      <c r="D31" s="20" t="n">
        <f aca="false">IFERROR(B31/C31,0)</f>
        <v>120.583776824034</v>
      </c>
      <c r="E31" s="22" t="n">
        <f aca="false">D31/(SUM(v_valor)/COUNT(v_valor))-1</f>
        <v>0.102789076602978</v>
      </c>
    </row>
    <row r="34" customFormat="false" ht="15" hidden="false" customHeight="false" outlineLevel="0" collapsed="false">
      <c r="A34" s="5" t="s">
        <v>105</v>
      </c>
    </row>
    <row r="35" customFormat="false" ht="15" hidden="false" customHeight="true" outlineLevel="0" collapsed="false">
      <c r="A35" s="26" t="s">
        <v>106</v>
      </c>
      <c r="B35" s="26"/>
      <c r="C35" s="26"/>
      <c r="D35" s="26"/>
      <c r="E35" s="26"/>
      <c r="F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</row>
    <row r="37" customFormat="false" ht="15" hidden="false" customHeight="false" outlineLevel="0" collapsed="false">
      <c r="A37" s="26"/>
      <c r="B37" s="26"/>
      <c r="C37" s="26"/>
      <c r="D37" s="26"/>
      <c r="E37" s="26"/>
      <c r="F37" s="26"/>
    </row>
    <row r="40" customFormat="false" ht="21.75" hidden="false" customHeight="true" outlineLevel="0" collapsed="false">
      <c r="A40" s="18" t="s">
        <v>181</v>
      </c>
      <c r="B40" s="18"/>
      <c r="C40" s="18"/>
      <c r="D40" s="18"/>
      <c r="E40" s="18"/>
      <c r="F40" s="18"/>
      <c r="G40" s="18"/>
      <c r="H40" s="18"/>
    </row>
    <row r="41" customFormat="false" ht="27.75" hidden="false" customHeight="true" outlineLevel="0" collapsed="false">
      <c r="A41" s="19" t="s">
        <v>182</v>
      </c>
      <c r="B41" s="19"/>
      <c r="C41" s="19"/>
      <c r="D41" s="19"/>
      <c r="E41" s="19"/>
      <c r="F41" s="19"/>
      <c r="G41" s="19"/>
      <c r="H41" s="19"/>
    </row>
    <row r="42" customFormat="false" ht="30" hidden="false" customHeight="true" outlineLevel="0" collapsed="false">
      <c r="A42" s="12" t="s">
        <v>183</v>
      </c>
      <c r="B42" s="12"/>
      <c r="C42" s="12"/>
      <c r="D42" s="12"/>
      <c r="E42" s="12"/>
      <c r="F42" s="12"/>
      <c r="G42" s="12"/>
      <c r="H42" s="12"/>
    </row>
    <row r="44" customFormat="false" ht="15" hidden="false" customHeight="false" outlineLevel="0" collapsed="false">
      <c r="A44" s="14" t="s">
        <v>169</v>
      </c>
      <c r="B44" s="14" t="s">
        <v>134</v>
      </c>
      <c r="C44" s="14" t="s">
        <v>135</v>
      </c>
      <c r="D44" s="14" t="s">
        <v>136</v>
      </c>
      <c r="E44" s="14" t="s">
        <v>137</v>
      </c>
      <c r="F44" s="14" t="s">
        <v>138</v>
      </c>
      <c r="G44" s="14" t="s">
        <v>139</v>
      </c>
      <c r="H44" s="14" t="s">
        <v>140</v>
      </c>
    </row>
    <row r="45" customFormat="false" ht="15" hidden="false" customHeight="false" outlineLevel="0" collapsed="false">
      <c r="A45" s="10" t="s">
        <v>172</v>
      </c>
      <c r="B45" s="22" t="n">
        <f aca="false">IFERROR(SUMIFS(v_valor,v_canal,$A45,v_categoria,B$44)/SUMIFS(v_valor,v_canal,$A45),0)</f>
        <v>0.291917139231362</v>
      </c>
      <c r="C45" s="22" t="n">
        <f aca="false">IFERROR(SUMIFS(v_valor,v_canal,$A45,v_categoria,C$44)/SUMIFS(v_valor,v_canal,$A45),0)</f>
        <v>0.224441612785194</v>
      </c>
      <c r="D45" s="22" t="n">
        <f aca="false">IFERROR(SUMIFS(v_valor,v_canal,$A45,v_categoria,D$44)/SUMIFS(v_valor,v_canal,$A45),0)</f>
        <v>0.19128508259098</v>
      </c>
      <c r="E45" s="22" t="n">
        <f aca="false">IFERROR(SUMIFS(v_valor,v_canal,$A45,v_categoria,E$44)/SUMIFS(v_valor,v_canal,$A45),0)</f>
        <v>0.128801030261987</v>
      </c>
      <c r="F45" s="22" t="n">
        <f aca="false">IFERROR(SUMIFS(v_valor,v_canal,$A45,v_categoria,F$44)/SUMIFS(v_valor,v_canal,$A45),0)</f>
        <v>0.0582995923925463</v>
      </c>
      <c r="G45" s="22" t="n">
        <f aca="false">IFERROR(SUMIFS(v_valor,v_canal,$A45,v_categoria,G$44)/SUMIFS(v_valor,v_canal,$A45),0)</f>
        <v>0.0453090146095684</v>
      </c>
      <c r="H45" s="22" t="n">
        <f aca="false">IFERROR(SUMIFS(v_valor,v_canal,$A45,v_categoria,H$44)/SUMIFS(v_valor,v_canal,$A45),0)</f>
        <v>0.0599465281283617</v>
      </c>
    </row>
    <row r="46" customFormat="false" ht="15" hidden="false" customHeight="false" outlineLevel="0" collapsed="false">
      <c r="A46" s="10" t="s">
        <v>173</v>
      </c>
      <c r="B46" s="22" t="n">
        <f aca="false">IFERROR(SUMIFS(v_valor,v_canal,$A46,v_categoria,B$44)/SUMIFS(v_valor,v_canal,$A46),0)</f>
        <v>0.241441479578122</v>
      </c>
      <c r="C46" s="22" t="n">
        <f aca="false">IFERROR(SUMIFS(v_valor,v_canal,$A46,v_categoria,C$44)/SUMIFS(v_valor,v_canal,$A46),0)</f>
        <v>0.204271270099628</v>
      </c>
      <c r="D46" s="22" t="n">
        <f aca="false">IFERROR(SUMIFS(v_valor,v_canal,$A46,v_categoria,D$44)/SUMIFS(v_valor,v_canal,$A46),0)</f>
        <v>0.16551108138484</v>
      </c>
      <c r="E46" s="22" t="n">
        <f aca="false">IFERROR(SUMIFS(v_valor,v_canal,$A46,v_categoria,E$44)/SUMIFS(v_valor,v_canal,$A46),0)</f>
        <v>0.150340664480939</v>
      </c>
      <c r="F46" s="22" t="n">
        <f aca="false">IFERROR(SUMIFS(v_valor,v_canal,$A46,v_categoria,F$44)/SUMIFS(v_valor,v_canal,$A46),0)</f>
        <v>0.0788690658871987</v>
      </c>
      <c r="G46" s="22" t="n">
        <f aca="false">IFERROR(SUMIFS(v_valor,v_canal,$A46,v_categoria,G$44)/SUMIFS(v_valor,v_canal,$A46),0)</f>
        <v>0.0969159228631479</v>
      </c>
      <c r="H46" s="22" t="n">
        <f aca="false">IFERROR(SUMIFS(v_valor,v_canal,$A46,v_categoria,H$44)/SUMIFS(v_valor,v_canal,$A46),0)</f>
        <v>0.0626505157061248</v>
      </c>
    </row>
    <row r="47" customFormat="false" ht="15" hidden="false" customHeight="false" outlineLevel="0" collapsed="false">
      <c r="A47" s="10" t="s">
        <v>174</v>
      </c>
      <c r="B47" s="22" t="n">
        <f aca="false">IFERROR(SUMIFS(v_valor,v_canal,$A47,v_categoria,B$44)/SUMIFS(v_valor,v_canal,$A47),0)</f>
        <v>0.27870799843998</v>
      </c>
      <c r="C47" s="22" t="n">
        <f aca="false">IFERROR(SUMIFS(v_valor,v_canal,$A47,v_categoria,C$44)/SUMIFS(v_valor,v_canal,$A47),0)</f>
        <v>0.25685818252945</v>
      </c>
      <c r="D47" s="22" t="n">
        <f aca="false">IFERROR(SUMIFS(v_valor,v_canal,$A47,v_categoria,D$44)/SUMIFS(v_valor,v_canal,$A47),0)</f>
        <v>0.151685667975827</v>
      </c>
      <c r="E47" s="22" t="n">
        <f aca="false">IFERROR(SUMIFS(v_valor,v_canal,$A47,v_categoria,E$44)/SUMIFS(v_valor,v_canal,$A47),0)</f>
        <v>0.0817954776128838</v>
      </c>
      <c r="F47" s="22" t="n">
        <f aca="false">IFERROR(SUMIFS(v_valor,v_canal,$A47,v_categoria,F$44)/SUMIFS(v_valor,v_canal,$A47),0)</f>
        <v>0.0799712803729735</v>
      </c>
      <c r="G47" s="22" t="n">
        <f aca="false">IFERROR(SUMIFS(v_valor,v_canal,$A47,v_categoria,G$44)/SUMIFS(v_valor,v_canal,$A47),0)</f>
        <v>0.0659871596551259</v>
      </c>
      <c r="H47" s="22" t="n">
        <f aca="false">IFERROR(SUMIFS(v_valor,v_canal,$A47,v_categoria,H$44)/SUMIFS(v_valor,v_canal,$A47),0)</f>
        <v>0.0849942334137594</v>
      </c>
    </row>
    <row r="48" customFormat="false" ht="15" hidden="false" customHeight="false" outlineLevel="0" collapsed="false">
      <c r="A48" s="10" t="s">
        <v>175</v>
      </c>
      <c r="B48" s="22" t="n">
        <f aca="false">IFERROR(SUMIFS(v_valor,v_canal,$A48,v_categoria,B$44)/SUMIFS(v_valor,v_canal,$A48),0)</f>
        <v>0.619962681479808</v>
      </c>
      <c r="C48" s="22" t="n">
        <f aca="false">IFERROR(SUMIFS(v_valor,v_canal,$A48,v_categoria,C$44)/SUMIFS(v_valor,v_canal,$A48),0)</f>
        <v>0.158019391606839</v>
      </c>
      <c r="D48" s="22" t="n">
        <f aca="false">IFERROR(SUMIFS(v_valor,v_canal,$A48,v_categoria,D$44)/SUMIFS(v_valor,v_canal,$A48),0)</f>
        <v>0.0249893848676907</v>
      </c>
      <c r="E48" s="22" t="n">
        <f aca="false">IFERROR(SUMIFS(v_valor,v_canal,$A48,v_categoria,E$44)/SUMIFS(v_valor,v_canal,$A48),0)</f>
        <v>0.0189202560097231</v>
      </c>
      <c r="F48" s="22" t="n">
        <f aca="false">IFERROR(SUMIFS(v_valor,v_canal,$A48,v_categoria,F$44)/SUMIFS(v_valor,v_canal,$A48),0)</f>
        <v>0.0307975178119972</v>
      </c>
      <c r="G48" s="22" t="n">
        <f aca="false">IFERROR(SUMIFS(v_valor,v_canal,$A48,v_categoria,G$44)/SUMIFS(v_valor,v_canal,$A48),0)</f>
        <v>0.085287231846176</v>
      </c>
      <c r="H48" s="22" t="n">
        <f aca="false">IFERROR(SUMIFS(v_valor,v_canal,$A48,v_categoria,H$44)/SUMIFS(v_valor,v_canal,$A48),0)</f>
        <v>0.0620235363777663</v>
      </c>
    </row>
    <row r="49" customFormat="false" ht="15" hidden="false" customHeight="false" outlineLevel="0" collapsed="false">
      <c r="A49" s="10" t="s">
        <v>176</v>
      </c>
      <c r="B49" s="22" t="n">
        <f aca="false">IFERROR(SUMIFS(v_valor,v_canal,$A49,v_categoria,B$44)/SUMIFS(v_valor,v_canal,$A49),0)</f>
        <v>0.244249541394119</v>
      </c>
      <c r="C49" s="22" t="n">
        <f aca="false">IFERROR(SUMIFS(v_valor,v_canal,$A49,v_categoria,C$44)/SUMIFS(v_valor,v_canal,$A49),0)</f>
        <v>0.286162951193799</v>
      </c>
      <c r="D49" s="22" t="n">
        <f aca="false">IFERROR(SUMIFS(v_valor,v_canal,$A49,v_categoria,D$44)/SUMIFS(v_valor,v_canal,$A49),0)</f>
        <v>0.143756660195999</v>
      </c>
      <c r="E49" s="22" t="n">
        <f aca="false">IFERROR(SUMIFS(v_valor,v_canal,$A49,v_categoria,E$44)/SUMIFS(v_valor,v_canal,$A49),0)</f>
        <v>0.0885153840294818</v>
      </c>
      <c r="F49" s="22" t="n">
        <f aca="false">IFERROR(SUMIFS(v_valor,v_canal,$A49,v_categoria,F$44)/SUMIFS(v_valor,v_canal,$A49),0)</f>
        <v>0.12042666541382</v>
      </c>
      <c r="G49" s="22" t="n">
        <f aca="false">IFERROR(SUMIFS(v_valor,v_canal,$A49,v_categoria,G$44)/SUMIFS(v_valor,v_canal,$A49),0)</f>
        <v>0.0879355866062168</v>
      </c>
      <c r="H49" s="22" t="n">
        <f aca="false">IFERROR(SUMIFS(v_valor,v_canal,$A49,v_categoria,H$44)/SUMIFS(v_valor,v_canal,$A49),0)</f>
        <v>0.0289532111665638</v>
      </c>
    </row>
    <row r="52" customFormat="false" ht="15" hidden="false" customHeight="false" outlineLevel="0" collapsed="false">
      <c r="A52" s="5" t="s">
        <v>105</v>
      </c>
    </row>
    <row r="53" customFormat="false" ht="15" hidden="false" customHeight="true" outlineLevel="0" collapsed="false">
      <c r="A53" s="26" t="s">
        <v>106</v>
      </c>
      <c r="B53" s="26"/>
      <c r="C53" s="26"/>
      <c r="D53" s="26"/>
      <c r="E53" s="26"/>
      <c r="F53" s="26"/>
      <c r="G53" s="26"/>
      <c r="H53" s="26"/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6"/>
      <c r="G54" s="26"/>
      <c r="H54" s="26"/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6"/>
      <c r="G55" s="26"/>
      <c r="H55" s="26"/>
    </row>
  </sheetData>
  <mergeCells count="12">
    <mergeCell ref="A4:F4"/>
    <mergeCell ref="A5:F5"/>
    <mergeCell ref="A6:F6"/>
    <mergeCell ref="A17:F19"/>
    <mergeCell ref="A22:F22"/>
    <mergeCell ref="A23:F23"/>
    <mergeCell ref="A24:F24"/>
    <mergeCell ref="A35:F37"/>
    <mergeCell ref="A40:H40"/>
    <mergeCell ref="A41:H41"/>
    <mergeCell ref="A42:H42"/>
    <mergeCell ref="A53:H55"/>
  </mergeCells>
  <conditionalFormatting sqref="B45:H49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3"/>
  </cols>
  <sheetData>
    <row r="1" customFormat="false" ht="19.7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" t="s">
        <v>185</v>
      </c>
    </row>
    <row r="4" customFormat="false" ht="21.75" hidden="false" customHeight="true" outlineLevel="0" collapsed="false">
      <c r="A4" s="18" t="s">
        <v>186</v>
      </c>
      <c r="B4" s="18"/>
      <c r="C4" s="18"/>
      <c r="D4" s="18"/>
      <c r="E4" s="18"/>
      <c r="F4" s="18"/>
    </row>
    <row r="5" customFormat="false" ht="27.75" hidden="false" customHeight="true" outlineLevel="0" collapsed="false">
      <c r="A5" s="19" t="s">
        <v>187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12" t="s">
        <v>188</v>
      </c>
      <c r="B6" s="12"/>
      <c r="C6" s="12"/>
      <c r="D6" s="12"/>
      <c r="E6" s="12"/>
      <c r="F6" s="12"/>
    </row>
    <row r="8" customFormat="false" ht="23.85" hidden="false" customHeight="false" outlineLevel="0" collapsed="false">
      <c r="A8" s="14" t="s">
        <v>189</v>
      </c>
      <c r="B8" s="14" t="s">
        <v>86</v>
      </c>
      <c r="C8" s="14" t="s">
        <v>170</v>
      </c>
      <c r="D8" s="14" t="s">
        <v>87</v>
      </c>
      <c r="E8" s="14" t="s">
        <v>133</v>
      </c>
      <c r="F8" s="14" t="s">
        <v>190</v>
      </c>
    </row>
    <row r="9" customFormat="false" ht="15" hidden="false" customHeight="false" outlineLevel="0" collapsed="false">
      <c r="A9" s="10" t="s">
        <v>191</v>
      </c>
      <c r="B9" s="20" t="n">
        <f aca="false">SUMIFS(v_valor,v_uf,A9)</f>
        <v>22877.15</v>
      </c>
      <c r="C9" s="22" t="n">
        <f aca="false">B9/SUM(v_valor)</f>
        <v>0.20922110575972</v>
      </c>
      <c r="D9" s="21" t="n">
        <f aca="false">COUNTIFS(v_uf,A9)</f>
        <v>227</v>
      </c>
      <c r="E9" s="21" t="n">
        <f aca="false">RANK(B9,$B$9:$B$23)</f>
        <v>1</v>
      </c>
      <c r="F9" s="10" t="str">
        <f aca="false">IF(D9&gt;=4_Geografia!$C$26,"sim","não")</f>
        <v>sim</v>
      </c>
    </row>
    <row r="10" customFormat="false" ht="15" hidden="false" customHeight="false" outlineLevel="0" collapsed="false">
      <c r="A10" s="10" t="s">
        <v>192</v>
      </c>
      <c r="B10" s="20" t="n">
        <f aca="false">SUMIFS(v_valor,v_uf,A10)</f>
        <v>9957</v>
      </c>
      <c r="C10" s="22" t="n">
        <f aca="false">B10/SUM(v_valor)</f>
        <v>0.0910609297945564</v>
      </c>
      <c r="D10" s="21" t="n">
        <f aca="false">COUNTIFS(v_uf,A10)</f>
        <v>79</v>
      </c>
      <c r="E10" s="21" t="n">
        <f aca="false">RANK(B10,$B$9:$B$23)</f>
        <v>2</v>
      </c>
      <c r="F10" s="10" t="str">
        <f aca="false">IF(D10&gt;=4_Geografia!$C$26,"sim","não")</f>
        <v>sim</v>
      </c>
    </row>
    <row r="11" customFormat="false" ht="15" hidden="false" customHeight="false" outlineLevel="0" collapsed="false">
      <c r="A11" s="10" t="s">
        <v>193</v>
      </c>
      <c r="B11" s="20" t="n">
        <f aca="false">SUMIFS(v_valor,v_uf,A11)</f>
        <v>8549.11</v>
      </c>
      <c r="C11" s="22" t="n">
        <f aca="false">B11/SUM(v_valor)</f>
        <v>0.0781851868550708</v>
      </c>
      <c r="D11" s="21" t="n">
        <f aca="false">COUNTIFS(v_uf,A11)</f>
        <v>54</v>
      </c>
      <c r="E11" s="21" t="n">
        <f aca="false">RANK(B11,$B$9:$B$23)</f>
        <v>3</v>
      </c>
      <c r="F11" s="10" t="str">
        <f aca="false">IF(D11&gt;=4_Geografia!$C$26,"sim","não")</f>
        <v>sim</v>
      </c>
    </row>
    <row r="12" customFormat="false" ht="15" hidden="false" customHeight="false" outlineLevel="0" collapsed="false">
      <c r="A12" s="10" t="s">
        <v>194</v>
      </c>
      <c r="B12" s="20" t="n">
        <f aca="false">SUMIFS(v_valor,v_uf,A12)</f>
        <v>7484.96</v>
      </c>
      <c r="C12" s="22" t="n">
        <f aca="false">B12/SUM(v_valor)</f>
        <v>0.0684530899944826</v>
      </c>
      <c r="D12" s="21" t="n">
        <f aca="false">COUNTIFS(v_uf,A12)</f>
        <v>94</v>
      </c>
      <c r="E12" s="21" t="n">
        <f aca="false">RANK(B12,$B$9:$B$23)</f>
        <v>4</v>
      </c>
      <c r="F12" s="10" t="str">
        <f aca="false">IF(D12&gt;=4_Geografia!$C$26,"sim","não")</f>
        <v>sim</v>
      </c>
    </row>
    <row r="13" customFormat="false" ht="15" hidden="false" customHeight="false" outlineLevel="0" collapsed="false">
      <c r="A13" s="10" t="s">
        <v>195</v>
      </c>
      <c r="B13" s="20" t="n">
        <f aca="false">SUMIFS(v_valor,v_uf,A13)</f>
        <v>5699.85</v>
      </c>
      <c r="C13" s="22" t="n">
        <f aca="false">B13/SUM(v_valor)</f>
        <v>0.0521275123721505</v>
      </c>
      <c r="D13" s="21" t="n">
        <f aca="false">COUNTIFS(v_uf,A13)</f>
        <v>41</v>
      </c>
      <c r="E13" s="21" t="n">
        <f aca="false">RANK(B13,$B$9:$B$23)</f>
        <v>5</v>
      </c>
      <c r="F13" s="10" t="str">
        <f aca="false">IF(D13&gt;=4_Geografia!$C$26,"sim","não")</f>
        <v>sim</v>
      </c>
    </row>
    <row r="14" customFormat="false" ht="15" hidden="false" customHeight="false" outlineLevel="0" collapsed="false">
      <c r="A14" s="10" t="s">
        <v>196</v>
      </c>
      <c r="B14" s="20" t="n">
        <f aca="false">SUMIFS(v_valor,v_uf,A14)</f>
        <v>5225.46</v>
      </c>
      <c r="C14" s="22" t="n">
        <f aca="false">B14/SUM(v_valor)</f>
        <v>0.0477890173952257</v>
      </c>
      <c r="D14" s="21" t="n">
        <f aca="false">COUNTIFS(v_uf,A14)</f>
        <v>43</v>
      </c>
      <c r="E14" s="21" t="n">
        <f aca="false">RANK(B14,$B$9:$B$23)</f>
        <v>6</v>
      </c>
      <c r="F14" s="10" t="str">
        <f aca="false">IF(D14&gt;=4_Geografia!$C$26,"sim","não")</f>
        <v>sim</v>
      </c>
    </row>
    <row r="15" customFormat="false" ht="15" hidden="false" customHeight="false" outlineLevel="0" collapsed="false">
      <c r="A15" s="10" t="s">
        <v>197</v>
      </c>
      <c r="B15" s="20" t="n">
        <f aca="false">SUMIFS(v_valor,v_uf,A15)</f>
        <v>5064.29</v>
      </c>
      <c r="C15" s="22" t="n">
        <f aca="false">B15/SUM(v_valor)</f>
        <v>0.0463150503313522</v>
      </c>
      <c r="D15" s="21" t="n">
        <f aca="false">COUNTIFS(v_uf,A15)</f>
        <v>36</v>
      </c>
      <c r="E15" s="21" t="n">
        <f aca="false">RANK(B15,$B$9:$B$23)</f>
        <v>7</v>
      </c>
      <c r="F15" s="10" t="str">
        <f aca="false">IF(D15&gt;=4_Geografia!$C$26,"sim","não")</f>
        <v>sim</v>
      </c>
    </row>
    <row r="16" customFormat="false" ht="15" hidden="false" customHeight="false" outlineLevel="0" collapsed="false">
      <c r="A16" s="10" t="s">
        <v>198</v>
      </c>
      <c r="B16" s="20" t="n">
        <f aca="false">SUMIFS(v_valor,v_uf,A16)</f>
        <v>4022.49</v>
      </c>
      <c r="C16" s="22" t="n">
        <f aca="false">B16/SUM(v_valor)</f>
        <v>0.0367873535692784</v>
      </c>
      <c r="D16" s="21" t="n">
        <f aca="false">COUNTIFS(v_uf,A16)</f>
        <v>22</v>
      </c>
      <c r="E16" s="21" t="n">
        <f aca="false">RANK(B16,$B$9:$B$23)</f>
        <v>8</v>
      </c>
      <c r="F16" s="10" t="str">
        <f aca="false">IF(D16&gt;=4_Geografia!$C$26,"sim","não")</f>
        <v>sim</v>
      </c>
    </row>
    <row r="17" customFormat="false" ht="15" hidden="false" customHeight="false" outlineLevel="0" collapsed="false">
      <c r="A17" s="10" t="s">
        <v>199</v>
      </c>
      <c r="B17" s="20" t="n">
        <f aca="false">SUMIFS(v_valor,v_uf,A17)</f>
        <v>3879.87</v>
      </c>
      <c r="C17" s="22" t="n">
        <f aca="false">B17/SUM(v_valor)</f>
        <v>0.0354830340144628</v>
      </c>
      <c r="D17" s="21" t="n">
        <f aca="false">COUNTIFS(v_uf,A17)</f>
        <v>40</v>
      </c>
      <c r="E17" s="21" t="n">
        <f aca="false">RANK(B17,$B$9:$B$23)</f>
        <v>9</v>
      </c>
      <c r="F17" s="10" t="str">
        <f aca="false">IF(D17&gt;=4_Geografia!$C$26,"sim","não")</f>
        <v>sim</v>
      </c>
    </row>
    <row r="18" customFormat="false" ht="15" hidden="false" customHeight="false" outlineLevel="0" collapsed="false">
      <c r="A18" s="10" t="s">
        <v>200</v>
      </c>
      <c r="B18" s="20" t="n">
        <f aca="false">SUMIFS(v_valor,v_uf,A18)</f>
        <v>3860.62</v>
      </c>
      <c r="C18" s="22" t="n">
        <f aca="false">B18/SUM(v_valor)</f>
        <v>0.0353069847126103</v>
      </c>
      <c r="D18" s="21" t="n">
        <f aca="false">COUNTIFS(v_uf,A18)</f>
        <v>33</v>
      </c>
      <c r="E18" s="21" t="n">
        <f aca="false">RANK(B18,$B$9:$B$23)</f>
        <v>10</v>
      </c>
      <c r="F18" s="10" t="str">
        <f aca="false">IF(D18&gt;=4_Geografia!$C$26,"sim","não")</f>
        <v>sim</v>
      </c>
    </row>
    <row r="19" customFormat="false" ht="15" hidden="false" customHeight="false" outlineLevel="0" collapsed="false">
      <c r="A19" s="10" t="s">
        <v>201</v>
      </c>
      <c r="B19" s="20" t="n">
        <f aca="false">SUMIFS(v_valor,v_uf,A19)</f>
        <v>3248.4</v>
      </c>
      <c r="C19" s="22" t="n">
        <f aca="false">B19/SUM(v_valor)</f>
        <v>0.0297079767344217</v>
      </c>
      <c r="D19" s="21" t="n">
        <f aca="false">COUNTIFS(v_uf,A19)</f>
        <v>17</v>
      </c>
      <c r="E19" s="21" t="n">
        <f aca="false">RANK(B19,$B$9:$B$23)</f>
        <v>11</v>
      </c>
      <c r="F19" s="10" t="str">
        <f aca="false">IF(D19&gt;=4_Geografia!$C$26,"sim","não")</f>
        <v>sim</v>
      </c>
    </row>
    <row r="20" customFormat="false" ht="15" hidden="false" customHeight="false" outlineLevel="0" collapsed="false">
      <c r="A20" s="10" t="s">
        <v>202</v>
      </c>
      <c r="B20" s="20" t="n">
        <f aca="false">SUMIFS(v_valor,v_uf,A20)</f>
        <v>2621.45</v>
      </c>
      <c r="C20" s="22" t="n">
        <f aca="false">B20/SUM(v_valor)</f>
        <v>0.0239742567449975</v>
      </c>
      <c r="D20" s="21" t="n">
        <f aca="false">COUNTIFS(v_uf,A20)</f>
        <v>24</v>
      </c>
      <c r="E20" s="21" t="n">
        <f aca="false">RANK(B20,$B$9:$B$23)</f>
        <v>12</v>
      </c>
      <c r="F20" s="10" t="str">
        <f aca="false">IF(D20&gt;=4_Geografia!$C$26,"sim","não")</f>
        <v>sim</v>
      </c>
    </row>
    <row r="21" customFormat="false" ht="15" hidden="false" customHeight="false" outlineLevel="0" collapsed="false">
      <c r="A21" s="10" t="s">
        <v>203</v>
      </c>
      <c r="B21" s="20" t="n">
        <f aca="false">SUMIFS(v_valor,v_uf,A21)</f>
        <v>1983.24</v>
      </c>
      <c r="C21" s="22" t="n">
        <f aca="false">B21/SUM(v_valor)</f>
        <v>0.0181375593457624</v>
      </c>
      <c r="D21" s="21" t="n">
        <f aca="false">COUNTIFS(v_uf,A21)</f>
        <v>6</v>
      </c>
      <c r="E21" s="21" t="n">
        <f aca="false">RANK(B21,$B$9:$B$23)</f>
        <v>13</v>
      </c>
      <c r="F21" s="10" t="str">
        <f aca="false">IF(D21&gt;=4_Geografia!$C$26,"sim","não")</f>
        <v>não</v>
      </c>
    </row>
    <row r="22" customFormat="false" ht="15" hidden="false" customHeight="false" outlineLevel="0" collapsed="false">
      <c r="A22" s="10" t="s">
        <v>204</v>
      </c>
      <c r="B22" s="20" t="n">
        <f aca="false">SUMIFS(v_valor,v_uf,A22)</f>
        <v>1957.51</v>
      </c>
      <c r="C22" s="22" t="n">
        <f aca="false">B22/SUM(v_valor)</f>
        <v>0.0179022477334681</v>
      </c>
      <c r="D22" s="21" t="n">
        <f aca="false">COUNTIFS(v_uf,A22)</f>
        <v>26</v>
      </c>
      <c r="E22" s="21" t="n">
        <f aca="false">RANK(B22,$B$9:$B$23)</f>
        <v>14</v>
      </c>
      <c r="F22" s="10" t="str">
        <f aca="false">IF(D22&gt;=4_Geografia!$C$26,"sim","não")</f>
        <v>sim</v>
      </c>
    </row>
    <row r="23" customFormat="false" ht="15" hidden="false" customHeight="false" outlineLevel="0" collapsed="false">
      <c r="A23" s="10" t="s">
        <v>205</v>
      </c>
      <c r="B23" s="20" t="n">
        <f aca="false">SUMIFS(v_valor,v_uf,A23)</f>
        <v>1259.45</v>
      </c>
      <c r="C23" s="22" t="n">
        <f aca="false">B23/SUM(v_valor)</f>
        <v>0.0115181970502917</v>
      </c>
      <c r="D23" s="21" t="n">
        <f aca="false">COUNTIFS(v_uf,A23)</f>
        <v>15</v>
      </c>
      <c r="E23" s="21" t="n">
        <f aca="false">RANK(B23,$B$9:$B$23)</f>
        <v>15</v>
      </c>
      <c r="F23" s="10" t="str">
        <f aca="false">IF(D23&gt;=4_Geografia!$C$26,"sim","não")</f>
        <v>sim</v>
      </c>
    </row>
    <row r="24" customFormat="false" ht="15" hidden="false" customHeight="false" outlineLevel="0" collapsed="false">
      <c r="A24" s="10" t="s">
        <v>206</v>
      </c>
      <c r="B24" s="20" t="n">
        <f aca="false">SUMIFS(v_valor,v_uf,A24)</f>
        <v>21653.52</v>
      </c>
      <c r="C24" s="22" t="n">
        <f aca="false">B24/SUM(v_valor)</f>
        <v>0.198030497592149</v>
      </c>
      <c r="D24" s="21" t="n">
        <f aca="false">COUNTIFS(v_uf,A24)</f>
        <v>243</v>
      </c>
      <c r="E24" s="21" t="s">
        <v>207</v>
      </c>
      <c r="F24" s="10" t="str">
        <f aca="false">IF(D24&gt;=4_Geografia!$C$26,"sim","não")</f>
        <v>sim</v>
      </c>
    </row>
    <row r="26" customFormat="false" ht="15" hidden="false" customHeight="false" outlineLevel="0" collapsed="false">
      <c r="A26" s="11" t="s">
        <v>208</v>
      </c>
      <c r="C26" s="32" t="n">
        <v>15</v>
      </c>
    </row>
    <row r="28" customFormat="false" ht="25.5" hidden="false" customHeight="true" outlineLevel="0" collapsed="false">
      <c r="A28" s="12" t="s">
        <v>209</v>
      </c>
      <c r="B28" s="12"/>
      <c r="C28" s="12"/>
      <c r="D28" s="12"/>
      <c r="E28" s="12"/>
      <c r="F28" s="12"/>
    </row>
    <row r="30" customFormat="false" ht="15" hidden="false" customHeight="false" outlineLevel="0" collapsed="false">
      <c r="A30" s="5" t="s">
        <v>105</v>
      </c>
    </row>
    <row r="31" customFormat="false" ht="15" hidden="false" customHeight="true" outlineLevel="0" collapsed="false">
      <c r="A31" s="26" t="s">
        <v>106</v>
      </c>
      <c r="B31" s="26"/>
      <c r="C31" s="26"/>
      <c r="D31" s="26"/>
      <c r="E31" s="26"/>
      <c r="F31" s="26"/>
    </row>
    <row r="32" customFormat="false" ht="15" hidden="false" customHeight="false" outlineLevel="0" collapsed="false">
      <c r="A32" s="26"/>
      <c r="B32" s="26"/>
      <c r="C32" s="26"/>
      <c r="D32" s="26"/>
      <c r="E32" s="26"/>
      <c r="F32" s="26"/>
    </row>
    <row r="33" customFormat="false" ht="15" hidden="false" customHeight="false" outlineLevel="0" collapsed="false">
      <c r="A33" s="26"/>
      <c r="B33" s="26"/>
      <c r="C33" s="26"/>
      <c r="D33" s="26"/>
      <c r="E33" s="26"/>
      <c r="F33" s="26"/>
    </row>
    <row r="36" customFormat="false" ht="21.75" hidden="false" customHeight="true" outlineLevel="0" collapsed="false">
      <c r="A36" s="18" t="s">
        <v>210</v>
      </c>
      <c r="B36" s="18"/>
      <c r="C36" s="18"/>
      <c r="D36" s="18"/>
      <c r="E36" s="18"/>
      <c r="F36" s="18"/>
    </row>
    <row r="37" customFormat="false" ht="27.75" hidden="false" customHeight="true" outlineLevel="0" collapsed="false">
      <c r="A37" s="19" t="s">
        <v>211</v>
      </c>
      <c r="B37" s="19"/>
      <c r="C37" s="19"/>
      <c r="D37" s="19"/>
      <c r="E37" s="19"/>
      <c r="F37" s="19"/>
    </row>
    <row r="38" customFormat="false" ht="30" hidden="false" customHeight="true" outlineLevel="0" collapsed="false">
      <c r="A38" s="12" t="s">
        <v>212</v>
      </c>
      <c r="B38" s="12"/>
      <c r="C38" s="12"/>
      <c r="D38" s="12"/>
      <c r="E38" s="12"/>
      <c r="F38" s="12"/>
    </row>
    <row r="40" customFormat="false" ht="15" hidden="false" customHeight="true" outlineLevel="0" collapsed="false">
      <c r="A40" s="14" t="s">
        <v>119</v>
      </c>
      <c r="B40" s="14"/>
      <c r="C40" s="14" t="s">
        <v>86</v>
      </c>
      <c r="D40" s="14" t="s">
        <v>170</v>
      </c>
      <c r="E40" s="14" t="s">
        <v>213</v>
      </c>
    </row>
    <row r="41" customFormat="false" ht="15" hidden="false" customHeight="false" outlineLevel="0" collapsed="false">
      <c r="A41" s="27" t="s">
        <v>214</v>
      </c>
      <c r="B41" s="27"/>
      <c r="C41" s="30" t="n">
        <f aca="false">SUMPRODUCT(LARGE($B$9:$B$23,{1,2,3}))</f>
        <v>41383.26</v>
      </c>
      <c r="D41" s="29" t="n">
        <f aca="false">C41/SUM(v_valor)</f>
        <v>0.378467222409348</v>
      </c>
      <c r="E41" s="29" t="n">
        <f aca="false">C41/SUM($B$9:$B$23)</f>
        <v>0.471922213092928</v>
      </c>
    </row>
    <row r="42" customFormat="false" ht="15" hidden="false" customHeight="false" outlineLevel="0" collapsed="false">
      <c r="A42" s="27" t="s">
        <v>215</v>
      </c>
      <c r="B42" s="27"/>
      <c r="C42" s="30" t="n">
        <f aca="false">SUMPRODUCT(LARGE($B$9:$B$23,{1,2,3,4,5}))</f>
        <v>54568.07</v>
      </c>
      <c r="D42" s="29" t="n">
        <f aca="false">C42/SUM(v_valor)</f>
        <v>0.499047824775981</v>
      </c>
      <c r="E42" s="29" t="n">
        <f aca="false">C42/SUM($B$9:$B$23)</f>
        <v>0.62227780891621</v>
      </c>
    </row>
    <row r="44" customFormat="false" ht="15" hidden="false" customHeight="false" outlineLevel="0" collapsed="false">
      <c r="A44" s="5" t="s">
        <v>105</v>
      </c>
    </row>
    <row r="45" customFormat="false" ht="15" hidden="false" customHeight="true" outlineLevel="0" collapsed="false">
      <c r="A45" s="26" t="s">
        <v>106</v>
      </c>
      <c r="B45" s="26"/>
      <c r="C45" s="26"/>
      <c r="D45" s="26"/>
      <c r="E45" s="26"/>
      <c r="F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6"/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6"/>
    </row>
    <row r="50" customFormat="false" ht="21.75" hidden="false" customHeight="true" outlineLevel="0" collapsed="false">
      <c r="A50" s="18" t="s">
        <v>216</v>
      </c>
      <c r="B50" s="18"/>
      <c r="C50" s="18"/>
      <c r="D50" s="18"/>
      <c r="E50" s="18"/>
      <c r="F50" s="18"/>
      <c r="G50" s="18"/>
      <c r="H50" s="18"/>
    </row>
    <row r="51" customFormat="false" ht="27.75" hidden="false" customHeight="true" outlineLevel="0" collapsed="false">
      <c r="A51" s="19" t="s">
        <v>217</v>
      </c>
      <c r="B51" s="19"/>
      <c r="C51" s="19"/>
      <c r="D51" s="19"/>
      <c r="E51" s="19"/>
      <c r="F51" s="19"/>
      <c r="G51" s="19"/>
      <c r="H51" s="19"/>
    </row>
    <row r="52" customFormat="false" ht="30" hidden="false" customHeight="true" outlineLevel="0" collapsed="false">
      <c r="A52" s="12" t="s">
        <v>218</v>
      </c>
      <c r="B52" s="12"/>
      <c r="C52" s="12"/>
      <c r="D52" s="12"/>
      <c r="E52" s="12"/>
      <c r="F52" s="12"/>
      <c r="G52" s="12"/>
      <c r="H52" s="12"/>
    </row>
    <row r="54" customFormat="false" ht="23.85" hidden="false" customHeight="false" outlineLevel="0" collapsed="false">
      <c r="A54" s="14" t="s">
        <v>189</v>
      </c>
      <c r="B54" s="14" t="s">
        <v>172</v>
      </c>
      <c r="C54" s="14" t="s">
        <v>173</v>
      </c>
      <c r="D54" s="14" t="s">
        <v>174</v>
      </c>
      <c r="E54" s="14" t="s">
        <v>175</v>
      </c>
      <c r="F54" s="14" t="s">
        <v>176</v>
      </c>
      <c r="G54" s="14" t="s">
        <v>87</v>
      </c>
    </row>
    <row r="55" customFormat="false" ht="15" hidden="false" customHeight="false" outlineLevel="0" collapsed="false">
      <c r="A55" s="10" t="s">
        <v>191</v>
      </c>
      <c r="B55" s="22" t="n">
        <f aca="false">IFERROR(COUNTIFS(v_uf,$A55,v_canal,B$54)/COUNTIFS(v_uf,$A55),0)</f>
        <v>0.33920704845815</v>
      </c>
      <c r="C55" s="22" t="n">
        <f aca="false">IFERROR(COUNTIFS(v_uf,$A55,v_canal,C$54)/COUNTIFS(v_uf,$A55),0)</f>
        <v>0.176211453744493</v>
      </c>
      <c r="D55" s="22" t="n">
        <f aca="false">IFERROR(COUNTIFS(v_uf,$A55,v_canal,D$54)/COUNTIFS(v_uf,$A55),0)</f>
        <v>0.202643171806167</v>
      </c>
      <c r="E55" s="22" t="n">
        <f aca="false">IFERROR(COUNTIFS(v_uf,$A55,v_canal,E$54)/COUNTIFS(v_uf,$A55),0)</f>
        <v>0.052863436123348</v>
      </c>
      <c r="F55" s="22" t="n">
        <f aca="false">IFERROR(COUNTIFS(v_uf,$A55,v_canal,F$54)/COUNTIFS(v_uf,$A55),0)</f>
        <v>0.229074889867841</v>
      </c>
      <c r="G55" s="21" t="n">
        <f aca="false">COUNTIFS(v_uf,$A55)</f>
        <v>227</v>
      </c>
    </row>
    <row r="56" customFormat="false" ht="15" hidden="false" customHeight="false" outlineLevel="0" collapsed="false">
      <c r="A56" s="10" t="s">
        <v>192</v>
      </c>
      <c r="B56" s="22" t="n">
        <f aca="false">IFERROR(COUNTIFS(v_uf,$A56,v_canal,B$54)/COUNTIFS(v_uf,$A56),0)</f>
        <v>0.405063291139241</v>
      </c>
      <c r="C56" s="22" t="n">
        <f aca="false">IFERROR(COUNTIFS(v_uf,$A56,v_canal,C$54)/COUNTIFS(v_uf,$A56),0)</f>
        <v>0.240506329113924</v>
      </c>
      <c r="D56" s="22" t="n">
        <f aca="false">IFERROR(COUNTIFS(v_uf,$A56,v_canal,D$54)/COUNTIFS(v_uf,$A56),0)</f>
        <v>0.151898734177215</v>
      </c>
      <c r="E56" s="22" t="n">
        <f aca="false">IFERROR(COUNTIFS(v_uf,$A56,v_canal,E$54)/COUNTIFS(v_uf,$A56),0)</f>
        <v>0.0126582278481013</v>
      </c>
      <c r="F56" s="22" t="n">
        <f aca="false">IFERROR(COUNTIFS(v_uf,$A56,v_canal,F$54)/COUNTIFS(v_uf,$A56),0)</f>
        <v>0.189873417721519</v>
      </c>
      <c r="G56" s="21" t="n">
        <f aca="false">COUNTIFS(v_uf,$A56)</f>
        <v>79</v>
      </c>
    </row>
    <row r="57" customFormat="false" ht="15" hidden="false" customHeight="false" outlineLevel="0" collapsed="false">
      <c r="A57" s="10" t="s">
        <v>193</v>
      </c>
      <c r="B57" s="22" t="n">
        <f aca="false">IFERROR(COUNTIFS(v_uf,$A57,v_canal,B$54)/COUNTIFS(v_uf,$A57),0)</f>
        <v>0.37037037037037</v>
      </c>
      <c r="C57" s="22" t="n">
        <f aca="false">IFERROR(COUNTIFS(v_uf,$A57,v_canal,C$54)/COUNTIFS(v_uf,$A57),0)</f>
        <v>0.166666666666667</v>
      </c>
      <c r="D57" s="22" t="n">
        <f aca="false">IFERROR(COUNTIFS(v_uf,$A57,v_canal,D$54)/COUNTIFS(v_uf,$A57),0)</f>
        <v>0.148148148148148</v>
      </c>
      <c r="E57" s="22" t="n">
        <f aca="false">IFERROR(COUNTIFS(v_uf,$A57,v_canal,E$54)/COUNTIFS(v_uf,$A57),0)</f>
        <v>0.037037037037037</v>
      </c>
      <c r="F57" s="22" t="n">
        <f aca="false">IFERROR(COUNTIFS(v_uf,$A57,v_canal,F$54)/COUNTIFS(v_uf,$A57),0)</f>
        <v>0.277777777777778</v>
      </c>
      <c r="G57" s="21" t="n">
        <f aca="false">COUNTIFS(v_uf,$A57)</f>
        <v>54</v>
      </c>
    </row>
    <row r="58" customFormat="false" ht="15" hidden="false" customHeight="false" outlineLevel="0" collapsed="false">
      <c r="A58" s="10" t="s">
        <v>194</v>
      </c>
      <c r="B58" s="22" t="n">
        <f aca="false">IFERROR(COUNTIFS(v_uf,$A58,v_canal,B$54)/COUNTIFS(v_uf,$A58),0)</f>
        <v>0.372340425531915</v>
      </c>
      <c r="C58" s="22" t="n">
        <f aca="false">IFERROR(COUNTIFS(v_uf,$A58,v_canal,C$54)/COUNTIFS(v_uf,$A58),0)</f>
        <v>0.212765957446809</v>
      </c>
      <c r="D58" s="22" t="n">
        <f aca="false">IFERROR(COUNTIFS(v_uf,$A58,v_canal,D$54)/COUNTIFS(v_uf,$A58),0)</f>
        <v>0.180851063829787</v>
      </c>
      <c r="E58" s="22" t="n">
        <f aca="false">IFERROR(COUNTIFS(v_uf,$A58,v_canal,E$54)/COUNTIFS(v_uf,$A58),0)</f>
        <v>0.0212765957446809</v>
      </c>
      <c r="F58" s="22" t="n">
        <f aca="false">IFERROR(COUNTIFS(v_uf,$A58,v_canal,F$54)/COUNTIFS(v_uf,$A58),0)</f>
        <v>0.212765957446809</v>
      </c>
      <c r="G58" s="21" t="n">
        <f aca="false">COUNTIFS(v_uf,$A58)</f>
        <v>94</v>
      </c>
    </row>
    <row r="59" customFormat="false" ht="15" hidden="false" customHeight="false" outlineLevel="0" collapsed="false">
      <c r="A59" s="10" t="s">
        <v>195</v>
      </c>
      <c r="B59" s="22" t="n">
        <f aca="false">IFERROR(COUNTIFS(v_uf,$A59,v_canal,B$54)/COUNTIFS(v_uf,$A59),0)</f>
        <v>0.292682926829268</v>
      </c>
      <c r="C59" s="22" t="n">
        <f aca="false">IFERROR(COUNTIFS(v_uf,$A59,v_canal,C$54)/COUNTIFS(v_uf,$A59),0)</f>
        <v>0.195121951219512</v>
      </c>
      <c r="D59" s="22" t="n">
        <f aca="false">IFERROR(COUNTIFS(v_uf,$A59,v_canal,D$54)/COUNTIFS(v_uf,$A59),0)</f>
        <v>0.317073170731707</v>
      </c>
      <c r="E59" s="22" t="n">
        <f aca="false">IFERROR(COUNTIFS(v_uf,$A59,v_canal,E$54)/COUNTIFS(v_uf,$A59),0)</f>
        <v>0</v>
      </c>
      <c r="F59" s="22" t="n">
        <f aca="false">IFERROR(COUNTIFS(v_uf,$A59,v_canal,F$54)/COUNTIFS(v_uf,$A59),0)</f>
        <v>0.195121951219512</v>
      </c>
      <c r="G59" s="21" t="n">
        <f aca="false">COUNTIFS(v_uf,$A59)</f>
        <v>41</v>
      </c>
    </row>
    <row r="60" customFormat="false" ht="15" hidden="false" customHeight="false" outlineLevel="0" collapsed="false">
      <c r="A60" s="10" t="s">
        <v>196</v>
      </c>
      <c r="B60" s="22" t="n">
        <f aca="false">IFERROR(COUNTIFS(v_uf,$A60,v_canal,B$54)/COUNTIFS(v_uf,$A60),0)</f>
        <v>0.372093023255814</v>
      </c>
      <c r="C60" s="22" t="n">
        <f aca="false">IFERROR(COUNTIFS(v_uf,$A60,v_canal,C$54)/COUNTIFS(v_uf,$A60),0)</f>
        <v>0.162790697674419</v>
      </c>
      <c r="D60" s="22" t="n">
        <f aca="false">IFERROR(COUNTIFS(v_uf,$A60,v_canal,D$54)/COUNTIFS(v_uf,$A60),0)</f>
        <v>0.255813953488372</v>
      </c>
      <c r="E60" s="22" t="n">
        <f aca="false">IFERROR(COUNTIFS(v_uf,$A60,v_canal,E$54)/COUNTIFS(v_uf,$A60),0)</f>
        <v>0.0232558139534884</v>
      </c>
      <c r="F60" s="22" t="n">
        <f aca="false">IFERROR(COUNTIFS(v_uf,$A60,v_canal,F$54)/COUNTIFS(v_uf,$A60),0)</f>
        <v>0.186046511627907</v>
      </c>
      <c r="G60" s="21" t="n">
        <f aca="false">COUNTIFS(v_uf,$A60)</f>
        <v>43</v>
      </c>
    </row>
    <row r="61" customFormat="false" ht="15" hidden="false" customHeight="false" outlineLevel="0" collapsed="false">
      <c r="A61" s="10" t="s">
        <v>197</v>
      </c>
      <c r="B61" s="22" t="n">
        <f aca="false">IFERROR(COUNTIFS(v_uf,$A61,v_canal,B$54)/COUNTIFS(v_uf,$A61),0)</f>
        <v>0.25</v>
      </c>
      <c r="C61" s="22" t="n">
        <f aca="false">IFERROR(COUNTIFS(v_uf,$A61,v_canal,C$54)/COUNTIFS(v_uf,$A61),0)</f>
        <v>0.25</v>
      </c>
      <c r="D61" s="22" t="n">
        <f aca="false">IFERROR(COUNTIFS(v_uf,$A61,v_canal,D$54)/COUNTIFS(v_uf,$A61),0)</f>
        <v>0.138888888888889</v>
      </c>
      <c r="E61" s="22" t="n">
        <f aca="false">IFERROR(COUNTIFS(v_uf,$A61,v_canal,E$54)/COUNTIFS(v_uf,$A61),0)</f>
        <v>0.0555555555555556</v>
      </c>
      <c r="F61" s="22" t="n">
        <f aca="false">IFERROR(COUNTIFS(v_uf,$A61,v_canal,F$54)/COUNTIFS(v_uf,$A61),0)</f>
        <v>0.305555555555556</v>
      </c>
      <c r="G61" s="21" t="n">
        <f aca="false">COUNTIFS(v_uf,$A61)</f>
        <v>36</v>
      </c>
    </row>
    <row r="62" customFormat="false" ht="15" hidden="false" customHeight="false" outlineLevel="0" collapsed="false">
      <c r="A62" s="10" t="s">
        <v>198</v>
      </c>
      <c r="B62" s="22" t="n">
        <f aca="false">IFERROR(COUNTIFS(v_uf,$A62,v_canal,B$54)/COUNTIFS(v_uf,$A62),0)</f>
        <v>0.363636363636364</v>
      </c>
      <c r="C62" s="22" t="n">
        <f aca="false">IFERROR(COUNTIFS(v_uf,$A62,v_canal,C$54)/COUNTIFS(v_uf,$A62),0)</f>
        <v>0.318181818181818</v>
      </c>
      <c r="D62" s="22" t="n">
        <f aca="false">IFERROR(COUNTIFS(v_uf,$A62,v_canal,D$54)/COUNTIFS(v_uf,$A62),0)</f>
        <v>0.136363636363636</v>
      </c>
      <c r="E62" s="22" t="n">
        <f aca="false">IFERROR(COUNTIFS(v_uf,$A62,v_canal,E$54)/COUNTIFS(v_uf,$A62),0)</f>
        <v>0.0454545454545455</v>
      </c>
      <c r="F62" s="22" t="n">
        <f aca="false">IFERROR(COUNTIFS(v_uf,$A62,v_canal,F$54)/COUNTIFS(v_uf,$A62),0)</f>
        <v>0.136363636363636</v>
      </c>
      <c r="G62" s="21" t="n">
        <f aca="false">COUNTIFS(v_uf,$A62)</f>
        <v>22</v>
      </c>
    </row>
    <row r="63" customFormat="false" ht="15" hidden="false" customHeight="false" outlineLevel="0" collapsed="false">
      <c r="A63" s="10" t="s">
        <v>199</v>
      </c>
      <c r="B63" s="22" t="n">
        <f aca="false">IFERROR(COUNTIFS(v_uf,$A63,v_canal,B$54)/COUNTIFS(v_uf,$A63),0)</f>
        <v>0.3</v>
      </c>
      <c r="C63" s="22" t="n">
        <f aca="false">IFERROR(COUNTIFS(v_uf,$A63,v_canal,C$54)/COUNTIFS(v_uf,$A63),0)</f>
        <v>0.1</v>
      </c>
      <c r="D63" s="22" t="n">
        <f aca="false">IFERROR(COUNTIFS(v_uf,$A63,v_canal,D$54)/COUNTIFS(v_uf,$A63),0)</f>
        <v>0.125</v>
      </c>
      <c r="E63" s="22" t="n">
        <f aca="false">IFERROR(COUNTIFS(v_uf,$A63,v_canal,E$54)/COUNTIFS(v_uf,$A63),0)</f>
        <v>0.075</v>
      </c>
      <c r="F63" s="22" t="n">
        <f aca="false">IFERROR(COUNTIFS(v_uf,$A63,v_canal,F$54)/COUNTIFS(v_uf,$A63),0)</f>
        <v>0.4</v>
      </c>
      <c r="G63" s="21" t="n">
        <f aca="false">COUNTIFS(v_uf,$A63)</f>
        <v>40</v>
      </c>
    </row>
    <row r="64" customFormat="false" ht="15" hidden="false" customHeight="false" outlineLevel="0" collapsed="false">
      <c r="A64" s="10" t="s">
        <v>200</v>
      </c>
      <c r="B64" s="22" t="n">
        <f aca="false">IFERROR(COUNTIFS(v_uf,$A64,v_canal,B$54)/COUNTIFS(v_uf,$A64),0)</f>
        <v>0.303030303030303</v>
      </c>
      <c r="C64" s="22" t="n">
        <f aca="false">IFERROR(COUNTIFS(v_uf,$A64,v_canal,C$54)/COUNTIFS(v_uf,$A64),0)</f>
        <v>0.242424242424242</v>
      </c>
      <c r="D64" s="22" t="n">
        <f aca="false">IFERROR(COUNTIFS(v_uf,$A64,v_canal,D$54)/COUNTIFS(v_uf,$A64),0)</f>
        <v>0.151515151515152</v>
      </c>
      <c r="E64" s="22" t="n">
        <f aca="false">IFERROR(COUNTIFS(v_uf,$A64,v_canal,E$54)/COUNTIFS(v_uf,$A64),0)</f>
        <v>0.0303030303030303</v>
      </c>
      <c r="F64" s="22" t="n">
        <f aca="false">IFERROR(COUNTIFS(v_uf,$A64,v_canal,F$54)/COUNTIFS(v_uf,$A64),0)</f>
        <v>0.272727272727273</v>
      </c>
      <c r="G64" s="21" t="n">
        <f aca="false">COUNTIFS(v_uf,$A64)</f>
        <v>33</v>
      </c>
    </row>
    <row r="65" customFormat="false" ht="15" hidden="false" customHeight="false" outlineLevel="0" collapsed="false">
      <c r="A65" s="10" t="s">
        <v>201</v>
      </c>
      <c r="B65" s="22" t="n">
        <f aca="false">IFERROR(COUNTIFS(v_uf,$A65,v_canal,B$54)/COUNTIFS(v_uf,$A65),0)</f>
        <v>0.470588235294118</v>
      </c>
      <c r="C65" s="22" t="n">
        <f aca="false">IFERROR(COUNTIFS(v_uf,$A65,v_canal,C$54)/COUNTIFS(v_uf,$A65),0)</f>
        <v>0.294117647058824</v>
      </c>
      <c r="D65" s="22" t="n">
        <f aca="false">IFERROR(COUNTIFS(v_uf,$A65,v_canal,D$54)/COUNTIFS(v_uf,$A65),0)</f>
        <v>0</v>
      </c>
      <c r="E65" s="22" t="n">
        <f aca="false">IFERROR(COUNTIFS(v_uf,$A65,v_canal,E$54)/COUNTIFS(v_uf,$A65),0)</f>
        <v>0</v>
      </c>
      <c r="F65" s="22" t="n">
        <f aca="false">IFERROR(COUNTIFS(v_uf,$A65,v_canal,F$54)/COUNTIFS(v_uf,$A65),0)</f>
        <v>0.235294117647059</v>
      </c>
      <c r="G65" s="21" t="n">
        <f aca="false">COUNTIFS(v_uf,$A65)</f>
        <v>17</v>
      </c>
    </row>
    <row r="66" customFormat="false" ht="15" hidden="false" customHeight="false" outlineLevel="0" collapsed="false">
      <c r="A66" s="10" t="s">
        <v>202</v>
      </c>
      <c r="B66" s="22" t="n">
        <f aca="false">IFERROR(COUNTIFS(v_uf,$A66,v_canal,B$54)/COUNTIFS(v_uf,$A66),0)</f>
        <v>0.375</v>
      </c>
      <c r="C66" s="22" t="n">
        <f aca="false">IFERROR(COUNTIFS(v_uf,$A66,v_canal,C$54)/COUNTIFS(v_uf,$A66),0)</f>
        <v>0.333333333333333</v>
      </c>
      <c r="D66" s="22" t="n">
        <f aca="false">IFERROR(COUNTIFS(v_uf,$A66,v_canal,D$54)/COUNTIFS(v_uf,$A66),0)</f>
        <v>0.125</v>
      </c>
      <c r="E66" s="22" t="n">
        <f aca="false">IFERROR(COUNTIFS(v_uf,$A66,v_canal,E$54)/COUNTIFS(v_uf,$A66),0)</f>
        <v>0</v>
      </c>
      <c r="F66" s="22" t="n">
        <f aca="false">IFERROR(COUNTIFS(v_uf,$A66,v_canal,F$54)/COUNTIFS(v_uf,$A66),0)</f>
        <v>0.166666666666667</v>
      </c>
      <c r="G66" s="21" t="n">
        <f aca="false">COUNTIFS(v_uf,$A66)</f>
        <v>24</v>
      </c>
    </row>
    <row r="67" customFormat="false" ht="15" hidden="false" customHeight="false" outlineLevel="0" collapsed="false">
      <c r="A67" s="10" t="s">
        <v>203</v>
      </c>
      <c r="B67" s="22" t="n">
        <f aca="false">IFERROR(COUNTIFS(v_uf,$A67,v_canal,B$54)/COUNTIFS(v_uf,$A67),0)</f>
        <v>0.666666666666667</v>
      </c>
      <c r="C67" s="22" t="n">
        <f aca="false">IFERROR(COUNTIFS(v_uf,$A67,v_canal,C$54)/COUNTIFS(v_uf,$A67),0)</f>
        <v>0.166666666666667</v>
      </c>
      <c r="D67" s="22" t="n">
        <f aca="false">IFERROR(COUNTIFS(v_uf,$A67,v_canal,D$54)/COUNTIFS(v_uf,$A67),0)</f>
        <v>0.166666666666667</v>
      </c>
      <c r="E67" s="22" t="n">
        <f aca="false">IFERROR(COUNTIFS(v_uf,$A67,v_canal,E$54)/COUNTIFS(v_uf,$A67),0)</f>
        <v>0</v>
      </c>
      <c r="F67" s="22" t="n">
        <f aca="false">IFERROR(COUNTIFS(v_uf,$A67,v_canal,F$54)/COUNTIFS(v_uf,$A67),0)</f>
        <v>0</v>
      </c>
      <c r="G67" s="21" t="n">
        <f aca="false">COUNTIFS(v_uf,$A67)</f>
        <v>6</v>
      </c>
    </row>
    <row r="68" customFormat="false" ht="15" hidden="false" customHeight="false" outlineLevel="0" collapsed="false">
      <c r="A68" s="10" t="s">
        <v>204</v>
      </c>
      <c r="B68" s="22" t="n">
        <f aca="false">IFERROR(COUNTIFS(v_uf,$A68,v_canal,B$54)/COUNTIFS(v_uf,$A68),0)</f>
        <v>0.153846153846154</v>
      </c>
      <c r="C68" s="22" t="n">
        <f aca="false">IFERROR(COUNTIFS(v_uf,$A68,v_canal,C$54)/COUNTIFS(v_uf,$A68),0)</f>
        <v>0.346153846153846</v>
      </c>
      <c r="D68" s="22" t="n">
        <f aca="false">IFERROR(COUNTIFS(v_uf,$A68,v_canal,D$54)/COUNTIFS(v_uf,$A68),0)</f>
        <v>0.230769230769231</v>
      </c>
      <c r="E68" s="22" t="n">
        <f aca="false">IFERROR(COUNTIFS(v_uf,$A68,v_canal,E$54)/COUNTIFS(v_uf,$A68),0)</f>
        <v>0.0769230769230769</v>
      </c>
      <c r="F68" s="22" t="n">
        <f aca="false">IFERROR(COUNTIFS(v_uf,$A68,v_canal,F$54)/COUNTIFS(v_uf,$A68),0)</f>
        <v>0.192307692307692</v>
      </c>
      <c r="G68" s="21" t="n">
        <f aca="false">COUNTIFS(v_uf,$A68)</f>
        <v>26</v>
      </c>
    </row>
    <row r="69" customFormat="false" ht="15" hidden="false" customHeight="false" outlineLevel="0" collapsed="false">
      <c r="A69" s="10" t="s">
        <v>205</v>
      </c>
      <c r="B69" s="22" t="n">
        <f aca="false">IFERROR(COUNTIFS(v_uf,$A69,v_canal,B$54)/COUNTIFS(v_uf,$A69),0)</f>
        <v>0.266666666666667</v>
      </c>
      <c r="C69" s="22" t="n">
        <f aca="false">IFERROR(COUNTIFS(v_uf,$A69,v_canal,C$54)/COUNTIFS(v_uf,$A69),0)</f>
        <v>0.333333333333333</v>
      </c>
      <c r="D69" s="22" t="n">
        <f aca="false">IFERROR(COUNTIFS(v_uf,$A69,v_canal,D$54)/COUNTIFS(v_uf,$A69),0)</f>
        <v>0.133333333333333</v>
      </c>
      <c r="E69" s="22" t="n">
        <f aca="false">IFERROR(COUNTIFS(v_uf,$A69,v_canal,E$54)/COUNTIFS(v_uf,$A69),0)</f>
        <v>0.0666666666666667</v>
      </c>
      <c r="F69" s="22" t="n">
        <f aca="false">IFERROR(COUNTIFS(v_uf,$A69,v_canal,F$54)/COUNTIFS(v_uf,$A69),0)</f>
        <v>0.2</v>
      </c>
      <c r="G69" s="21" t="n">
        <f aca="false">COUNTIFS(v_uf,$A69)</f>
        <v>15</v>
      </c>
    </row>
    <row r="70" customFormat="false" ht="15" hidden="false" customHeight="false" outlineLevel="0" collapsed="false">
      <c r="A70" s="10" t="s">
        <v>206</v>
      </c>
      <c r="B70" s="22" t="n">
        <f aca="false">IFERROR(COUNTIFS(v_uf,$A70,v_canal,B$54)/COUNTIFS(v_uf,$A70),0)</f>
        <v>0.325102880658436</v>
      </c>
      <c r="C70" s="22" t="n">
        <f aca="false">IFERROR(COUNTIFS(v_uf,$A70,v_canal,C$54)/COUNTIFS(v_uf,$A70),0)</f>
        <v>0.209876543209877</v>
      </c>
      <c r="D70" s="22" t="n">
        <f aca="false">IFERROR(COUNTIFS(v_uf,$A70,v_canal,D$54)/COUNTIFS(v_uf,$A70),0)</f>
        <v>0.176954732510288</v>
      </c>
      <c r="E70" s="22" t="n">
        <f aca="false">IFERROR(COUNTIFS(v_uf,$A70,v_canal,E$54)/COUNTIFS(v_uf,$A70),0)</f>
        <v>0.0411522633744856</v>
      </c>
      <c r="F70" s="22" t="n">
        <f aca="false">IFERROR(COUNTIFS(v_uf,$A70,v_canal,F$54)/COUNTIFS(v_uf,$A70),0)</f>
        <v>0.246913580246914</v>
      </c>
      <c r="G70" s="21" t="n">
        <f aca="false">COUNTIFS(v_uf,$A70)</f>
        <v>243</v>
      </c>
    </row>
    <row r="73" customFormat="false" ht="15" hidden="false" customHeight="false" outlineLevel="0" collapsed="false">
      <c r="A73" s="5" t="s">
        <v>105</v>
      </c>
    </row>
    <row r="74" customFormat="false" ht="15" hidden="false" customHeight="true" outlineLevel="0" collapsed="false">
      <c r="A74" s="26" t="s">
        <v>106</v>
      </c>
      <c r="B74" s="26"/>
      <c r="C74" s="26"/>
      <c r="D74" s="26"/>
      <c r="E74" s="26"/>
      <c r="F74" s="26"/>
      <c r="G74" s="26"/>
      <c r="H74" s="26"/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6"/>
      <c r="G75" s="26"/>
      <c r="H75" s="26"/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6"/>
      <c r="G76" s="26"/>
      <c r="H76" s="26"/>
    </row>
  </sheetData>
  <mergeCells count="16">
    <mergeCell ref="A4:F4"/>
    <mergeCell ref="A5:F5"/>
    <mergeCell ref="A6:F6"/>
    <mergeCell ref="A28:F28"/>
    <mergeCell ref="A31:F33"/>
    <mergeCell ref="A36:F36"/>
    <mergeCell ref="A37:F37"/>
    <mergeCell ref="A38:F38"/>
    <mergeCell ref="A40:B40"/>
    <mergeCell ref="A41:B41"/>
    <mergeCell ref="A42:B42"/>
    <mergeCell ref="A45:F47"/>
    <mergeCell ref="A50:H50"/>
    <mergeCell ref="A51:H51"/>
    <mergeCell ref="A52:H52"/>
    <mergeCell ref="A74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21.75" hidden="false" customHeight="true" outlineLevel="0" collapsed="false">
      <c r="A4" s="18" t="s">
        <v>221</v>
      </c>
      <c r="B4" s="18"/>
      <c r="C4" s="18"/>
      <c r="D4" s="18"/>
      <c r="E4" s="18"/>
      <c r="F4" s="18"/>
    </row>
    <row r="5" customFormat="false" ht="27.75" hidden="false" customHeight="true" outlineLevel="0" collapsed="false">
      <c r="A5" s="19" t="s">
        <v>222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12" t="s">
        <v>223</v>
      </c>
      <c r="B6" s="12"/>
      <c r="C6" s="12"/>
      <c r="D6" s="12"/>
      <c r="E6" s="12"/>
      <c r="F6" s="12"/>
    </row>
    <row r="8" customFormat="false" ht="15" hidden="false" customHeight="false" outlineLevel="0" collapsed="false">
      <c r="A8" s="14" t="s">
        <v>224</v>
      </c>
      <c r="B8" s="14" t="s">
        <v>65</v>
      </c>
      <c r="C8" s="14" t="s">
        <v>225</v>
      </c>
    </row>
    <row r="9" customFormat="false" ht="15" hidden="false" customHeight="false" outlineLevel="0" collapsed="false">
      <c r="A9" s="21" t="n">
        <v>1</v>
      </c>
      <c r="B9" s="21" t="n">
        <f aca="false">COUNTIF(aux_clientes!$B$2:$B$246,A9)</f>
        <v>15</v>
      </c>
      <c r="C9" s="22" t="n">
        <f aca="false">B9/COUNTA(aux_clientes!$A$2:$A$246)</f>
        <v>0.0612244897959184</v>
      </c>
    </row>
    <row r="10" customFormat="false" ht="15" hidden="false" customHeight="false" outlineLevel="0" collapsed="false">
      <c r="A10" s="21" t="n">
        <v>2</v>
      </c>
      <c r="B10" s="21" t="n">
        <f aca="false">COUNTIF(aux_clientes!$B$2:$B$246,A10)</f>
        <v>41</v>
      </c>
      <c r="C10" s="22" t="n">
        <f aca="false">B10/COUNTA(aux_clientes!$A$2:$A$246)</f>
        <v>0.16734693877551</v>
      </c>
    </row>
    <row r="11" customFormat="false" ht="15" hidden="false" customHeight="false" outlineLevel="0" collapsed="false">
      <c r="A11" s="21" t="n">
        <v>3</v>
      </c>
      <c r="B11" s="21" t="n">
        <f aca="false">COUNTIF(aux_clientes!$B$2:$B$246,A11)</f>
        <v>48</v>
      </c>
      <c r="C11" s="22" t="n">
        <f aca="false">B11/COUNTA(aux_clientes!$A$2:$A$246)</f>
        <v>0.195918367346939</v>
      </c>
    </row>
    <row r="12" customFormat="false" ht="15" hidden="false" customHeight="false" outlineLevel="0" collapsed="false">
      <c r="A12" s="21" t="n">
        <v>4</v>
      </c>
      <c r="B12" s="21" t="n">
        <f aca="false">COUNTIF(aux_clientes!$B$2:$B$246,A12)</f>
        <v>45</v>
      </c>
      <c r="C12" s="22" t="n">
        <f aca="false">B12/COUNTA(aux_clientes!$A$2:$A$246)</f>
        <v>0.183673469387755</v>
      </c>
    </row>
    <row r="13" customFormat="false" ht="15" hidden="false" customHeight="false" outlineLevel="0" collapsed="false">
      <c r="A13" s="21" t="n">
        <v>5</v>
      </c>
      <c r="B13" s="21" t="n">
        <f aca="false">COUNTIF(aux_clientes!$B$2:$B$246,A13)</f>
        <v>48</v>
      </c>
      <c r="C13" s="22" t="n">
        <f aca="false">B13/COUNTA(aux_clientes!$A$2:$A$246)</f>
        <v>0.195918367346939</v>
      </c>
    </row>
    <row r="14" customFormat="false" ht="15" hidden="false" customHeight="false" outlineLevel="0" collapsed="false">
      <c r="A14" s="21" t="n">
        <v>6</v>
      </c>
      <c r="B14" s="21" t="n">
        <f aca="false">COUNTIF(aux_clientes!$B$2:$B$246,A14)</f>
        <v>18</v>
      </c>
      <c r="C14" s="22" t="n">
        <f aca="false">B14/COUNTA(aux_clientes!$A$2:$A$246)</f>
        <v>0.0734693877551021</v>
      </c>
    </row>
    <row r="15" customFormat="false" ht="15" hidden="false" customHeight="false" outlineLevel="0" collapsed="false">
      <c r="A15" s="21" t="n">
        <v>7</v>
      </c>
      <c r="B15" s="21" t="n">
        <f aca="false">COUNTIF(aux_clientes!$B$2:$B$246,A15)</f>
        <v>18</v>
      </c>
      <c r="C15" s="22" t="n">
        <f aca="false">B15/COUNTA(aux_clientes!$A$2:$A$246)</f>
        <v>0.0734693877551021</v>
      </c>
    </row>
    <row r="16" customFormat="false" ht="15" hidden="false" customHeight="false" outlineLevel="0" collapsed="false">
      <c r="A16" s="21" t="n">
        <v>8</v>
      </c>
      <c r="B16" s="21" t="n">
        <f aca="false">COUNTIF(aux_clientes!$B$2:$B$246,A16)</f>
        <v>5</v>
      </c>
      <c r="C16" s="22" t="n">
        <f aca="false">B16/COUNTA(aux_clientes!$A$2:$A$246)</f>
        <v>0.0204081632653061</v>
      </c>
    </row>
    <row r="17" customFormat="false" ht="15" hidden="false" customHeight="false" outlineLevel="0" collapsed="false">
      <c r="A17" s="21" t="n">
        <v>9</v>
      </c>
      <c r="B17" s="21" t="n">
        <f aca="false">COUNTIF(aux_clientes!$B$2:$B$246,A17)</f>
        <v>5</v>
      </c>
      <c r="C17" s="22" t="n">
        <f aca="false">B17/COUNTA(aux_clientes!$A$2:$A$246)</f>
        <v>0.0204081632653061</v>
      </c>
    </row>
    <row r="18" customFormat="false" ht="15" hidden="false" customHeight="false" outlineLevel="0" collapsed="false">
      <c r="A18" s="21" t="n">
        <v>10</v>
      </c>
      <c r="B18" s="21" t="n">
        <f aca="false">COUNTIF(aux_clientes!$B$2:$B$246,A18)</f>
        <v>2</v>
      </c>
      <c r="C18" s="22" t="n">
        <f aca="false">B18/COUNTA(aux_clientes!$A$2:$A$246)</f>
        <v>0.00816326530612245</v>
      </c>
    </row>
    <row r="19" customFormat="false" ht="15" hidden="false" customHeight="false" outlineLevel="0" collapsed="false">
      <c r="A19" s="21" t="n">
        <v>11</v>
      </c>
      <c r="B19" s="21" t="n">
        <f aca="false">COUNTIF(aux_clientes!$B$2:$B$246,A19)</f>
        <v>0</v>
      </c>
      <c r="C19" s="22" t="n">
        <f aca="false">B19/COUNTA(aux_clientes!$A$2:$A$246)</f>
        <v>0</v>
      </c>
    </row>
    <row r="20" customFormat="false" ht="15" hidden="false" customHeight="false" outlineLevel="0" collapsed="false">
      <c r="A20" s="21" t="n">
        <v>12</v>
      </c>
      <c r="B20" s="21" t="n">
        <f aca="false">COUNTIF(aux_clientes!$B$2:$B$246,A20)</f>
        <v>0</v>
      </c>
      <c r="C20" s="22" t="n">
        <f aca="false">B20/COUNTA(aux_clientes!$A$2:$A$246)</f>
        <v>0</v>
      </c>
    </row>
    <row r="22" customFormat="false" ht="15" hidden="false" customHeight="false" outlineLevel="0" collapsed="false">
      <c r="A22" s="10" t="s">
        <v>65</v>
      </c>
      <c r="B22" s="28" t="n">
        <f aca="false">COUNTA(aux_clientes!$A$2:$A$246)</f>
        <v>245</v>
      </c>
    </row>
    <row r="23" customFormat="false" ht="15" hidden="false" customHeight="false" outlineLevel="0" collapsed="false">
      <c r="A23" s="10" t="s">
        <v>226</v>
      </c>
      <c r="B23" s="28" t="n">
        <f aca="false">COUNTIF(aux_clientes!$B$2:$B$246,"&gt;=2")</f>
        <v>230</v>
      </c>
    </row>
    <row r="24" customFormat="false" ht="15" hidden="false" customHeight="false" outlineLevel="0" collapsed="false">
      <c r="A24" s="10" t="s">
        <v>227</v>
      </c>
      <c r="B24" s="29" t="n">
        <f aca="false">B23/B22</f>
        <v>0.938775510204082</v>
      </c>
    </row>
    <row r="25" customFormat="false" ht="15" hidden="false" customHeight="false" outlineLevel="0" collapsed="false">
      <c r="A25" s="10" t="s">
        <v>228</v>
      </c>
      <c r="B25" s="33" t="n">
        <f aca="false">AVERAGE(aux_clientes!$B$2:$B$246)</f>
        <v>4.08163265306123</v>
      </c>
    </row>
    <row r="27" customFormat="false" ht="15" hidden="false" customHeight="false" outlineLevel="0" collapsed="false">
      <c r="A27" s="5" t="s">
        <v>105</v>
      </c>
    </row>
    <row r="28" customFormat="false" ht="15" hidden="false" customHeight="true" outlineLevel="0" collapsed="false">
      <c r="A28" s="26" t="s">
        <v>106</v>
      </c>
      <c r="B28" s="26"/>
      <c r="C28" s="26"/>
      <c r="D28" s="26"/>
      <c r="E28" s="26"/>
      <c r="F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</row>
    <row r="33" customFormat="false" ht="21.75" hidden="false" customHeight="true" outlineLevel="0" collapsed="false">
      <c r="A33" s="18" t="s">
        <v>229</v>
      </c>
      <c r="B33" s="18"/>
      <c r="C33" s="18"/>
      <c r="D33" s="18"/>
      <c r="E33" s="18"/>
      <c r="F33" s="18"/>
    </row>
    <row r="34" customFormat="false" ht="27.75" hidden="false" customHeight="true" outlineLevel="0" collapsed="false">
      <c r="A34" s="19" t="s">
        <v>230</v>
      </c>
      <c r="B34" s="19"/>
      <c r="C34" s="19"/>
      <c r="D34" s="19"/>
      <c r="E34" s="19"/>
      <c r="F34" s="19"/>
    </row>
    <row r="35" customFormat="false" ht="30" hidden="false" customHeight="true" outlineLevel="0" collapsed="false">
      <c r="A35" s="12" t="s">
        <v>231</v>
      </c>
      <c r="B35" s="12"/>
      <c r="C35" s="12"/>
      <c r="D35" s="12"/>
      <c r="E35" s="12"/>
      <c r="F35" s="12"/>
    </row>
    <row r="37" customFormat="false" ht="15" hidden="false" customHeight="false" outlineLevel="0" collapsed="false">
      <c r="A37" s="14" t="s">
        <v>133</v>
      </c>
      <c r="B37" s="14" t="s">
        <v>232</v>
      </c>
      <c r="C37" s="14" t="s">
        <v>86</v>
      </c>
      <c r="D37" s="14" t="s">
        <v>224</v>
      </c>
      <c r="E37" s="14" t="s">
        <v>132</v>
      </c>
      <c r="F37" s="14" t="s">
        <v>233</v>
      </c>
    </row>
    <row r="38" customFormat="false" ht="15" hidden="false" customHeight="false" outlineLevel="0" collapsed="false">
      <c r="A38" s="21" t="n">
        <v>1</v>
      </c>
      <c r="B38" s="10" t="str">
        <f aca="false">INDEX(aux_clientes!$A$2:$A$246,MATCH(LARGE(aux_clientes!$F$2:$F$246,A38),aux_clientes!$F$2:$F$246,0))</f>
        <v>CLI-0149</v>
      </c>
      <c r="C38" s="20" t="n">
        <f aca="false">INDEX(aux_clientes!$C$2:$C$246,MATCH(LARGE(aux_clientes!$F$2:$F$246,A38),aux_clientes!$F$2:$F$246,0))</f>
        <v>1770.31</v>
      </c>
      <c r="D38" s="21" t="n">
        <f aca="false">INDEX(aux_clientes!$B$2:$B$246,MATCH(LARGE(aux_clientes!$F$2:$F$246,A38),aux_clientes!$F$2:$F$246,0))</f>
        <v>7</v>
      </c>
      <c r="E38" s="22" t="n">
        <f aca="false">C38/SUM(v_valor)</f>
        <v>0.0161902254318169</v>
      </c>
      <c r="F38" s="22" t="n">
        <f aca="false">SUM($E$38:E38)</f>
        <v>0.0161902254318169</v>
      </c>
    </row>
    <row r="39" customFormat="false" ht="15" hidden="false" customHeight="false" outlineLevel="0" collapsed="false">
      <c r="A39" s="21" t="n">
        <v>2</v>
      </c>
      <c r="B39" s="10" t="str">
        <f aca="false">INDEX(aux_clientes!$A$2:$A$246,MATCH(LARGE(aux_clientes!$F$2:$F$246,A39),aux_clientes!$F$2:$F$246,0))</f>
        <v>CLI-0096</v>
      </c>
      <c r="C39" s="20" t="n">
        <f aca="false">INDEX(aux_clientes!$C$2:$C$246,MATCH(LARGE(aux_clientes!$F$2:$F$246,A39),aux_clientes!$F$2:$F$246,0))</f>
        <v>1740.39</v>
      </c>
      <c r="D39" s="21" t="n">
        <f aca="false">INDEX(aux_clientes!$B$2:$B$246,MATCH(LARGE(aux_clientes!$F$2:$F$246,A39),aux_clientes!$F$2:$F$246,0))</f>
        <v>8</v>
      </c>
      <c r="E39" s="22" t="n">
        <f aca="false">C39/SUM(v_valor)</f>
        <v>0.0159165945169376</v>
      </c>
      <c r="F39" s="22" t="n">
        <f aca="false">SUM($E$38:E39)</f>
        <v>0.0321068199487546</v>
      </c>
    </row>
    <row r="40" customFormat="false" ht="15" hidden="false" customHeight="false" outlineLevel="0" collapsed="false">
      <c r="A40" s="21" t="n">
        <v>3</v>
      </c>
      <c r="B40" s="10" t="str">
        <f aca="false">INDEX(aux_clientes!$A$2:$A$246,MATCH(LARGE(aux_clientes!$F$2:$F$246,A40),aux_clientes!$F$2:$F$246,0))</f>
        <v>CLI-0250</v>
      </c>
      <c r="C40" s="20" t="n">
        <f aca="false">INDEX(aux_clientes!$C$2:$C$246,MATCH(LARGE(aux_clientes!$F$2:$F$246,A40),aux_clientes!$F$2:$F$246,0))</f>
        <v>1718.86</v>
      </c>
      <c r="D40" s="21" t="n">
        <f aca="false">INDEX(aux_clientes!$B$2:$B$246,MATCH(LARGE(aux_clientes!$F$2:$F$246,A40),aux_clientes!$F$2:$F$246,0))</f>
        <v>7</v>
      </c>
      <c r="E40" s="22" t="n">
        <f aca="false">C40/SUM(v_valor)</f>
        <v>0.0157196936614112</v>
      </c>
      <c r="F40" s="22" t="n">
        <f aca="false">SUM($E$38:E40)</f>
        <v>0.0478265136101658</v>
      </c>
    </row>
    <row r="41" customFormat="false" ht="15" hidden="false" customHeight="false" outlineLevel="0" collapsed="false">
      <c r="A41" s="21" t="n">
        <v>4</v>
      </c>
      <c r="B41" s="10" t="str">
        <f aca="false">INDEX(aux_clientes!$A$2:$A$246,MATCH(LARGE(aux_clientes!$F$2:$F$246,A41),aux_clientes!$F$2:$F$246,0))</f>
        <v>CLI-0037</v>
      </c>
      <c r="C41" s="20" t="n">
        <f aca="false">INDEX(aux_clientes!$C$2:$C$246,MATCH(LARGE(aux_clientes!$F$2:$F$246,A41),aux_clientes!$F$2:$F$246,0))</f>
        <v>1614.56</v>
      </c>
      <c r="D41" s="21" t="n">
        <f aca="false">INDEX(aux_clientes!$B$2:$B$246,MATCH(LARGE(aux_clientes!$F$2:$F$246,A41),aux_clientes!$F$2:$F$246,0))</f>
        <v>6</v>
      </c>
      <c r="E41" s="22" t="n">
        <f aca="false">C41/SUM(v_valor)</f>
        <v>0.0147658265350104</v>
      </c>
      <c r="F41" s="22" t="n">
        <f aca="false">SUM($E$38:E41)</f>
        <v>0.0625923401451762</v>
      </c>
    </row>
    <row r="42" customFormat="false" ht="15" hidden="false" customHeight="false" outlineLevel="0" collapsed="false">
      <c r="A42" s="21" t="n">
        <v>5</v>
      </c>
      <c r="B42" s="10" t="str">
        <f aca="false">INDEX(aux_clientes!$A$2:$A$246,MATCH(LARGE(aux_clientes!$F$2:$F$246,A42),aux_clientes!$F$2:$F$246,0))</f>
        <v>CLI-0137</v>
      </c>
      <c r="C42" s="20" t="n">
        <f aca="false">INDEX(aux_clientes!$C$2:$C$246,MATCH(LARGE(aux_clientes!$F$2:$F$246,A42),aux_clientes!$F$2:$F$246,0))</f>
        <v>1576.78</v>
      </c>
      <c r="D42" s="21" t="n">
        <f aca="false">INDEX(aux_clientes!$B$2:$B$246,MATCH(LARGE(aux_clientes!$F$2:$F$246,A42),aux_clientes!$F$2:$F$246,0))</f>
        <v>6</v>
      </c>
      <c r="E42" s="22" t="n">
        <f aca="false">C42/SUM(v_valor)</f>
        <v>0.0144203126324657</v>
      </c>
      <c r="F42" s="22" t="n">
        <f aca="false">SUM($E$38:E42)</f>
        <v>0.0770126527776419</v>
      </c>
    </row>
    <row r="43" customFormat="false" ht="15" hidden="false" customHeight="false" outlineLevel="0" collapsed="false">
      <c r="A43" s="21" t="n">
        <v>6</v>
      </c>
      <c r="B43" s="10" t="str">
        <f aca="false">INDEX(aux_clientes!$A$2:$A$246,MATCH(LARGE(aux_clientes!$F$2:$F$246,A43),aux_clientes!$F$2:$F$246,0))</f>
        <v>CLI-0042</v>
      </c>
      <c r="C43" s="20" t="n">
        <f aca="false">INDEX(aux_clientes!$C$2:$C$246,MATCH(LARGE(aux_clientes!$F$2:$F$246,A43),aux_clientes!$F$2:$F$246,0))</f>
        <v>1570.61</v>
      </c>
      <c r="D43" s="21" t="n">
        <f aca="false">INDEX(aux_clientes!$B$2:$B$246,MATCH(LARGE(aux_clientes!$F$2:$F$246,A43),aux_clientes!$F$2:$F$246,0))</f>
        <v>3</v>
      </c>
      <c r="E43" s="22" t="n">
        <f aca="false">C43/SUM(v_valor)</f>
        <v>0.0143638854016901</v>
      </c>
      <c r="F43" s="22" t="n">
        <f aca="false">SUM($E$38:E43)</f>
        <v>0.091376538179332</v>
      </c>
    </row>
    <row r="44" customFormat="false" ht="15" hidden="false" customHeight="false" outlineLevel="0" collapsed="false">
      <c r="A44" s="21" t="n">
        <v>7</v>
      </c>
      <c r="B44" s="10" t="str">
        <f aca="false">INDEX(aux_clientes!$A$2:$A$246,MATCH(LARGE(aux_clientes!$F$2:$F$246,A44),aux_clientes!$F$2:$F$246,0))</f>
        <v>CLI-0021</v>
      </c>
      <c r="C44" s="20" t="n">
        <f aca="false">INDEX(aux_clientes!$C$2:$C$246,MATCH(LARGE(aux_clientes!$F$2:$F$246,A44),aux_clientes!$F$2:$F$246,0))</f>
        <v>1511.7</v>
      </c>
      <c r="D44" s="21" t="n">
        <f aca="false">INDEX(aux_clientes!$B$2:$B$246,MATCH(LARGE(aux_clientes!$F$2:$F$246,A44),aux_clientes!$F$2:$F$246,0))</f>
        <v>5</v>
      </c>
      <c r="E44" s="22" t="n">
        <f aca="false">C44/SUM(v_valor)</f>
        <v>0.0138251288109301</v>
      </c>
      <c r="F44" s="22" t="n">
        <f aca="false">SUM($E$38:E44)</f>
        <v>0.105201666990262</v>
      </c>
    </row>
    <row r="45" customFormat="false" ht="15" hidden="false" customHeight="false" outlineLevel="0" collapsed="false">
      <c r="A45" s="21" t="n">
        <v>8</v>
      </c>
      <c r="B45" s="10" t="str">
        <f aca="false">INDEX(aux_clientes!$A$2:$A$246,MATCH(LARGE(aux_clientes!$F$2:$F$246,A45),aux_clientes!$F$2:$F$246,0))</f>
        <v>CLI-0214</v>
      </c>
      <c r="C45" s="20" t="n">
        <f aca="false">INDEX(aux_clientes!$C$2:$C$246,MATCH(LARGE(aux_clientes!$F$2:$F$246,A45),aux_clientes!$F$2:$F$246,0))</f>
        <v>1457.49</v>
      </c>
      <c r="D45" s="21" t="n">
        <f aca="false">INDEX(aux_clientes!$B$2:$B$246,MATCH(LARGE(aux_clientes!$F$2:$F$246,A45),aux_clientes!$F$2:$F$246,0))</f>
        <v>2</v>
      </c>
      <c r="E45" s="22" t="n">
        <f aca="false">C45/SUM(v_valor)</f>
        <v>0.0133293556860769</v>
      </c>
      <c r="F45" s="22" t="n">
        <f aca="false">SUM($E$38:E45)</f>
        <v>0.118531022676339</v>
      </c>
    </row>
    <row r="46" customFormat="false" ht="15" hidden="false" customHeight="false" outlineLevel="0" collapsed="false">
      <c r="A46" s="21" t="n">
        <v>9</v>
      </c>
      <c r="B46" s="10" t="str">
        <f aca="false">INDEX(aux_clientes!$A$2:$A$246,MATCH(LARGE(aux_clientes!$F$2:$F$246,A46),aux_clientes!$F$2:$F$246,0))</f>
        <v>CLI-0004</v>
      </c>
      <c r="C46" s="20" t="n">
        <f aca="false">INDEX(aux_clientes!$C$2:$C$246,MATCH(LARGE(aux_clientes!$F$2:$F$246,A46),aux_clientes!$F$2:$F$246,0))</f>
        <v>1371.52</v>
      </c>
      <c r="D46" s="21" t="n">
        <f aca="false">INDEX(aux_clientes!$B$2:$B$246,MATCH(LARGE(aux_clientes!$F$2:$F$246,A46),aux_clientes!$F$2:$F$246,0))</f>
        <v>6</v>
      </c>
      <c r="E46" s="22" t="n">
        <f aca="false">C46/SUM(v_valor)</f>
        <v>0.0125431240767129</v>
      </c>
      <c r="F46" s="22" t="n">
        <f aca="false">SUM($E$38:E46)</f>
        <v>0.131074146753052</v>
      </c>
    </row>
    <row r="47" customFormat="false" ht="15" hidden="false" customHeight="false" outlineLevel="0" collapsed="false">
      <c r="A47" s="21" t="n">
        <v>10</v>
      </c>
      <c r="B47" s="10" t="str">
        <f aca="false">INDEX(aux_clientes!$A$2:$A$246,MATCH(LARGE(aux_clientes!$F$2:$F$246,A47),aux_clientes!$F$2:$F$246,0))</f>
        <v>CLI-0151</v>
      </c>
      <c r="C47" s="20" t="n">
        <f aca="false">INDEX(aux_clientes!$C$2:$C$246,MATCH(LARGE(aux_clientes!$F$2:$F$246,A47),aux_clientes!$F$2:$F$246,0))</f>
        <v>1357.39</v>
      </c>
      <c r="D47" s="21" t="n">
        <f aca="false">INDEX(aux_clientes!$B$2:$B$246,MATCH(LARGE(aux_clientes!$F$2:$F$246,A47),aux_clientes!$F$2:$F$246,0))</f>
        <v>5</v>
      </c>
      <c r="E47" s="22" t="n">
        <f aca="false">C47/SUM(v_valor)</f>
        <v>0.012413899316444</v>
      </c>
      <c r="F47" s="22" t="n">
        <f aca="false">SUM($E$38:E47)</f>
        <v>0.143488046069496</v>
      </c>
    </row>
    <row r="48" customFormat="false" ht="15" hidden="false" customHeight="false" outlineLevel="0" collapsed="false">
      <c r="A48" s="21" t="n">
        <v>11</v>
      </c>
      <c r="B48" s="10" t="str">
        <f aca="false">INDEX(aux_clientes!$A$2:$A$246,MATCH(LARGE(aux_clientes!$F$2:$F$246,A48),aux_clientes!$F$2:$F$246,0))</f>
        <v>CLI-0222</v>
      </c>
      <c r="C48" s="20" t="n">
        <f aca="false">INDEX(aux_clientes!$C$2:$C$246,MATCH(LARGE(aux_clientes!$F$2:$F$246,A48),aux_clientes!$F$2:$F$246,0))</f>
        <v>1345.99</v>
      </c>
      <c r="D48" s="21" t="n">
        <f aca="false">INDEX(aux_clientes!$B$2:$B$246,MATCH(LARGE(aux_clientes!$F$2:$F$246,A48),aux_clientes!$F$2:$F$246,0))</f>
        <v>8</v>
      </c>
      <c r="E48" s="22" t="n">
        <f aca="false">C48/SUM(v_valor)</f>
        <v>0.0123096415480742</v>
      </c>
      <c r="F48" s="22" t="n">
        <f aca="false">SUM($E$38:E48)</f>
        <v>0.15579768761757</v>
      </c>
    </row>
    <row r="49" customFormat="false" ht="15" hidden="false" customHeight="false" outlineLevel="0" collapsed="false">
      <c r="A49" s="21" t="n">
        <v>12</v>
      </c>
      <c r="B49" s="10" t="str">
        <f aca="false">INDEX(aux_clientes!$A$2:$A$246,MATCH(LARGE(aux_clientes!$F$2:$F$246,A49),aux_clientes!$F$2:$F$246,0))</f>
        <v>CLI-0177</v>
      </c>
      <c r="C49" s="20" t="n">
        <f aca="false">INDEX(aux_clientes!$C$2:$C$246,MATCH(LARGE(aux_clientes!$F$2:$F$246,A49),aux_clientes!$F$2:$F$246,0))</f>
        <v>1339.93</v>
      </c>
      <c r="D49" s="21" t="n">
        <f aca="false">INDEX(aux_clientes!$B$2:$B$246,MATCH(LARGE(aux_clientes!$F$2:$F$246,A49),aux_clientes!$F$2:$F$246,0))</f>
        <v>3</v>
      </c>
      <c r="E49" s="22" t="n">
        <f aca="false">C49/SUM(v_valor)</f>
        <v>0.0122542203133092</v>
      </c>
      <c r="F49" s="22" t="n">
        <f aca="false">SUM($E$38:E49)</f>
        <v>0.168051907930879</v>
      </c>
    </row>
    <row r="50" customFormat="false" ht="15" hidden="false" customHeight="false" outlineLevel="0" collapsed="false">
      <c r="A50" s="21" t="n">
        <v>13</v>
      </c>
      <c r="B50" s="10" t="str">
        <f aca="false">INDEX(aux_clientes!$A$2:$A$246,MATCH(LARGE(aux_clientes!$F$2:$F$246,A50),aux_clientes!$F$2:$F$246,0))</f>
        <v>CLI-0054</v>
      </c>
      <c r="C50" s="20" t="n">
        <f aca="false">INDEX(aux_clientes!$C$2:$C$246,MATCH(LARGE(aux_clientes!$F$2:$F$246,A50),aux_clientes!$F$2:$F$246,0))</f>
        <v>1322.47</v>
      </c>
      <c r="D50" s="21" t="n">
        <f aca="false">INDEX(aux_clientes!$B$2:$B$246,MATCH(LARGE(aux_clientes!$F$2:$F$246,A50),aux_clientes!$F$2:$F$246,0))</f>
        <v>5</v>
      </c>
      <c r="E50" s="22" t="n">
        <f aca="false">C50/SUM(v_valor)</f>
        <v>0.0120945413101745</v>
      </c>
      <c r="F50" s="22" t="n">
        <f aca="false">SUM($E$38:E50)</f>
        <v>0.180146449241054</v>
      </c>
    </row>
    <row r="51" customFormat="false" ht="15" hidden="false" customHeight="false" outlineLevel="0" collapsed="false">
      <c r="A51" s="21" t="n">
        <v>14</v>
      </c>
      <c r="B51" s="10" t="str">
        <f aca="false">INDEX(aux_clientes!$A$2:$A$246,MATCH(LARGE(aux_clientes!$F$2:$F$246,A51),aux_clientes!$F$2:$F$246,0))</f>
        <v>CLI-0117</v>
      </c>
      <c r="C51" s="20" t="n">
        <f aca="false">INDEX(aux_clientes!$C$2:$C$246,MATCH(LARGE(aux_clientes!$F$2:$F$246,A51),aux_clientes!$F$2:$F$246,0))</f>
        <v>1303.76</v>
      </c>
      <c r="D51" s="21" t="n">
        <f aca="false">INDEX(aux_clientes!$B$2:$B$246,MATCH(LARGE(aux_clientes!$F$2:$F$246,A51),aux_clientes!$F$2:$F$246,0))</f>
        <v>7</v>
      </c>
      <c r="E51" s="22" t="n">
        <f aca="false">C51/SUM(v_valor)</f>
        <v>0.0119234305341921</v>
      </c>
      <c r="F51" s="22" t="n">
        <f aca="false">SUM($E$38:E51)</f>
        <v>0.192069879775246</v>
      </c>
    </row>
    <row r="52" customFormat="false" ht="15" hidden="false" customHeight="false" outlineLevel="0" collapsed="false">
      <c r="A52" s="21" t="n">
        <v>15</v>
      </c>
      <c r="B52" s="10" t="str">
        <f aca="false">INDEX(aux_clientes!$A$2:$A$246,MATCH(LARGE(aux_clientes!$F$2:$F$246,A52),aux_clientes!$F$2:$F$246,0))</f>
        <v>CLI-0204</v>
      </c>
      <c r="C52" s="20" t="n">
        <f aca="false">INDEX(aux_clientes!$C$2:$C$246,MATCH(LARGE(aux_clientes!$F$2:$F$246,A52),aux_clientes!$F$2:$F$246,0))</f>
        <v>1293.81</v>
      </c>
      <c r="D52" s="21" t="n">
        <f aca="false">INDEX(aux_clientes!$B$2:$B$246,MATCH(LARGE(aux_clientes!$F$2:$F$246,A52),aux_clientes!$F$2:$F$246,0))</f>
        <v>6</v>
      </c>
      <c r="E52" s="22" t="n">
        <f aca="false">C52/SUM(v_valor)</f>
        <v>0.0118324336223255</v>
      </c>
      <c r="F52" s="22" t="n">
        <f aca="false">SUM($E$38:E52)</f>
        <v>0.203902313397571</v>
      </c>
    </row>
    <row r="53" customFormat="false" ht="15" hidden="false" customHeight="false" outlineLevel="0" collapsed="false">
      <c r="A53" s="21" t="n">
        <v>16</v>
      </c>
      <c r="B53" s="10" t="str">
        <f aca="false">INDEX(aux_clientes!$A$2:$A$246,MATCH(LARGE(aux_clientes!$F$2:$F$246,A53),aux_clientes!$F$2:$F$246,0))</f>
        <v>CLI-0167</v>
      </c>
      <c r="C53" s="20" t="n">
        <f aca="false">INDEX(aux_clientes!$C$2:$C$246,MATCH(LARGE(aux_clientes!$F$2:$F$246,A53),aux_clientes!$F$2:$F$246,0))</f>
        <v>1274.07</v>
      </c>
      <c r="D53" s="21" t="n">
        <f aca="false">INDEX(aux_clientes!$B$2:$B$246,MATCH(LARGE(aux_clientes!$F$2:$F$246,A53),aux_clientes!$F$2:$F$246,0))</f>
        <v>8</v>
      </c>
      <c r="E53" s="22" t="n">
        <f aca="false">C53/SUM(v_valor)</f>
        <v>0.0116519030655168</v>
      </c>
      <c r="F53" s="22" t="n">
        <f aca="false">SUM($E$38:E53)</f>
        <v>0.215554216463088</v>
      </c>
    </row>
    <row r="54" customFormat="false" ht="15" hidden="false" customHeight="false" outlineLevel="0" collapsed="false">
      <c r="A54" s="21" t="n">
        <v>17</v>
      </c>
      <c r="B54" s="10" t="str">
        <f aca="false">INDEX(aux_clientes!$A$2:$A$246,MATCH(LARGE(aux_clientes!$F$2:$F$246,A54),aux_clientes!$F$2:$F$246,0))</f>
        <v>CLI-0040</v>
      </c>
      <c r="C54" s="20" t="n">
        <f aca="false">INDEX(aux_clientes!$C$2:$C$246,MATCH(LARGE(aux_clientes!$F$2:$F$246,A54),aux_clientes!$F$2:$F$246,0))</f>
        <v>1247.71</v>
      </c>
      <c r="D54" s="21" t="n">
        <f aca="false">INDEX(aux_clientes!$B$2:$B$246,MATCH(LARGE(aux_clientes!$F$2:$F$246,A54),aux_clientes!$F$2:$F$246,0))</f>
        <v>6</v>
      </c>
      <c r="E54" s="22" t="n">
        <f aca="false">C54/SUM(v_valor)</f>
        <v>0.0114108298397073</v>
      </c>
      <c r="F54" s="22" t="n">
        <f aca="false">SUM($E$38:E54)</f>
        <v>0.226965046302796</v>
      </c>
    </row>
    <row r="55" customFormat="false" ht="15" hidden="false" customHeight="false" outlineLevel="0" collapsed="false">
      <c r="A55" s="21" t="n">
        <v>18</v>
      </c>
      <c r="B55" s="10" t="str">
        <f aca="false">INDEX(aux_clientes!$A$2:$A$246,MATCH(LARGE(aux_clientes!$F$2:$F$246,A55),aux_clientes!$F$2:$F$246,0))</f>
        <v>CLI-0231</v>
      </c>
      <c r="C55" s="20" t="n">
        <f aca="false">INDEX(aux_clientes!$C$2:$C$246,MATCH(LARGE(aux_clientes!$F$2:$F$246,A55),aux_clientes!$F$2:$F$246,0))</f>
        <v>1246.06</v>
      </c>
      <c r="D55" s="21" t="n">
        <f aca="false">INDEX(aux_clientes!$B$2:$B$246,MATCH(LARGE(aux_clientes!$F$2:$F$246,A55),aux_clientes!$F$2:$F$246,0))</f>
        <v>2</v>
      </c>
      <c r="E55" s="22" t="n">
        <f aca="false">C55/SUM(v_valor)</f>
        <v>0.0113957398995486</v>
      </c>
      <c r="F55" s="22" t="n">
        <f aca="false">SUM($E$38:E55)</f>
        <v>0.238360786202344</v>
      </c>
    </row>
    <row r="56" customFormat="false" ht="15" hidden="false" customHeight="false" outlineLevel="0" collapsed="false">
      <c r="A56" s="21" t="n">
        <v>19</v>
      </c>
      <c r="B56" s="10" t="str">
        <f aca="false">INDEX(aux_clientes!$A$2:$A$246,MATCH(LARGE(aux_clientes!$F$2:$F$246,A56),aux_clientes!$F$2:$F$246,0))</f>
        <v>CLI-0175</v>
      </c>
      <c r="C56" s="20" t="n">
        <f aca="false">INDEX(aux_clientes!$C$2:$C$246,MATCH(LARGE(aux_clientes!$F$2:$F$246,A56),aux_clientes!$F$2:$F$246,0))</f>
        <v>1213.34</v>
      </c>
      <c r="D56" s="21" t="n">
        <f aca="false">INDEX(aux_clientes!$B$2:$B$246,MATCH(LARGE(aux_clientes!$F$2:$F$246,A56),aux_clientes!$F$2:$F$246,0))</f>
        <v>6</v>
      </c>
      <c r="E56" s="22" t="n">
        <f aca="false">C56/SUM(v_valor)</f>
        <v>0.0110965018134907</v>
      </c>
      <c r="F56" s="22" t="n">
        <f aca="false">SUM($E$38:E56)</f>
        <v>0.249457288015835</v>
      </c>
    </row>
    <row r="57" customFormat="false" ht="15" hidden="false" customHeight="false" outlineLevel="0" collapsed="false">
      <c r="A57" s="21" t="n">
        <v>20</v>
      </c>
      <c r="B57" s="10" t="str">
        <f aca="false">INDEX(aux_clientes!$A$2:$A$246,MATCH(LARGE(aux_clientes!$F$2:$F$246,A57),aux_clientes!$F$2:$F$246,0))</f>
        <v>CLI-0236</v>
      </c>
      <c r="C57" s="20" t="n">
        <f aca="false">INDEX(aux_clientes!$C$2:$C$246,MATCH(LARGE(aux_clientes!$F$2:$F$246,A57),aux_clientes!$F$2:$F$246,0))</f>
        <v>1097.07</v>
      </c>
      <c r="D57" s="21" t="n">
        <f aca="false">INDEX(aux_clientes!$B$2:$B$246,MATCH(LARGE(aux_clientes!$F$2:$F$246,A57),aux_clientes!$F$2:$F$246,0))</f>
        <v>9</v>
      </c>
      <c r="E57" s="22" t="n">
        <f aca="false">C57/SUM(v_valor)</f>
        <v>0.0100331640303017</v>
      </c>
      <c r="F57" s="22" t="n">
        <f aca="false">SUM($E$38:E57)</f>
        <v>0.259490452046136</v>
      </c>
    </row>
    <row r="59" customFormat="false" ht="15" hidden="false" customHeight="false" outlineLevel="0" collapsed="false">
      <c r="A59" s="5" t="s">
        <v>105</v>
      </c>
    </row>
    <row r="60" customFormat="false" ht="15" hidden="false" customHeight="true" outlineLevel="0" collapsed="false">
      <c r="A60" s="26" t="s">
        <v>106</v>
      </c>
      <c r="B60" s="26"/>
      <c r="C60" s="26"/>
      <c r="D60" s="26"/>
      <c r="E60" s="26"/>
      <c r="F60" s="26"/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6"/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</row>
    <row r="65" customFormat="false" ht="21.75" hidden="false" customHeight="true" outlineLevel="0" collapsed="false">
      <c r="A65" s="18" t="s">
        <v>234</v>
      </c>
      <c r="B65" s="18"/>
      <c r="C65" s="18"/>
      <c r="D65" s="18"/>
      <c r="E65" s="18"/>
      <c r="F65" s="18"/>
    </row>
    <row r="66" customFormat="false" ht="27.75" hidden="false" customHeight="true" outlineLevel="0" collapsed="false">
      <c r="A66" s="19" t="s">
        <v>235</v>
      </c>
      <c r="B66" s="19"/>
      <c r="C66" s="19"/>
      <c r="D66" s="19"/>
      <c r="E66" s="19"/>
      <c r="F66" s="19"/>
    </row>
    <row r="67" customFormat="false" ht="30" hidden="false" customHeight="true" outlineLevel="0" collapsed="false">
      <c r="A67" s="12" t="s">
        <v>236</v>
      </c>
      <c r="B67" s="12"/>
      <c r="C67" s="12"/>
      <c r="D67" s="12"/>
      <c r="E67" s="12"/>
      <c r="F67" s="12"/>
    </row>
    <row r="69" customFormat="false" ht="15" hidden="false" customHeight="true" outlineLevel="0" collapsed="false">
      <c r="A69" s="14" t="s">
        <v>237</v>
      </c>
      <c r="B69" s="14"/>
      <c r="C69" s="14" t="s">
        <v>120</v>
      </c>
    </row>
    <row r="70" customFormat="false" ht="15" hidden="false" customHeight="false" outlineLevel="0" collapsed="false">
      <c r="A70" s="27" t="s">
        <v>238</v>
      </c>
      <c r="B70" s="27"/>
      <c r="C70" s="34" t="n">
        <f aca="false">MAX(v_data)+1</f>
        <v>45658</v>
      </c>
    </row>
    <row r="71" customFormat="false" ht="15" hidden="false" customHeight="false" outlineLevel="0" collapsed="false">
      <c r="A71" s="27" t="s">
        <v>239</v>
      </c>
      <c r="B71" s="27"/>
      <c r="C71" s="32" t="n">
        <v>10</v>
      </c>
      <c r="D71" s="11" t="s">
        <v>240</v>
      </c>
    </row>
    <row r="72" customFormat="false" ht="15" hidden="false" customHeight="false" outlineLevel="0" collapsed="false">
      <c r="A72" s="27" t="s">
        <v>241</v>
      </c>
      <c r="B72" s="27"/>
      <c r="C72" s="32" t="n">
        <v>7</v>
      </c>
    </row>
    <row r="73" customFormat="false" ht="15" hidden="false" customHeight="false" outlineLevel="0" collapsed="false">
      <c r="A73" s="27" t="s">
        <v>242</v>
      </c>
      <c r="B73" s="27"/>
      <c r="C73" s="32" t="n">
        <v>5</v>
      </c>
    </row>
    <row r="75" customFormat="false" ht="23.85" hidden="false" customHeight="true" outlineLevel="0" collapsed="false">
      <c r="A75" s="14" t="s">
        <v>243</v>
      </c>
      <c r="B75" s="14"/>
      <c r="C75" s="14" t="s">
        <v>65</v>
      </c>
      <c r="D75" s="14" t="s">
        <v>86</v>
      </c>
      <c r="E75" s="14" t="s">
        <v>132</v>
      </c>
      <c r="F75" s="14" t="s">
        <v>244</v>
      </c>
    </row>
    <row r="76" customFormat="false" ht="15" hidden="false" customHeight="false" outlineLevel="0" collapsed="false">
      <c r="A76" s="27" t="s">
        <v>245</v>
      </c>
      <c r="B76" s="27"/>
      <c r="C76" s="21" t="n">
        <f aca="false">COUNTIF(aux_clientes!$K$2:$K$246,A76)</f>
        <v>49</v>
      </c>
      <c r="D76" s="20" t="n">
        <f aca="false">SUMIF(aux_clientes!$K$2:$K$246,A76,aux_clientes!$C$2:$C$246)</f>
        <v>45269.08</v>
      </c>
      <c r="E76" s="22" t="n">
        <f aca="false">D76/SUM(v_valor)</f>
        <v>0.414004671662565</v>
      </c>
      <c r="F76" s="35" t="n">
        <f aca="false">IFERROR(AVERAGEIF(aux_clientes!$K$2:$K$246,A76,aux_clientes!$B$2:$B$246),0)</f>
        <v>6.55102040816327</v>
      </c>
    </row>
    <row r="77" customFormat="false" ht="15" hidden="false" customHeight="false" outlineLevel="0" collapsed="false">
      <c r="A77" s="27" t="s">
        <v>246</v>
      </c>
      <c r="B77" s="27"/>
      <c r="C77" s="21" t="n">
        <f aca="false">COUNTIF(aux_clientes!$K$2:$K$246,A77)</f>
        <v>94</v>
      </c>
      <c r="D77" s="20" t="n">
        <f aca="false">SUMIF(aux_clientes!$K$2:$K$246,A77,aux_clientes!$C$2:$C$246)</f>
        <v>45075.5</v>
      </c>
      <c r="E77" s="22" t="n">
        <f aca="false">D77/SUM(v_valor)</f>
        <v>0.4122343015923</v>
      </c>
      <c r="F77" s="35" t="n">
        <f aca="false">IFERROR(AVERAGEIF(aux_clientes!$K$2:$K$246,A77,aux_clientes!$B$2:$B$246),0)</f>
        <v>4.30851063829787</v>
      </c>
    </row>
    <row r="78" customFormat="false" ht="15" hidden="false" customHeight="false" outlineLevel="0" collapsed="false">
      <c r="A78" s="27" t="s">
        <v>247</v>
      </c>
      <c r="B78" s="27"/>
      <c r="C78" s="21" t="n">
        <f aca="false">COUNTIF(aux_clientes!$K$2:$K$246,A78)</f>
        <v>55</v>
      </c>
      <c r="D78" s="20" t="n">
        <f aca="false">SUMIF(aux_clientes!$K$2:$K$246,A78,aux_clientes!$C$2:$C$246)</f>
        <v>14103.79</v>
      </c>
      <c r="E78" s="22" t="n">
        <f aca="false">D78/SUM(v_valor)</f>
        <v>0.128985058855797</v>
      </c>
      <c r="F78" s="35" t="n">
        <f aca="false">IFERROR(AVERAGEIF(aux_clientes!$K$2:$K$246,A78,aux_clientes!$B$2:$B$246),0)</f>
        <v>3.23636363636364</v>
      </c>
    </row>
    <row r="79" customFormat="false" ht="15" hidden="false" customHeight="false" outlineLevel="0" collapsed="false">
      <c r="A79" s="27" t="s">
        <v>248</v>
      </c>
      <c r="B79" s="27"/>
      <c r="C79" s="21" t="n">
        <f aca="false">COUNTIF(aux_clientes!$K$2:$K$246,A79)</f>
        <v>47</v>
      </c>
      <c r="D79" s="20" t="n">
        <f aca="false">SUMIF(aux_clientes!$K$2:$K$246,A79,aux_clientes!$C$2:$C$246)</f>
        <v>4896</v>
      </c>
      <c r="E79" s="22" t="n">
        <f aca="false">D79/SUM(v_valor)</f>
        <v>0.044775967889339</v>
      </c>
      <c r="F79" s="35" t="n">
        <f aca="false">IFERROR(AVERAGEIF(aux_clientes!$K$2:$K$246,A79,aux_clientes!$B$2:$B$246),0)</f>
        <v>2.04255319148936</v>
      </c>
    </row>
    <row r="80" customFormat="false" ht="15" hidden="false" customHeight="false" outlineLevel="0" collapsed="false">
      <c r="A80" s="23" t="s">
        <v>102</v>
      </c>
      <c r="C80" s="25" t="n">
        <f aca="false">SUM(C76:C79)</f>
        <v>245</v>
      </c>
      <c r="D80" s="24" t="n">
        <f aca="false">SUM(D76:D79)</f>
        <v>109344.37</v>
      </c>
    </row>
    <row r="82" customFormat="false" ht="25.5" hidden="false" customHeight="true" outlineLevel="0" collapsed="false">
      <c r="A82" s="12" t="s">
        <v>249</v>
      </c>
      <c r="B82" s="12"/>
      <c r="C82" s="12"/>
      <c r="D82" s="12"/>
      <c r="E82" s="12"/>
      <c r="F82" s="12"/>
    </row>
    <row r="84" customFormat="false" ht="15" hidden="false" customHeight="false" outlineLevel="0" collapsed="false">
      <c r="A84" s="5" t="s">
        <v>105</v>
      </c>
    </row>
    <row r="85" customFormat="false" ht="15" hidden="false" customHeight="true" outlineLevel="0" collapsed="false">
      <c r="A85" s="26" t="s">
        <v>106</v>
      </c>
      <c r="B85" s="26"/>
      <c r="C85" s="26"/>
      <c r="D85" s="26"/>
      <c r="E85" s="26"/>
      <c r="F85" s="26"/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6"/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6"/>
    </row>
  </sheetData>
  <mergeCells count="23">
    <mergeCell ref="A4:F4"/>
    <mergeCell ref="A5:F5"/>
    <mergeCell ref="A6:F6"/>
    <mergeCell ref="A28:F30"/>
    <mergeCell ref="A33:F33"/>
    <mergeCell ref="A34:F34"/>
    <mergeCell ref="A35:F35"/>
    <mergeCell ref="A60:F62"/>
    <mergeCell ref="A65:F65"/>
    <mergeCell ref="A66:F66"/>
    <mergeCell ref="A67:F67"/>
    <mergeCell ref="A69:B69"/>
    <mergeCell ref="A70:B70"/>
    <mergeCell ref="A71:B71"/>
    <mergeCell ref="A72:B72"/>
    <mergeCell ref="A73:B73"/>
    <mergeCell ref="A75:B75"/>
    <mergeCell ref="A76:B76"/>
    <mergeCell ref="A77:B77"/>
    <mergeCell ref="A78:B78"/>
    <mergeCell ref="A79:B79"/>
    <mergeCell ref="A82:F82"/>
    <mergeCell ref="A85:F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3"/>
  </cols>
  <sheetData>
    <row r="1" customFormat="false" ht="19.7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21.75" hidden="false" customHeight="true" outlineLevel="0" collapsed="false">
      <c r="A4" s="18" t="s">
        <v>252</v>
      </c>
      <c r="B4" s="18"/>
      <c r="C4" s="18"/>
      <c r="D4" s="18"/>
      <c r="E4" s="18"/>
      <c r="F4" s="18"/>
    </row>
    <row r="5" customFormat="false" ht="27.75" hidden="false" customHeight="true" outlineLevel="0" collapsed="false">
      <c r="A5" s="19" t="s">
        <v>253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12" t="s">
        <v>254</v>
      </c>
      <c r="B6" s="12"/>
      <c r="C6" s="12"/>
      <c r="D6" s="12"/>
      <c r="E6" s="12"/>
      <c r="F6" s="12"/>
    </row>
    <row r="8" customFormat="false" ht="15" hidden="false" customHeight="false" outlineLevel="0" collapsed="false">
      <c r="A8" s="14" t="s">
        <v>255</v>
      </c>
      <c r="B8" s="14" t="s">
        <v>256</v>
      </c>
      <c r="C8" s="14" t="s">
        <v>257</v>
      </c>
      <c r="D8" s="14" t="s">
        <v>87</v>
      </c>
      <c r="E8" s="14" t="s">
        <v>258</v>
      </c>
    </row>
    <row r="9" customFormat="false" ht="15" hidden="false" customHeight="false" outlineLevel="0" collapsed="false">
      <c r="A9" s="10" t="s">
        <v>259</v>
      </c>
      <c r="B9" s="36" t="s">
        <v>207</v>
      </c>
      <c r="C9" s="36" t="n">
        <v>0</v>
      </c>
      <c r="D9" s="21" t="n">
        <f aca="false">COUNTIFS(v_desc,0,v_desc_origem,"&lt;&gt;imputado_mediana")</f>
        <v>173</v>
      </c>
      <c r="E9" s="22" t="n">
        <f aca="false">D9/SUM($D$9:$D$15)</f>
        <v>0.185821697099893</v>
      </c>
    </row>
    <row r="10" customFormat="false" ht="15" hidden="false" customHeight="false" outlineLevel="0" collapsed="false">
      <c r="A10" s="10" t="s">
        <v>260</v>
      </c>
      <c r="B10" s="36" t="n">
        <v>0</v>
      </c>
      <c r="C10" s="36" t="n">
        <v>1</v>
      </c>
      <c r="D10" s="21" t="n">
        <f aca="false">COUNTIFS(v_desc,"&gt;"&amp;B10,v_desc,"&lt;="&amp;C10,v_desc_origem,"&lt;&gt;imputado_mediana")</f>
        <v>145</v>
      </c>
      <c r="E10" s="22" t="n">
        <f aca="false">D10/SUM($D$9:$D$15)</f>
        <v>0.155746509129968</v>
      </c>
    </row>
    <row r="11" customFormat="false" ht="15" hidden="false" customHeight="false" outlineLevel="0" collapsed="false">
      <c r="A11" s="10" t="s">
        <v>261</v>
      </c>
      <c r="B11" s="36" t="n">
        <v>1</v>
      </c>
      <c r="C11" s="36" t="n">
        <v>2</v>
      </c>
      <c r="D11" s="21" t="n">
        <f aca="false">COUNTIFS(v_desc,"&gt;"&amp;B11,v_desc,"&lt;="&amp;C11,v_desc_origem,"&lt;&gt;imputado_mediana")</f>
        <v>170</v>
      </c>
      <c r="E11" s="22" t="n">
        <f aca="false">D11/SUM($D$9:$D$15)</f>
        <v>0.182599355531686</v>
      </c>
    </row>
    <row r="12" customFormat="false" ht="15" hidden="false" customHeight="false" outlineLevel="0" collapsed="false">
      <c r="A12" s="10" t="s">
        <v>262</v>
      </c>
      <c r="B12" s="36" t="n">
        <v>2</v>
      </c>
      <c r="C12" s="36" t="n">
        <v>3</v>
      </c>
      <c r="D12" s="21" t="n">
        <f aca="false">COUNTIFS(v_desc,"&gt;"&amp;B12,v_desc,"&lt;="&amp;C12,v_desc_origem,"&lt;&gt;imputado_mediana")</f>
        <v>108</v>
      </c>
      <c r="E12" s="22" t="n">
        <f aca="false">D12/SUM($D$9:$D$15)</f>
        <v>0.116004296455424</v>
      </c>
    </row>
    <row r="13" customFormat="false" ht="15" hidden="false" customHeight="false" outlineLevel="0" collapsed="false">
      <c r="A13" s="10" t="s">
        <v>263</v>
      </c>
      <c r="B13" s="36" t="n">
        <v>3</v>
      </c>
      <c r="C13" s="36" t="n">
        <v>5</v>
      </c>
      <c r="D13" s="21" t="n">
        <f aca="false">COUNTIFS(v_desc,"&gt;"&amp;B13,v_desc,"&lt;="&amp;C13,v_desc_origem,"&lt;&gt;imputado_mediana")</f>
        <v>166</v>
      </c>
      <c r="E13" s="22" t="n">
        <f aca="false">D13/SUM($D$9:$D$15)</f>
        <v>0.178302900107411</v>
      </c>
    </row>
    <row r="14" customFormat="false" ht="15" hidden="false" customHeight="false" outlineLevel="0" collapsed="false">
      <c r="A14" s="10" t="s">
        <v>264</v>
      </c>
      <c r="B14" s="36" t="n">
        <v>5</v>
      </c>
      <c r="C14" s="36" t="n">
        <v>10</v>
      </c>
      <c r="D14" s="21" t="n">
        <f aca="false">COUNTIFS(v_desc,"&gt;"&amp;B14,v_desc,"&lt;="&amp;C14,v_desc_origem,"&lt;&gt;imputado_mediana")</f>
        <v>127</v>
      </c>
      <c r="E14" s="22" t="n">
        <f aca="false">D14/SUM($D$9:$D$15)</f>
        <v>0.13641245972073</v>
      </c>
    </row>
    <row r="15" customFormat="false" ht="15" hidden="false" customHeight="false" outlineLevel="0" collapsed="false">
      <c r="A15" s="10" t="s">
        <v>265</v>
      </c>
      <c r="B15" s="36" t="n">
        <v>10</v>
      </c>
      <c r="C15" s="36" t="n">
        <v>20</v>
      </c>
      <c r="D15" s="21" t="n">
        <f aca="false">COUNTIFS(v_desc,"&gt;"&amp;B15,v_desc,"&lt;="&amp;C15,v_desc_origem,"&lt;&gt;imputado_mediana")</f>
        <v>42</v>
      </c>
      <c r="E15" s="22" t="n">
        <f aca="false">D15/SUM($D$9:$D$15)</f>
        <v>0.0451127819548872</v>
      </c>
    </row>
    <row r="16" customFormat="false" ht="15" hidden="false" customHeight="false" outlineLevel="0" collapsed="false">
      <c r="A16" s="23" t="s">
        <v>102</v>
      </c>
      <c r="D16" s="25" t="n">
        <f aca="false">SUM(D9:D15)</f>
        <v>931</v>
      </c>
    </row>
    <row r="17" customFormat="false" ht="15" hidden="false" customHeight="false" outlineLevel="0" collapsed="false">
      <c r="A17" s="11" t="s">
        <v>266</v>
      </c>
      <c r="D17" s="37" t="n">
        <f aca="false">COUNTIFS(v_desc_origem,"&lt;&gt;imputado_mediana")</f>
        <v>931</v>
      </c>
    </row>
    <row r="19" customFormat="false" ht="15" hidden="false" customHeight="false" outlineLevel="0" collapsed="false">
      <c r="A19" s="10" t="s">
        <v>267</v>
      </c>
      <c r="B19" s="38" t="n">
        <f aca="false">AVERAGEIFS(v_desc,v_desc_origem,"&lt;&gt;imputado_mediana")</f>
        <v>2.8834693877551</v>
      </c>
      <c r="C19" s="11" t="s">
        <v>268</v>
      </c>
    </row>
    <row r="20" customFormat="false" ht="15" hidden="false" customHeight="false" outlineLevel="0" collapsed="false">
      <c r="A20" s="10" t="s">
        <v>269</v>
      </c>
      <c r="B20" s="38" t="n">
        <f aca="false" t="array" ref="B20:B20">MEDIAN(IF((v_desc_origem&lt;&gt;"imputado_mediana"),v_desc))</f>
        <v>1.89</v>
      </c>
    </row>
    <row r="21" customFormat="false" ht="15" hidden="false" customHeight="false" outlineLevel="0" collapsed="false">
      <c r="A21" s="10" t="s">
        <v>270</v>
      </c>
      <c r="B21" s="38" t="n">
        <f aca="false">_xlfn.MAXIFS(v_desc,v_desc_origem,"&lt;&gt;imputado_mediana")</f>
        <v>18</v>
      </c>
    </row>
    <row r="23" customFormat="false" ht="25.5" hidden="false" customHeight="true" outlineLevel="0" collapsed="false">
      <c r="A23" s="12" t="s">
        <v>271</v>
      </c>
      <c r="B23" s="12"/>
      <c r="C23" s="12"/>
      <c r="D23" s="12"/>
      <c r="E23" s="12"/>
      <c r="F23" s="12"/>
    </row>
    <row r="25" customFormat="false" ht="15" hidden="false" customHeight="false" outlineLevel="0" collapsed="false">
      <c r="A25" s="5" t="s">
        <v>105</v>
      </c>
    </row>
    <row r="26" customFormat="false" ht="15" hidden="false" customHeight="true" outlineLevel="0" collapsed="false">
      <c r="A26" s="26" t="s">
        <v>106</v>
      </c>
      <c r="B26" s="26"/>
      <c r="C26" s="26"/>
      <c r="D26" s="26"/>
      <c r="E26" s="26"/>
      <c r="F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</row>
    <row r="31" customFormat="false" ht="21.75" hidden="false" customHeight="true" outlineLevel="0" collapsed="false">
      <c r="A31" s="18" t="s">
        <v>272</v>
      </c>
      <c r="B31" s="18"/>
      <c r="C31" s="18"/>
      <c r="D31" s="18"/>
      <c r="E31" s="18"/>
      <c r="F31" s="18"/>
      <c r="G31" s="18"/>
      <c r="H31" s="18"/>
    </row>
    <row r="32" customFormat="false" ht="27.75" hidden="false" customHeight="true" outlineLevel="0" collapsed="false">
      <c r="A32" s="19" t="s">
        <v>273</v>
      </c>
      <c r="B32" s="19"/>
      <c r="C32" s="19"/>
      <c r="D32" s="19"/>
      <c r="E32" s="19"/>
      <c r="F32" s="19"/>
      <c r="G32" s="19"/>
      <c r="H32" s="19"/>
    </row>
    <row r="33" customFormat="false" ht="30" hidden="false" customHeight="true" outlineLevel="0" collapsed="false">
      <c r="A33" s="12" t="s">
        <v>274</v>
      </c>
      <c r="B33" s="12"/>
      <c r="C33" s="12"/>
      <c r="D33" s="12"/>
      <c r="E33" s="12"/>
      <c r="F33" s="12"/>
      <c r="G33" s="12"/>
      <c r="H33" s="12"/>
    </row>
    <row r="35" customFormat="false" ht="23.85" hidden="false" customHeight="false" outlineLevel="0" collapsed="false">
      <c r="A35" s="14" t="s">
        <v>131</v>
      </c>
      <c r="B35" s="14" t="s">
        <v>172</v>
      </c>
      <c r="C35" s="14" t="s">
        <v>173</v>
      </c>
      <c r="D35" s="14" t="s">
        <v>174</v>
      </c>
      <c r="E35" s="14" t="s">
        <v>175</v>
      </c>
      <c r="F35" s="14" t="s">
        <v>176</v>
      </c>
    </row>
    <row r="36" customFormat="false" ht="15" hidden="false" customHeight="false" outlineLevel="0" collapsed="false">
      <c r="A36" s="10" t="s">
        <v>134</v>
      </c>
      <c r="B36" s="39" t="n">
        <f aca="false">IFERROR(AVERAGEIFS(v_desc,v_categoria,$A36,v_canal,B$35,v_desc_origem,"&lt;&gt;imputado_mediana"),"")</f>
        <v>2.56698412698413</v>
      </c>
      <c r="C36" s="39" t="n">
        <f aca="false">IFERROR(AVERAGEIFS(v_desc,v_categoria,$A36,v_canal,C$35,v_desc_origem,"&lt;&gt;imputado_mediana"),"")</f>
        <v>3.35827586206897</v>
      </c>
      <c r="D36" s="39" t="n">
        <f aca="false">IFERROR(AVERAGEIFS(v_desc,v_categoria,$A36,v_canal,D$35,v_desc_origem,"&lt;&gt;imputado_mediana"),"")</f>
        <v>3.2075</v>
      </c>
      <c r="E36" s="39" t="n">
        <f aca="false">IFERROR(AVERAGEIFS(v_desc,v_categoria,$A36,v_canal,E$35,v_desc_origem,"&lt;&gt;imputado_mediana"),"")</f>
        <v>2.65545454545455</v>
      </c>
      <c r="F36" s="39" t="n">
        <f aca="false">IFERROR(AVERAGEIFS(v_desc,v_categoria,$A36,v_canal,F$35,v_desc_origem,"&lt;&gt;imputado_mediana"),"")</f>
        <v>3.31704545454545</v>
      </c>
    </row>
    <row r="37" customFormat="false" ht="15" hidden="false" customHeight="false" outlineLevel="0" collapsed="false">
      <c r="A37" s="10" t="s">
        <v>135</v>
      </c>
      <c r="B37" s="39" t="n">
        <f aca="false">IFERROR(AVERAGEIFS(v_desc,v_categoria,$A37,v_canal,B$35,v_desc_origem,"&lt;&gt;imputado_mediana"),"")</f>
        <v>2.85557142857143</v>
      </c>
      <c r="C37" s="39" t="n">
        <f aca="false">IFERROR(AVERAGEIFS(v_desc,v_categoria,$A37,v_canal,C$35,v_desc_origem,"&lt;&gt;imputado_mediana"),"")</f>
        <v>2.58</v>
      </c>
      <c r="D37" s="39" t="n">
        <f aca="false">IFERROR(AVERAGEIFS(v_desc,v_categoria,$A37,v_canal,D$35,v_desc_origem,"&lt;&gt;imputado_mediana"),"")</f>
        <v>2.91923076923077</v>
      </c>
      <c r="E37" s="39" t="n">
        <f aca="false">IFERROR(AVERAGEIFS(v_desc,v_categoria,$A37,v_canal,E$35,v_desc_origem,"&lt;&gt;imputado_mediana"),"")</f>
        <v>6.69</v>
      </c>
      <c r="F37" s="39" t="n">
        <f aca="false">IFERROR(AVERAGEIFS(v_desc,v_categoria,$A37,v_canal,F$35,v_desc_origem,"&lt;&gt;imputado_mediana"),"")</f>
        <v>2.7208</v>
      </c>
    </row>
    <row r="38" customFormat="false" ht="15" hidden="false" customHeight="false" outlineLevel="0" collapsed="false">
      <c r="A38" s="10" t="s">
        <v>136</v>
      </c>
      <c r="B38" s="39" t="n">
        <f aca="false">IFERROR(AVERAGEIFS(v_desc,v_categoria,$A38,v_canal,B$35,v_desc_origem,"&lt;&gt;imputado_mediana"),"")</f>
        <v>2.65811320754717</v>
      </c>
      <c r="C38" s="39" t="n">
        <f aca="false">IFERROR(AVERAGEIFS(v_desc,v_categoria,$A38,v_canal,C$35,v_desc_origem,"&lt;&gt;imputado_mediana"),"")</f>
        <v>2.88454545454545</v>
      </c>
      <c r="D38" s="39" t="n">
        <f aca="false">IFERROR(AVERAGEIFS(v_desc,v_categoria,$A38,v_canal,D$35,v_desc_origem,"&lt;&gt;imputado_mediana"),"")</f>
        <v>3.40208333333333</v>
      </c>
      <c r="E38" s="39" t="n">
        <f aca="false">IFERROR(AVERAGEIFS(v_desc,v_categoria,$A38,v_canal,E$35,v_desc_origem,"&lt;&gt;imputado_mediana"),"")</f>
        <v>2.85333333333333</v>
      </c>
      <c r="F38" s="39" t="n">
        <f aca="false">IFERROR(AVERAGEIFS(v_desc,v_categoria,$A38,v_canal,F$35,v_desc_origem,"&lt;&gt;imputado_mediana"),"")</f>
        <v>2.82075</v>
      </c>
    </row>
    <row r="39" customFormat="false" ht="15" hidden="false" customHeight="false" outlineLevel="0" collapsed="false">
      <c r="A39" s="10" t="s">
        <v>137</v>
      </c>
      <c r="B39" s="39" t="n">
        <f aca="false">IFERROR(AVERAGEIFS(v_desc,v_categoria,$A39,v_canal,B$35,v_desc_origem,"&lt;&gt;imputado_mediana"),"")</f>
        <v>4.14575757575758</v>
      </c>
      <c r="C39" s="39" t="n">
        <f aca="false">IFERROR(AVERAGEIFS(v_desc,v_categoria,$A39,v_canal,C$35,v_desc_origem,"&lt;&gt;imputado_mediana"),"")</f>
        <v>2.282</v>
      </c>
      <c r="D39" s="39" t="n">
        <f aca="false">IFERROR(AVERAGEIFS(v_desc,v_categoria,$A39,v_canal,D$35,v_desc_origem,"&lt;&gt;imputado_mediana"),"")</f>
        <v>2.49923076923077</v>
      </c>
      <c r="E39" s="39" t="n">
        <f aca="false">IFERROR(AVERAGEIFS(v_desc,v_categoria,$A39,v_canal,E$35,v_desc_origem,"&lt;&gt;imputado_mediana"),"")</f>
        <v>0.693333333333333</v>
      </c>
      <c r="F39" s="39" t="n">
        <f aca="false">IFERROR(AVERAGEIFS(v_desc,v_categoria,$A39,v_canal,F$35,v_desc_origem,"&lt;&gt;imputado_mediana"),"")</f>
        <v>2.26045454545455</v>
      </c>
    </row>
    <row r="40" customFormat="false" ht="15" hidden="false" customHeight="false" outlineLevel="0" collapsed="false">
      <c r="A40" s="10" t="s">
        <v>138</v>
      </c>
      <c r="B40" s="39" t="n">
        <f aca="false">IFERROR(AVERAGEIFS(v_desc,v_categoria,$A40,v_canal,B$35,v_desc_origem,"&lt;&gt;imputado_mediana"),"")</f>
        <v>3.19411764705882</v>
      </c>
      <c r="C40" s="39" t="n">
        <f aca="false">IFERROR(AVERAGEIFS(v_desc,v_categoria,$A40,v_canal,C$35,v_desc_origem,"&lt;&gt;imputado_mediana"),"")</f>
        <v>2.494375</v>
      </c>
      <c r="D40" s="39" t="n">
        <f aca="false">IFERROR(AVERAGEIFS(v_desc,v_categoria,$A40,v_canal,D$35,v_desc_origem,"&lt;&gt;imputado_mediana"),"")</f>
        <v>4.09363636363636</v>
      </c>
      <c r="E40" s="39" t="n">
        <f aca="false">IFERROR(AVERAGEIFS(v_desc,v_categoria,$A40,v_canal,E$35,v_desc_origem,"&lt;&gt;imputado_mediana"),"")</f>
        <v>3.31333333333333</v>
      </c>
      <c r="F40" s="39" t="n">
        <f aca="false">IFERROR(AVERAGEIFS(v_desc,v_categoria,$A40,v_canal,F$35,v_desc_origem,"&lt;&gt;imputado_mediana"),"")</f>
        <v>2.7995</v>
      </c>
    </row>
    <row r="41" customFormat="false" ht="15" hidden="false" customHeight="false" outlineLevel="0" collapsed="false">
      <c r="A41" s="10" t="s">
        <v>139</v>
      </c>
      <c r="B41" s="39" t="n">
        <f aca="false">IFERROR(AVERAGEIFS(v_desc,v_categoria,$A41,v_canal,B$35,v_desc_origem,"&lt;&gt;imputado_mediana"),"")</f>
        <v>2.59058823529412</v>
      </c>
      <c r="C41" s="39" t="n">
        <f aca="false">IFERROR(AVERAGEIFS(v_desc,v_categoria,$A41,v_canal,C$35,v_desc_origem,"&lt;&gt;imputado_mediana"),"")</f>
        <v>3.14321428571429</v>
      </c>
      <c r="D41" s="39" t="n">
        <f aca="false">IFERROR(AVERAGEIFS(v_desc,v_categoria,$A41,v_canal,D$35,v_desc_origem,"&lt;&gt;imputado_mediana"),"")</f>
        <v>2.68863636363636</v>
      </c>
      <c r="E41" s="39" t="n">
        <f aca="false">IFERROR(AVERAGEIFS(v_desc,v_categoria,$A41,v_canal,E$35,v_desc_origem,"&lt;&gt;imputado_mediana"),"")</f>
        <v>3.268</v>
      </c>
      <c r="F41" s="39" t="n">
        <f aca="false">IFERROR(AVERAGEIFS(v_desc,v_categoria,$A41,v_canal,F$35,v_desc_origem,"&lt;&gt;imputado_mediana"),"")</f>
        <v>2.495</v>
      </c>
    </row>
    <row r="42" customFormat="false" ht="15" hidden="false" customHeight="false" outlineLevel="0" collapsed="false">
      <c r="A42" s="10" t="s">
        <v>140</v>
      </c>
      <c r="B42" s="39" t="n">
        <f aca="false">IFERROR(AVERAGEIFS(v_desc,v_categoria,$A42,v_canal,B$35,v_desc_origem,"&lt;&gt;imputado_mediana"),"")</f>
        <v>2.89783783783784</v>
      </c>
      <c r="C42" s="39" t="n">
        <f aca="false">IFERROR(AVERAGEIFS(v_desc,v_categoria,$A42,v_canal,C$35,v_desc_origem,"&lt;&gt;imputado_mediana"),"")</f>
        <v>3.41458333333333</v>
      </c>
      <c r="D42" s="39" t="n">
        <f aca="false">IFERROR(AVERAGEIFS(v_desc,v_categoria,$A42,v_canal,D$35,v_desc_origem,"&lt;&gt;imputado_mediana"),"")</f>
        <v>2.7025</v>
      </c>
      <c r="E42" s="39" t="n">
        <f aca="false">IFERROR(AVERAGEIFS(v_desc,v_categoria,$A42,v_canal,E$35,v_desc_origem,"&lt;&gt;imputado_mediana"),"")</f>
        <v>0.795</v>
      </c>
      <c r="F42" s="39" t="n">
        <f aca="false">IFERROR(AVERAGEIFS(v_desc,v_categoria,$A42,v_canal,F$35,v_desc_origem,"&lt;&gt;imputado_mediana"),"")</f>
        <v>2.23111111111111</v>
      </c>
    </row>
    <row r="45" customFormat="false" ht="15" hidden="false" customHeight="false" outlineLevel="0" collapsed="false">
      <c r="A45" s="5" t="s">
        <v>105</v>
      </c>
    </row>
    <row r="46" customFormat="false" ht="15" hidden="false" customHeight="true" outlineLevel="0" collapsed="false">
      <c r="A46" s="26" t="s">
        <v>106</v>
      </c>
      <c r="B46" s="26"/>
      <c r="C46" s="26"/>
      <c r="D46" s="26"/>
      <c r="E46" s="26"/>
      <c r="F46" s="26"/>
      <c r="G46" s="26"/>
      <c r="H46" s="26"/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6"/>
      <c r="G47" s="26"/>
      <c r="H47" s="26"/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6"/>
      <c r="G48" s="26"/>
      <c r="H48" s="26"/>
    </row>
    <row r="51" customFormat="false" ht="21.75" hidden="false" customHeight="true" outlineLevel="0" collapsed="false">
      <c r="A51" s="18" t="s">
        <v>275</v>
      </c>
      <c r="B51" s="18"/>
      <c r="C51" s="18"/>
      <c r="D51" s="18"/>
      <c r="E51" s="18"/>
      <c r="F51" s="18"/>
      <c r="G51" s="18"/>
      <c r="H51" s="18"/>
    </row>
    <row r="52" customFormat="false" ht="27.75" hidden="false" customHeight="true" outlineLevel="0" collapsed="false">
      <c r="A52" s="19" t="s">
        <v>276</v>
      </c>
      <c r="B52" s="19"/>
      <c r="C52" s="19"/>
      <c r="D52" s="19"/>
      <c r="E52" s="19"/>
      <c r="F52" s="19"/>
      <c r="G52" s="19"/>
      <c r="H52" s="19"/>
    </row>
    <row r="53" customFormat="false" ht="30" hidden="false" customHeight="true" outlineLevel="0" collapsed="false">
      <c r="A53" s="12" t="s">
        <v>277</v>
      </c>
      <c r="B53" s="12"/>
      <c r="C53" s="12"/>
      <c r="D53" s="12"/>
      <c r="E53" s="12"/>
      <c r="F53" s="12"/>
      <c r="G53" s="12"/>
      <c r="H53" s="12"/>
    </row>
    <row r="55" customFormat="false" ht="15" hidden="false" customHeight="true" outlineLevel="0" collapsed="false">
      <c r="A55" s="14" t="s">
        <v>278</v>
      </c>
      <c r="B55" s="14"/>
      <c r="C55" s="14" t="s">
        <v>120</v>
      </c>
    </row>
    <row r="56" customFormat="false" ht="15" hidden="false" customHeight="false" outlineLevel="0" collapsed="false">
      <c r="A56" s="27" t="s">
        <v>279</v>
      </c>
      <c r="B56" s="27"/>
      <c r="C56" s="40" t="n">
        <f aca="false">SUMPRODUCT(--(v_desc_origem&lt;&gt;"imputado_mediana"))</f>
        <v>931</v>
      </c>
    </row>
    <row r="57" customFormat="false" ht="15" hidden="false" customHeight="false" outlineLevel="0" collapsed="false">
      <c r="A57" s="27" t="s">
        <v>280</v>
      </c>
      <c r="B57" s="27"/>
      <c r="C57" s="40" t="n">
        <f aca="false">SUMPRODUCT((v_desc_origem&lt;&gt;"imputado_mediana")*v_desc)</f>
        <v>2684.51</v>
      </c>
    </row>
    <row r="58" customFormat="false" ht="15" hidden="false" customHeight="false" outlineLevel="0" collapsed="false">
      <c r="A58" s="27" t="s">
        <v>281</v>
      </c>
      <c r="B58" s="27"/>
      <c r="C58" s="40" t="n">
        <f aca="false">SUMPRODUCT((v_desc_origem&lt;&gt;"imputado_mediana")*v_valor)</f>
        <v>101423.5</v>
      </c>
    </row>
    <row r="59" customFormat="false" ht="15" hidden="false" customHeight="false" outlineLevel="0" collapsed="false">
      <c r="A59" s="27" t="s">
        <v>282</v>
      </c>
      <c r="B59" s="27"/>
      <c r="C59" s="40" t="n">
        <f aca="false">SUMPRODUCT((v_desc_origem&lt;&gt;"imputado_mediana")*v_desc*v_valor)</f>
        <v>502024.9926</v>
      </c>
    </row>
    <row r="60" customFormat="false" ht="15" hidden="false" customHeight="false" outlineLevel="0" collapsed="false">
      <c r="A60" s="27" t="s">
        <v>283</v>
      </c>
      <c r="B60" s="27"/>
      <c r="C60" s="40" t="n">
        <f aca="false">SUMPRODUCT((v_desc_origem&lt;&gt;"imputado_mediana")*v_desc^2)</f>
        <v>17660.5901</v>
      </c>
    </row>
    <row r="61" customFormat="false" ht="15" hidden="false" customHeight="false" outlineLevel="0" collapsed="false">
      <c r="A61" s="27" t="s">
        <v>284</v>
      </c>
      <c r="B61" s="27"/>
      <c r="C61" s="40" t="n">
        <f aca="false">SUMPRODUCT((v_desc_origem&lt;&gt;"imputado_mediana")*v_valor^2)</f>
        <v>37830536.1344</v>
      </c>
    </row>
    <row r="62" customFormat="false" ht="15" hidden="false" customHeight="false" outlineLevel="0" collapsed="false">
      <c r="A62" s="41" t="s">
        <v>285</v>
      </c>
      <c r="B62" s="41"/>
      <c r="C62" s="42" t="n">
        <f aca="false">(C56*C59-C57*C58)/SQRT((C56*C60-C57^2)*(C56*C61-C58^2))</f>
        <v>0.406598757767511</v>
      </c>
    </row>
    <row r="63" customFormat="false" ht="15" hidden="false" customHeight="false" outlineLevel="0" collapsed="false">
      <c r="A63" s="27" t="s">
        <v>286</v>
      </c>
      <c r="B63" s="27"/>
      <c r="C63" s="43" t="n">
        <f aca="false">CORREL(v_desc,v_valor)</f>
        <v>0.391680270128814</v>
      </c>
    </row>
    <row r="64" customFormat="false" ht="15" hidden="false" customHeight="false" outlineLevel="0" collapsed="false">
      <c r="A64" s="27" t="s">
        <v>287</v>
      </c>
      <c r="B64" s="27"/>
      <c r="C64" s="43" t="n">
        <f aca="false">C62^2</f>
        <v>0.165322549818083</v>
      </c>
    </row>
    <row r="66" customFormat="false" ht="39.75" hidden="false" customHeight="true" outlineLevel="0" collapsed="false">
      <c r="A66" s="12" t="s">
        <v>288</v>
      </c>
      <c r="B66" s="12"/>
      <c r="C66" s="12"/>
      <c r="D66" s="12"/>
      <c r="E66" s="12"/>
      <c r="F66" s="12"/>
      <c r="G66" s="12"/>
      <c r="H66" s="12"/>
    </row>
    <row r="68" customFormat="false" ht="15" hidden="false" customHeight="false" outlineLevel="0" collapsed="false">
      <c r="A68" s="5" t="s">
        <v>105</v>
      </c>
    </row>
    <row r="69" customFormat="false" ht="15" hidden="false" customHeight="true" outlineLevel="0" collapsed="false">
      <c r="A69" s="26" t="s">
        <v>106</v>
      </c>
      <c r="B69" s="26"/>
      <c r="C69" s="26"/>
      <c r="D69" s="26"/>
      <c r="E69" s="26"/>
      <c r="F69" s="26"/>
      <c r="G69" s="26"/>
      <c r="H69" s="26"/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6"/>
      <c r="G70" s="26"/>
      <c r="H70" s="26"/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6"/>
      <c r="G71" s="26"/>
      <c r="H71" s="26"/>
    </row>
  </sheetData>
  <mergeCells count="24">
    <mergeCell ref="A4:F4"/>
    <mergeCell ref="A5:F5"/>
    <mergeCell ref="A6:F6"/>
    <mergeCell ref="A23:F23"/>
    <mergeCell ref="A26:F28"/>
    <mergeCell ref="A31:H31"/>
    <mergeCell ref="A32:H32"/>
    <mergeCell ref="A33:H33"/>
    <mergeCell ref="A46:H48"/>
    <mergeCell ref="A51:H51"/>
    <mergeCell ref="A52:H52"/>
    <mergeCell ref="A53:H53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6:H66"/>
    <mergeCell ref="A69:H71"/>
  </mergeCells>
  <conditionalFormatting sqref="B36:F42">
    <cfRule type="colorScale" priority="2">
      <colorScale>
        <cfvo type="min" val="0"/>
        <cfvo type="max" val="0"/>
        <color rgb="FFFFFFFF"/>
        <color rgb="FFC55A1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7" min="17" style="0" width="15"/>
  </cols>
  <sheetData>
    <row r="1" customFormat="false" ht="15" hidden="false" customHeight="false" outlineLevel="0" collapsed="false">
      <c r="A1" s="44" t="s">
        <v>289</v>
      </c>
      <c r="B1" s="44" t="s">
        <v>290</v>
      </c>
      <c r="C1" s="44" t="s">
        <v>291</v>
      </c>
      <c r="D1" s="44" t="s">
        <v>292</v>
      </c>
      <c r="E1" s="44" t="s">
        <v>293</v>
      </c>
      <c r="F1" s="44" t="s">
        <v>294</v>
      </c>
      <c r="G1" s="44" t="s">
        <v>295</v>
      </c>
      <c r="H1" s="44" t="s">
        <v>296</v>
      </c>
      <c r="I1" s="44" t="s">
        <v>297</v>
      </c>
      <c r="J1" s="44" t="s">
        <v>298</v>
      </c>
      <c r="K1" s="44" t="s">
        <v>299</v>
      </c>
      <c r="L1" s="44" t="s">
        <v>300</v>
      </c>
      <c r="M1" s="44" t="s">
        <v>301</v>
      </c>
      <c r="N1" s="44" t="s">
        <v>302</v>
      </c>
      <c r="O1" s="44" t="s">
        <v>303</v>
      </c>
      <c r="P1" s="44" t="s">
        <v>304</v>
      </c>
      <c r="Q1" s="44" t="s">
        <v>305</v>
      </c>
    </row>
    <row r="2" customFormat="false" ht="15" hidden="false" customHeight="false" outlineLevel="0" collapsed="false">
      <c r="A2" s="44" t="n">
        <v>1</v>
      </c>
      <c r="B2" s="45" t="n">
        <v>45512</v>
      </c>
      <c r="C2" s="44" t="n">
        <v>8</v>
      </c>
      <c r="D2" s="44" t="n">
        <v>2024</v>
      </c>
      <c r="E2" s="44" t="n">
        <v>8</v>
      </c>
      <c r="F2" s="44" t="s">
        <v>306</v>
      </c>
      <c r="G2" s="44" t="s">
        <v>307</v>
      </c>
      <c r="H2" s="44" t="s">
        <v>136</v>
      </c>
      <c r="I2" s="44" t="s">
        <v>176</v>
      </c>
      <c r="J2" s="44" t="s">
        <v>193</v>
      </c>
      <c r="K2" s="44" t="n">
        <v>1</v>
      </c>
      <c r="L2" s="46" t="n">
        <v>21.67</v>
      </c>
      <c r="M2" s="47" t="n">
        <v>0.45</v>
      </c>
      <c r="N2" s="46" t="n">
        <v>50.63</v>
      </c>
      <c r="O2" s="44" t="s">
        <v>308</v>
      </c>
      <c r="P2" s="44" t="s">
        <v>309</v>
      </c>
      <c r="Q2" s="44" t="s">
        <v>309</v>
      </c>
    </row>
    <row r="3" customFormat="false" ht="15" hidden="false" customHeight="false" outlineLevel="0" collapsed="false">
      <c r="A3" s="44" t="n">
        <v>2</v>
      </c>
      <c r="B3" s="45" t="n">
        <v>45608</v>
      </c>
      <c r="C3" s="44" t="n">
        <v>11</v>
      </c>
      <c r="D3" s="44" t="n">
        <v>2024</v>
      </c>
      <c r="E3" s="44" t="n">
        <v>12</v>
      </c>
      <c r="F3" s="44" t="s">
        <v>310</v>
      </c>
      <c r="G3" s="44" t="s">
        <v>311</v>
      </c>
      <c r="H3" s="44" t="s">
        <v>136</v>
      </c>
      <c r="I3" s="44" t="s">
        <v>172</v>
      </c>
      <c r="J3" s="44" t="s">
        <v>194</v>
      </c>
      <c r="K3" s="44" t="n">
        <v>4</v>
      </c>
      <c r="L3" s="46" t="n">
        <v>111.06</v>
      </c>
      <c r="M3" s="47" t="n">
        <v>4.91</v>
      </c>
      <c r="N3" s="46" t="n">
        <v>422.43</v>
      </c>
      <c r="O3" s="44" t="s">
        <v>309</v>
      </c>
      <c r="P3" s="44" t="s">
        <v>309</v>
      </c>
      <c r="Q3" s="44" t="s">
        <v>309</v>
      </c>
    </row>
    <row r="4" customFormat="false" ht="15" hidden="false" customHeight="false" outlineLevel="0" collapsed="false">
      <c r="A4" s="44" t="n">
        <v>3</v>
      </c>
      <c r="B4" s="45" t="n">
        <v>45543</v>
      </c>
      <c r="C4" s="44" t="n">
        <v>9</v>
      </c>
      <c r="D4" s="44" t="n">
        <v>2024</v>
      </c>
      <c r="E4" s="44" t="n">
        <v>8</v>
      </c>
      <c r="F4" s="44" t="s">
        <v>312</v>
      </c>
      <c r="G4" s="44" t="s">
        <v>313</v>
      </c>
      <c r="H4" s="44" t="s">
        <v>139</v>
      </c>
      <c r="I4" s="44" t="s">
        <v>172</v>
      </c>
      <c r="J4" s="44" t="s">
        <v>206</v>
      </c>
      <c r="K4" s="44" t="n">
        <v>5</v>
      </c>
      <c r="L4" s="46" t="n">
        <v>10.73</v>
      </c>
      <c r="M4" s="47" t="n">
        <v>4.86</v>
      </c>
      <c r="N4" s="46" t="n">
        <v>51.04</v>
      </c>
      <c r="O4" s="44" t="s">
        <v>309</v>
      </c>
      <c r="P4" s="44" t="s">
        <v>309</v>
      </c>
      <c r="Q4" s="44" t="s">
        <v>314</v>
      </c>
    </row>
    <row r="5" customFormat="false" ht="15" hidden="false" customHeight="false" outlineLevel="0" collapsed="false">
      <c r="A5" s="44" t="n">
        <v>4</v>
      </c>
      <c r="B5" s="45" t="n">
        <v>45389</v>
      </c>
      <c r="C5" s="44" t="n">
        <v>4</v>
      </c>
      <c r="D5" s="44" t="n">
        <v>2024</v>
      </c>
      <c r="E5" s="44" t="n">
        <v>7</v>
      </c>
      <c r="F5" s="44" t="s">
        <v>312</v>
      </c>
      <c r="G5" s="44" t="s">
        <v>315</v>
      </c>
      <c r="H5" s="44" t="s">
        <v>135</v>
      </c>
      <c r="I5" s="44" t="s">
        <v>176</v>
      </c>
      <c r="J5" s="44" t="s">
        <v>191</v>
      </c>
      <c r="K5" s="44" t="n">
        <v>2</v>
      </c>
      <c r="L5" s="46" t="n">
        <v>87.89</v>
      </c>
      <c r="M5" s="47" t="n">
        <v>2.87</v>
      </c>
      <c r="N5" s="46" t="n">
        <v>170.74</v>
      </c>
      <c r="O5" s="44" t="s">
        <v>309</v>
      </c>
      <c r="P5" s="44" t="s">
        <v>309</v>
      </c>
      <c r="Q5" s="44" t="s">
        <v>309</v>
      </c>
    </row>
    <row r="6" customFormat="false" ht="15" hidden="false" customHeight="false" outlineLevel="0" collapsed="false">
      <c r="A6" s="44" t="n">
        <v>5</v>
      </c>
      <c r="B6" s="45" t="n">
        <v>45470</v>
      </c>
      <c r="C6" s="44" t="n">
        <v>6</v>
      </c>
      <c r="D6" s="44" t="n">
        <v>2024</v>
      </c>
      <c r="E6" s="44" t="n">
        <v>27</v>
      </c>
      <c r="F6" s="44" t="s">
        <v>306</v>
      </c>
      <c r="G6" s="44" t="s">
        <v>316</v>
      </c>
      <c r="H6" s="44" t="s">
        <v>140</v>
      </c>
      <c r="I6" s="44" t="s">
        <v>172</v>
      </c>
      <c r="J6" s="44" t="s">
        <v>191</v>
      </c>
      <c r="K6" s="44" t="n">
        <v>1</v>
      </c>
      <c r="L6" s="46" t="n">
        <v>8.1</v>
      </c>
      <c r="M6" s="47" t="n">
        <v>0.37</v>
      </c>
      <c r="N6" s="46" t="n">
        <v>8.07</v>
      </c>
      <c r="O6" s="44" t="s">
        <v>309</v>
      </c>
      <c r="P6" s="44" t="s">
        <v>317</v>
      </c>
      <c r="Q6" s="44" t="s">
        <v>309</v>
      </c>
    </row>
    <row r="7" customFormat="false" ht="15" hidden="false" customHeight="false" outlineLevel="0" collapsed="false">
      <c r="A7" s="44" t="n">
        <v>6</v>
      </c>
      <c r="B7" s="45" t="n">
        <v>45381</v>
      </c>
      <c r="C7" s="44" t="n">
        <v>3</v>
      </c>
      <c r="D7" s="44" t="n">
        <v>2024</v>
      </c>
      <c r="E7" s="44" t="n">
        <v>30</v>
      </c>
      <c r="F7" s="44" t="s">
        <v>318</v>
      </c>
      <c r="G7" s="44" t="s">
        <v>319</v>
      </c>
      <c r="H7" s="44" t="s">
        <v>139</v>
      </c>
      <c r="I7" s="44" t="s">
        <v>172</v>
      </c>
      <c r="J7" s="44" t="s">
        <v>200</v>
      </c>
      <c r="K7" s="44" t="n">
        <v>4</v>
      </c>
      <c r="L7" s="46" t="n">
        <v>3.98</v>
      </c>
      <c r="M7" s="47" t="n">
        <v>3.84</v>
      </c>
      <c r="N7" s="46" t="n">
        <v>15.31</v>
      </c>
      <c r="O7" s="44" t="s">
        <v>309</v>
      </c>
      <c r="P7" s="44" t="s">
        <v>309</v>
      </c>
      <c r="Q7" s="44" t="s">
        <v>309</v>
      </c>
    </row>
    <row r="8" customFormat="false" ht="15" hidden="false" customHeight="false" outlineLevel="0" collapsed="false">
      <c r="A8" s="44" t="n">
        <v>7</v>
      </c>
      <c r="B8" s="45" t="n">
        <v>45396</v>
      </c>
      <c r="C8" s="44" t="n">
        <v>4</v>
      </c>
      <c r="D8" s="44" t="n">
        <v>2024</v>
      </c>
      <c r="E8" s="44" t="n">
        <v>14</v>
      </c>
      <c r="F8" s="44" t="s">
        <v>312</v>
      </c>
      <c r="G8" s="44" t="s">
        <v>320</v>
      </c>
      <c r="H8" s="44" t="s">
        <v>134</v>
      </c>
      <c r="I8" s="44" t="s">
        <v>172</v>
      </c>
      <c r="J8" s="44" t="s">
        <v>206</v>
      </c>
      <c r="K8" s="44" t="n">
        <v>3</v>
      </c>
      <c r="L8" s="46" t="n">
        <v>71.09</v>
      </c>
      <c r="M8" s="47" t="n">
        <v>1.79</v>
      </c>
      <c r="N8" s="46" t="n">
        <v>209.45</v>
      </c>
      <c r="O8" s="44" t="s">
        <v>309</v>
      </c>
      <c r="P8" s="44" t="s">
        <v>317</v>
      </c>
      <c r="Q8" s="44" t="s">
        <v>309</v>
      </c>
    </row>
    <row r="9" customFormat="false" ht="15" hidden="false" customHeight="false" outlineLevel="0" collapsed="false">
      <c r="A9" s="44" t="n">
        <v>8</v>
      </c>
      <c r="B9" s="45" t="n">
        <v>45637</v>
      </c>
      <c r="C9" s="44" t="n">
        <v>12</v>
      </c>
      <c r="D9" s="44" t="n">
        <v>2024</v>
      </c>
      <c r="E9" s="44" t="n">
        <v>11</v>
      </c>
      <c r="F9" s="44" t="s">
        <v>321</v>
      </c>
      <c r="G9" s="44" t="s">
        <v>322</v>
      </c>
      <c r="H9" s="44" t="s">
        <v>136</v>
      </c>
      <c r="I9" s="44" t="s">
        <v>174</v>
      </c>
      <c r="J9" s="44" t="s">
        <v>206</v>
      </c>
      <c r="K9" s="44" t="n">
        <v>1</v>
      </c>
      <c r="L9" s="46" t="n">
        <v>4.4</v>
      </c>
      <c r="M9" s="47" t="n">
        <v>0</v>
      </c>
      <c r="N9" s="46" t="n">
        <v>4.4</v>
      </c>
      <c r="O9" s="44" t="s">
        <v>309</v>
      </c>
      <c r="P9" s="44" t="s">
        <v>309</v>
      </c>
      <c r="Q9" s="44" t="s">
        <v>309</v>
      </c>
    </row>
    <row r="10" customFormat="false" ht="15" hidden="false" customHeight="false" outlineLevel="0" collapsed="false">
      <c r="A10" s="44" t="n">
        <v>9</v>
      </c>
      <c r="B10" s="45" t="n">
        <v>45515</v>
      </c>
      <c r="C10" s="44" t="n">
        <v>8</v>
      </c>
      <c r="D10" s="44" t="n">
        <v>2024</v>
      </c>
      <c r="E10" s="44" t="n">
        <v>11</v>
      </c>
      <c r="F10" s="44" t="s">
        <v>312</v>
      </c>
      <c r="G10" s="44" t="s">
        <v>323</v>
      </c>
      <c r="H10" s="44" t="s">
        <v>137</v>
      </c>
      <c r="I10" s="44" t="s">
        <v>172</v>
      </c>
      <c r="J10" s="44" t="s">
        <v>206</v>
      </c>
      <c r="K10" s="44" t="n">
        <v>6</v>
      </c>
      <c r="L10" s="46" t="n">
        <v>82.02</v>
      </c>
      <c r="M10" s="47" t="n">
        <v>7.03</v>
      </c>
      <c r="N10" s="46" t="n">
        <v>457.52</v>
      </c>
      <c r="O10" s="44" t="s">
        <v>309</v>
      </c>
      <c r="P10" s="44" t="s">
        <v>309</v>
      </c>
      <c r="Q10" s="44" t="s">
        <v>309</v>
      </c>
    </row>
    <row r="11" customFormat="false" ht="15" hidden="false" customHeight="false" outlineLevel="0" collapsed="false">
      <c r="A11" s="44" t="n">
        <v>10</v>
      </c>
      <c r="B11" s="45" t="n">
        <v>45482</v>
      </c>
      <c r="C11" s="44" t="n">
        <v>7</v>
      </c>
      <c r="D11" s="44" t="n">
        <v>2024</v>
      </c>
      <c r="E11" s="44" t="n">
        <v>9</v>
      </c>
      <c r="F11" s="44" t="s">
        <v>310</v>
      </c>
      <c r="G11" s="44" t="s">
        <v>324</v>
      </c>
      <c r="H11" s="44" t="s">
        <v>137</v>
      </c>
      <c r="I11" s="44" t="s">
        <v>172</v>
      </c>
      <c r="J11" s="44" t="s">
        <v>201</v>
      </c>
      <c r="K11" s="44" t="n">
        <v>2</v>
      </c>
      <c r="L11" s="46" t="n">
        <v>207.34</v>
      </c>
      <c r="M11" s="47" t="n">
        <v>1.92</v>
      </c>
      <c r="N11" s="46" t="n">
        <v>406.72</v>
      </c>
      <c r="O11" s="44" t="s">
        <v>309</v>
      </c>
      <c r="P11" s="44" t="s">
        <v>309</v>
      </c>
      <c r="Q11" s="44" t="s">
        <v>309</v>
      </c>
    </row>
    <row r="12" customFormat="false" ht="15" hidden="false" customHeight="false" outlineLevel="0" collapsed="false">
      <c r="A12" s="44" t="n">
        <v>11</v>
      </c>
      <c r="B12" s="45" t="n">
        <v>45415</v>
      </c>
      <c r="C12" s="44" t="n">
        <v>5</v>
      </c>
      <c r="D12" s="44" t="n">
        <v>2024</v>
      </c>
      <c r="E12" s="44" t="n">
        <v>3</v>
      </c>
      <c r="F12" s="44" t="s">
        <v>325</v>
      </c>
      <c r="G12" s="44" t="s">
        <v>326</v>
      </c>
      <c r="H12" s="44" t="s">
        <v>139</v>
      </c>
      <c r="I12" s="44" t="s">
        <v>176</v>
      </c>
      <c r="J12" s="44" t="s">
        <v>192</v>
      </c>
      <c r="K12" s="44" t="n">
        <v>1</v>
      </c>
      <c r="L12" s="46" t="n">
        <v>35.85</v>
      </c>
      <c r="M12" s="47" t="n">
        <v>0.7</v>
      </c>
      <c r="N12" s="46" t="n">
        <v>35.6</v>
      </c>
      <c r="O12" s="44" t="s">
        <v>309</v>
      </c>
      <c r="P12" s="44" t="s">
        <v>309</v>
      </c>
      <c r="Q12" s="44" t="s">
        <v>309</v>
      </c>
    </row>
    <row r="13" customFormat="false" ht="15" hidden="false" customHeight="false" outlineLevel="0" collapsed="false">
      <c r="A13" s="44" t="n">
        <v>12</v>
      </c>
      <c r="B13" s="45" t="n">
        <v>45655</v>
      </c>
      <c r="C13" s="44" t="n">
        <v>12</v>
      </c>
      <c r="D13" s="44" t="n">
        <v>2024</v>
      </c>
      <c r="E13" s="44" t="n">
        <v>29</v>
      </c>
      <c r="F13" s="44" t="s">
        <v>312</v>
      </c>
      <c r="G13" s="44" t="s">
        <v>327</v>
      </c>
      <c r="H13" s="44" t="s">
        <v>137</v>
      </c>
      <c r="I13" s="44" t="s">
        <v>172</v>
      </c>
      <c r="J13" s="44" t="s">
        <v>191</v>
      </c>
      <c r="K13" s="44" t="n">
        <v>1</v>
      </c>
      <c r="L13" s="46" t="n">
        <v>39.06</v>
      </c>
      <c r="M13" s="47" t="n">
        <v>0</v>
      </c>
      <c r="N13" s="46" t="n">
        <v>39.06</v>
      </c>
      <c r="O13" s="44" t="s">
        <v>309</v>
      </c>
      <c r="P13" s="44" t="s">
        <v>317</v>
      </c>
      <c r="Q13" s="44" t="s">
        <v>309</v>
      </c>
    </row>
    <row r="14" customFormat="false" ht="15" hidden="false" customHeight="false" outlineLevel="0" collapsed="false">
      <c r="A14" s="44" t="n">
        <v>13</v>
      </c>
      <c r="B14" s="45" t="n">
        <v>45579</v>
      </c>
      <c r="C14" s="44" t="n">
        <v>10</v>
      </c>
      <c r="D14" s="44" t="n">
        <v>2024</v>
      </c>
      <c r="E14" s="44" t="n">
        <v>14</v>
      </c>
      <c r="F14" s="44" t="s">
        <v>328</v>
      </c>
      <c r="G14" s="44" t="s">
        <v>329</v>
      </c>
      <c r="H14" s="44" t="s">
        <v>137</v>
      </c>
      <c r="I14" s="44" t="s">
        <v>172</v>
      </c>
      <c r="J14" s="44" t="s">
        <v>191</v>
      </c>
      <c r="K14" s="44" t="n">
        <v>4</v>
      </c>
      <c r="L14" s="46" t="n">
        <v>27.92</v>
      </c>
      <c r="M14" s="47" t="n">
        <v>3.75</v>
      </c>
      <c r="N14" s="46" t="n">
        <v>107.49</v>
      </c>
      <c r="O14" s="44" t="s">
        <v>309</v>
      </c>
      <c r="P14" s="44" t="s">
        <v>309</v>
      </c>
      <c r="Q14" s="44" t="s">
        <v>309</v>
      </c>
    </row>
    <row r="15" customFormat="false" ht="15" hidden="false" customHeight="false" outlineLevel="0" collapsed="false">
      <c r="A15" s="44" t="n">
        <v>14</v>
      </c>
      <c r="B15" s="45" t="n">
        <v>45551</v>
      </c>
      <c r="C15" s="44" t="n">
        <v>9</v>
      </c>
      <c r="D15" s="44" t="n">
        <v>2024</v>
      </c>
      <c r="E15" s="44" t="n">
        <v>16</v>
      </c>
      <c r="F15" s="44" t="s">
        <v>328</v>
      </c>
      <c r="G15" s="44" t="s">
        <v>330</v>
      </c>
      <c r="H15" s="44" t="s">
        <v>139</v>
      </c>
      <c r="I15" s="44" t="s">
        <v>176</v>
      </c>
      <c r="J15" s="44" t="s">
        <v>199</v>
      </c>
      <c r="K15" s="44" t="n">
        <v>1</v>
      </c>
      <c r="L15" s="46" t="n">
        <v>7.73</v>
      </c>
      <c r="M15" s="47" t="n">
        <v>0</v>
      </c>
      <c r="N15" s="46" t="n">
        <v>7.73</v>
      </c>
      <c r="O15" s="44" t="s">
        <v>309</v>
      </c>
      <c r="P15" s="44" t="s">
        <v>309</v>
      </c>
      <c r="Q15" s="44" t="s">
        <v>309</v>
      </c>
    </row>
    <row r="16" customFormat="false" ht="15" hidden="false" customHeight="false" outlineLevel="0" collapsed="false">
      <c r="A16" s="44" t="n">
        <v>15</v>
      </c>
      <c r="B16" s="45" t="n">
        <v>45522</v>
      </c>
      <c r="C16" s="44" t="n">
        <v>8</v>
      </c>
      <c r="D16" s="44" t="n">
        <v>2024</v>
      </c>
      <c r="E16" s="44" t="n">
        <v>18</v>
      </c>
      <c r="F16" s="44" t="s">
        <v>312</v>
      </c>
      <c r="G16" s="44" t="s">
        <v>331</v>
      </c>
      <c r="H16" s="44" t="s">
        <v>137</v>
      </c>
      <c r="I16" s="44" t="s">
        <v>172</v>
      </c>
      <c r="J16" s="44" t="s">
        <v>191</v>
      </c>
      <c r="K16" s="44" t="n">
        <v>2</v>
      </c>
      <c r="L16" s="46" t="n">
        <v>107.51</v>
      </c>
      <c r="M16" s="47" t="n">
        <v>1.17</v>
      </c>
      <c r="N16" s="46" t="n">
        <v>212.5</v>
      </c>
      <c r="O16" s="44" t="s">
        <v>309</v>
      </c>
      <c r="P16" s="44" t="s">
        <v>309</v>
      </c>
      <c r="Q16" s="44" t="s">
        <v>309</v>
      </c>
    </row>
    <row r="17" customFormat="false" ht="15" hidden="false" customHeight="false" outlineLevel="0" collapsed="false">
      <c r="A17" s="44" t="n">
        <v>16</v>
      </c>
      <c r="B17" s="45" t="n">
        <v>45295</v>
      </c>
      <c r="C17" s="44" t="n">
        <v>1</v>
      </c>
      <c r="D17" s="44" t="n">
        <v>2024</v>
      </c>
      <c r="E17" s="44" t="n">
        <v>4</v>
      </c>
      <c r="F17" s="44" t="s">
        <v>306</v>
      </c>
      <c r="G17" s="44" t="s">
        <v>332</v>
      </c>
      <c r="H17" s="44" t="s">
        <v>140</v>
      </c>
      <c r="I17" s="44" t="s">
        <v>173</v>
      </c>
      <c r="J17" s="44" t="s">
        <v>191</v>
      </c>
      <c r="K17" s="44" t="n">
        <v>6</v>
      </c>
      <c r="L17" s="46" t="n">
        <v>47.67</v>
      </c>
      <c r="M17" s="47" t="n">
        <v>8.14</v>
      </c>
      <c r="N17" s="46" t="n">
        <v>262.74</v>
      </c>
      <c r="O17" s="44" t="s">
        <v>309</v>
      </c>
      <c r="P17" s="44" t="s">
        <v>309</v>
      </c>
      <c r="Q17" s="44" t="s">
        <v>309</v>
      </c>
    </row>
    <row r="18" customFormat="false" ht="15" hidden="false" customHeight="false" outlineLevel="0" collapsed="false">
      <c r="A18" s="44" t="n">
        <v>17</v>
      </c>
      <c r="B18" s="45" t="n">
        <v>45359</v>
      </c>
      <c r="C18" s="44" t="n">
        <v>3</v>
      </c>
      <c r="D18" s="44" t="n">
        <v>2024</v>
      </c>
      <c r="E18" s="44" t="n">
        <v>8</v>
      </c>
      <c r="F18" s="44" t="s">
        <v>325</v>
      </c>
      <c r="G18" s="44" t="s">
        <v>333</v>
      </c>
      <c r="H18" s="44" t="s">
        <v>135</v>
      </c>
      <c r="I18" s="44" t="s">
        <v>173</v>
      </c>
      <c r="J18" s="44" t="s">
        <v>191</v>
      </c>
      <c r="K18" s="44" t="n">
        <v>1</v>
      </c>
      <c r="L18" s="46" t="n">
        <v>65.59</v>
      </c>
      <c r="M18" s="47" t="n">
        <v>0</v>
      </c>
      <c r="N18" s="46" t="n">
        <v>65.59</v>
      </c>
      <c r="O18" s="44" t="s">
        <v>309</v>
      </c>
      <c r="P18" s="44" t="s">
        <v>309</v>
      </c>
      <c r="Q18" s="44" t="s">
        <v>309</v>
      </c>
    </row>
    <row r="19" customFormat="false" ht="15" hidden="false" customHeight="false" outlineLevel="0" collapsed="false">
      <c r="A19" s="44" t="n">
        <v>18</v>
      </c>
      <c r="B19" s="45" t="n">
        <v>45372</v>
      </c>
      <c r="C19" s="44" t="n">
        <v>3</v>
      </c>
      <c r="D19" s="44" t="n">
        <v>2024</v>
      </c>
      <c r="E19" s="44" t="n">
        <v>21</v>
      </c>
      <c r="F19" s="44" t="s">
        <v>306</v>
      </c>
      <c r="G19" s="44" t="s">
        <v>334</v>
      </c>
      <c r="H19" s="44" t="s">
        <v>138</v>
      </c>
      <c r="I19" s="44" t="s">
        <v>173</v>
      </c>
      <c r="J19" s="44" t="s">
        <v>191</v>
      </c>
      <c r="K19" s="44" t="n">
        <v>1</v>
      </c>
      <c r="L19" s="46" t="n">
        <v>145.03</v>
      </c>
      <c r="M19" s="47" t="n">
        <v>0</v>
      </c>
      <c r="N19" s="46" t="n">
        <v>145.03</v>
      </c>
      <c r="O19" s="44" t="s">
        <v>309</v>
      </c>
      <c r="P19" s="44" t="s">
        <v>309</v>
      </c>
      <c r="Q19" s="44" t="s">
        <v>309</v>
      </c>
    </row>
    <row r="20" customFormat="false" ht="15" hidden="false" customHeight="false" outlineLevel="0" collapsed="false">
      <c r="A20" s="44" t="n">
        <v>19</v>
      </c>
      <c r="B20" s="45" t="n">
        <v>45436</v>
      </c>
      <c r="C20" s="44" t="n">
        <v>5</v>
      </c>
      <c r="D20" s="44" t="n">
        <v>2024</v>
      </c>
      <c r="E20" s="44" t="n">
        <v>24</v>
      </c>
      <c r="F20" s="44" t="s">
        <v>325</v>
      </c>
      <c r="G20" s="44" t="s">
        <v>335</v>
      </c>
      <c r="H20" s="44" t="s">
        <v>136</v>
      </c>
      <c r="I20" s="44" t="s">
        <v>176</v>
      </c>
      <c r="J20" s="44" t="s">
        <v>194</v>
      </c>
      <c r="K20" s="44" t="n">
        <v>2</v>
      </c>
      <c r="L20" s="46" t="n">
        <v>54.39</v>
      </c>
      <c r="M20" s="47" t="n">
        <v>1.01</v>
      </c>
      <c r="N20" s="46" t="n">
        <v>107.68</v>
      </c>
      <c r="O20" s="44" t="s">
        <v>309</v>
      </c>
      <c r="P20" s="44" t="s">
        <v>309</v>
      </c>
      <c r="Q20" s="44" t="s">
        <v>309</v>
      </c>
    </row>
    <row r="21" customFormat="false" ht="15" hidden="false" customHeight="false" outlineLevel="0" collapsed="false">
      <c r="A21" s="44" t="n">
        <v>20</v>
      </c>
      <c r="B21" s="45" t="n">
        <v>45473</v>
      </c>
      <c r="C21" s="44" t="n">
        <v>6</v>
      </c>
      <c r="D21" s="44" t="n">
        <v>2024</v>
      </c>
      <c r="E21" s="44" t="n">
        <v>30</v>
      </c>
      <c r="F21" s="44" t="s">
        <v>312</v>
      </c>
      <c r="G21" s="44" t="s">
        <v>336</v>
      </c>
      <c r="H21" s="44" t="s">
        <v>139</v>
      </c>
      <c r="I21" s="44" t="s">
        <v>176</v>
      </c>
      <c r="J21" s="44" t="s">
        <v>194</v>
      </c>
      <c r="K21" s="44" t="n">
        <v>1</v>
      </c>
      <c r="L21" s="46" t="n">
        <v>19.61</v>
      </c>
      <c r="M21" s="47" t="n">
        <v>0</v>
      </c>
      <c r="N21" s="46" t="n">
        <v>19.61</v>
      </c>
      <c r="O21" s="44" t="s">
        <v>309</v>
      </c>
      <c r="P21" s="44" t="s">
        <v>309</v>
      </c>
      <c r="Q21" s="44" t="s">
        <v>309</v>
      </c>
    </row>
    <row r="22" customFormat="false" ht="15" hidden="false" customHeight="false" outlineLevel="0" collapsed="false">
      <c r="A22" s="44" t="n">
        <v>21</v>
      </c>
      <c r="B22" s="45" t="n">
        <v>45536</v>
      </c>
      <c r="C22" s="44" t="n">
        <v>9</v>
      </c>
      <c r="D22" s="44" t="n">
        <v>2024</v>
      </c>
      <c r="E22" s="44" t="n">
        <v>1</v>
      </c>
      <c r="F22" s="44" t="s">
        <v>312</v>
      </c>
      <c r="G22" s="44" t="s">
        <v>337</v>
      </c>
      <c r="H22" s="44" t="s">
        <v>134</v>
      </c>
      <c r="I22" s="44" t="s">
        <v>172</v>
      </c>
      <c r="J22" s="44" t="s">
        <v>191</v>
      </c>
      <c r="K22" s="44" t="n">
        <v>1</v>
      </c>
      <c r="L22" s="46" t="n">
        <v>82.56</v>
      </c>
      <c r="M22" s="47" t="n">
        <v>0</v>
      </c>
      <c r="N22" s="46" t="n">
        <v>82.56</v>
      </c>
      <c r="O22" s="44" t="s">
        <v>309</v>
      </c>
      <c r="P22" s="44" t="s">
        <v>309</v>
      </c>
      <c r="Q22" s="44" t="s">
        <v>309</v>
      </c>
    </row>
    <row r="23" customFormat="false" ht="15" hidden="false" customHeight="false" outlineLevel="0" collapsed="false">
      <c r="A23" s="44" t="n">
        <v>22</v>
      </c>
      <c r="B23" s="45" t="n">
        <v>45503</v>
      </c>
      <c r="C23" s="44" t="n">
        <v>7</v>
      </c>
      <c r="D23" s="44" t="n">
        <v>2024</v>
      </c>
      <c r="E23" s="44" t="n">
        <v>30</v>
      </c>
      <c r="F23" s="44" t="s">
        <v>310</v>
      </c>
      <c r="G23" s="44" t="s">
        <v>338</v>
      </c>
      <c r="H23" s="44" t="s">
        <v>135</v>
      </c>
      <c r="I23" s="44" t="s">
        <v>173</v>
      </c>
      <c r="J23" s="44" t="s">
        <v>201</v>
      </c>
      <c r="K23" s="44" t="n">
        <v>3</v>
      </c>
      <c r="L23" s="46" t="n">
        <v>30.44</v>
      </c>
      <c r="M23" s="47" t="n">
        <v>3.05</v>
      </c>
      <c r="N23" s="46" t="n">
        <v>35.57</v>
      </c>
      <c r="O23" s="44" t="s">
        <v>308</v>
      </c>
      <c r="P23" s="44" t="s">
        <v>309</v>
      </c>
      <c r="Q23" s="44" t="s">
        <v>309</v>
      </c>
    </row>
    <row r="24" customFormat="false" ht="15" hidden="false" customHeight="false" outlineLevel="0" collapsed="false">
      <c r="A24" s="44" t="n">
        <v>23</v>
      </c>
      <c r="B24" s="45" t="n">
        <v>45348</v>
      </c>
      <c r="C24" s="44" t="n">
        <v>2</v>
      </c>
      <c r="D24" s="44" t="n">
        <v>2024</v>
      </c>
      <c r="E24" s="44" t="n">
        <v>26</v>
      </c>
      <c r="F24" s="44" t="s">
        <v>328</v>
      </c>
      <c r="G24" s="44" t="s">
        <v>339</v>
      </c>
      <c r="H24" s="44" t="s">
        <v>137</v>
      </c>
      <c r="I24" s="44" t="s">
        <v>173</v>
      </c>
      <c r="J24" s="44" t="s">
        <v>192</v>
      </c>
      <c r="K24" s="44" t="n">
        <v>6</v>
      </c>
      <c r="L24" s="46" t="n">
        <v>127.07</v>
      </c>
      <c r="M24" s="47" t="n">
        <v>8.61</v>
      </c>
      <c r="N24" s="46" t="n">
        <v>696.78</v>
      </c>
      <c r="O24" s="44" t="s">
        <v>309</v>
      </c>
      <c r="P24" s="44" t="s">
        <v>309</v>
      </c>
      <c r="Q24" s="44" t="s">
        <v>309</v>
      </c>
    </row>
    <row r="25" customFormat="false" ht="15" hidden="false" customHeight="false" outlineLevel="0" collapsed="false">
      <c r="A25" s="44" t="n">
        <v>24</v>
      </c>
      <c r="B25" s="45" t="n">
        <v>45587</v>
      </c>
      <c r="C25" s="44" t="n">
        <v>10</v>
      </c>
      <c r="D25" s="44" t="n">
        <v>2024</v>
      </c>
      <c r="E25" s="44" t="n">
        <v>22</v>
      </c>
      <c r="F25" s="44" t="s">
        <v>310</v>
      </c>
      <c r="G25" s="44" t="s">
        <v>340</v>
      </c>
      <c r="H25" s="44" t="s">
        <v>135</v>
      </c>
      <c r="I25" s="44" t="s">
        <v>176</v>
      </c>
      <c r="J25" s="44" t="s">
        <v>206</v>
      </c>
      <c r="K25" s="44" t="n">
        <v>10</v>
      </c>
      <c r="L25" s="46" t="n">
        <v>31.34</v>
      </c>
      <c r="M25" s="47" t="n">
        <v>15.96</v>
      </c>
      <c r="N25" s="46" t="n">
        <v>263.38</v>
      </c>
      <c r="O25" s="44" t="s">
        <v>309</v>
      </c>
      <c r="P25" s="44" t="s">
        <v>309</v>
      </c>
      <c r="Q25" s="44" t="s">
        <v>309</v>
      </c>
    </row>
    <row r="26" customFormat="false" ht="15" hidden="false" customHeight="false" outlineLevel="0" collapsed="false">
      <c r="A26" s="44" t="n">
        <v>25</v>
      </c>
      <c r="B26" s="45" t="n">
        <v>45564</v>
      </c>
      <c r="C26" s="44" t="n">
        <v>9</v>
      </c>
      <c r="D26" s="44" t="n">
        <v>2024</v>
      </c>
      <c r="E26" s="44" t="n">
        <v>29</v>
      </c>
      <c r="F26" s="44" t="s">
        <v>312</v>
      </c>
      <c r="G26" s="44" t="s">
        <v>341</v>
      </c>
      <c r="H26" s="44" t="s">
        <v>135</v>
      </c>
      <c r="I26" s="44" t="s">
        <v>172</v>
      </c>
      <c r="J26" s="44" t="s">
        <v>206</v>
      </c>
      <c r="K26" s="44" t="n">
        <v>2</v>
      </c>
      <c r="L26" s="46" t="n">
        <v>3.36</v>
      </c>
      <c r="M26" s="47" t="n">
        <v>3.41</v>
      </c>
      <c r="N26" s="46" t="n">
        <v>6.49</v>
      </c>
      <c r="O26" s="44" t="s">
        <v>309</v>
      </c>
      <c r="P26" s="44" t="s">
        <v>309</v>
      </c>
      <c r="Q26" s="44" t="s">
        <v>309</v>
      </c>
    </row>
    <row r="27" customFormat="false" ht="15" hidden="false" customHeight="false" outlineLevel="0" collapsed="false">
      <c r="A27" s="44" t="n">
        <v>26</v>
      </c>
      <c r="B27" s="45" t="n">
        <v>45590</v>
      </c>
      <c r="C27" s="44" t="n">
        <v>10</v>
      </c>
      <c r="D27" s="44" t="n">
        <v>2024</v>
      </c>
      <c r="E27" s="44" t="n">
        <v>25</v>
      </c>
      <c r="F27" s="44" t="s">
        <v>325</v>
      </c>
      <c r="G27" s="44" t="s">
        <v>342</v>
      </c>
      <c r="H27" s="44" t="s">
        <v>139</v>
      </c>
      <c r="I27" s="44" t="s">
        <v>174</v>
      </c>
      <c r="J27" s="44" t="s">
        <v>206</v>
      </c>
      <c r="K27" s="44" t="n">
        <v>3</v>
      </c>
      <c r="L27" s="46" t="n">
        <v>56.42</v>
      </c>
      <c r="M27" s="47" t="n">
        <v>4.63</v>
      </c>
      <c r="N27" s="46" t="n">
        <v>161.42</v>
      </c>
      <c r="O27" s="44" t="s">
        <v>309</v>
      </c>
      <c r="P27" s="44" t="s">
        <v>317</v>
      </c>
      <c r="Q27" s="44" t="s">
        <v>309</v>
      </c>
    </row>
    <row r="28" customFormat="false" ht="15" hidden="false" customHeight="false" outlineLevel="0" collapsed="false">
      <c r="A28" s="44" t="n">
        <v>27</v>
      </c>
      <c r="B28" s="45" t="n">
        <v>45541</v>
      </c>
      <c r="C28" s="44" t="n">
        <v>9</v>
      </c>
      <c r="D28" s="44" t="n">
        <v>2024</v>
      </c>
      <c r="E28" s="44" t="n">
        <v>6</v>
      </c>
      <c r="F28" s="44" t="s">
        <v>325</v>
      </c>
      <c r="G28" s="44" t="s">
        <v>343</v>
      </c>
      <c r="H28" s="44" t="s">
        <v>134</v>
      </c>
      <c r="I28" s="44" t="s">
        <v>176</v>
      </c>
      <c r="J28" s="44" t="s">
        <v>200</v>
      </c>
      <c r="K28" s="44" t="n">
        <v>1</v>
      </c>
      <c r="L28" s="46" t="n">
        <v>29.18</v>
      </c>
      <c r="M28" s="47" t="n">
        <v>0</v>
      </c>
      <c r="N28" s="46" t="n">
        <v>61.12</v>
      </c>
      <c r="O28" s="44" t="s">
        <v>308</v>
      </c>
      <c r="P28" s="44" t="s">
        <v>309</v>
      </c>
      <c r="Q28" s="44" t="s">
        <v>309</v>
      </c>
    </row>
    <row r="29" customFormat="false" ht="15" hidden="false" customHeight="false" outlineLevel="0" collapsed="false">
      <c r="A29" s="44" t="n">
        <v>28</v>
      </c>
      <c r="B29" s="45" t="n">
        <v>45299</v>
      </c>
      <c r="C29" s="44" t="n">
        <v>1</v>
      </c>
      <c r="D29" s="44" t="n">
        <v>2024</v>
      </c>
      <c r="E29" s="44" t="n">
        <v>8</v>
      </c>
      <c r="F29" s="44" t="s">
        <v>328</v>
      </c>
      <c r="G29" s="44" t="s">
        <v>344</v>
      </c>
      <c r="H29" s="44" t="s">
        <v>135</v>
      </c>
      <c r="I29" s="44" t="s">
        <v>173</v>
      </c>
      <c r="J29" s="44" t="s">
        <v>200</v>
      </c>
      <c r="K29" s="44" t="n">
        <v>8</v>
      </c>
      <c r="L29" s="46" t="n">
        <v>70.52</v>
      </c>
      <c r="M29" s="47" t="n">
        <v>12.2</v>
      </c>
      <c r="N29" s="46" t="n">
        <v>495.33</v>
      </c>
      <c r="O29" s="44" t="s">
        <v>309</v>
      </c>
      <c r="P29" s="44" t="s">
        <v>309</v>
      </c>
      <c r="Q29" s="44" t="s">
        <v>309</v>
      </c>
    </row>
    <row r="30" customFormat="false" ht="15" hidden="false" customHeight="false" outlineLevel="0" collapsed="false">
      <c r="A30" s="44" t="n">
        <v>29</v>
      </c>
      <c r="B30" s="45" t="n">
        <v>45345</v>
      </c>
      <c r="C30" s="44" t="n">
        <v>2</v>
      </c>
      <c r="D30" s="44" t="n">
        <v>2024</v>
      </c>
      <c r="E30" s="44" t="n">
        <v>23</v>
      </c>
      <c r="F30" s="44" t="s">
        <v>325</v>
      </c>
      <c r="G30" s="44" t="s">
        <v>345</v>
      </c>
      <c r="H30" s="44" t="s">
        <v>134</v>
      </c>
      <c r="I30" s="44" t="s">
        <v>172</v>
      </c>
      <c r="J30" s="44" t="s">
        <v>206</v>
      </c>
      <c r="K30" s="44" t="n">
        <v>1</v>
      </c>
      <c r="L30" s="46" t="n">
        <v>3.03</v>
      </c>
      <c r="M30" s="47" t="n">
        <v>0.78</v>
      </c>
      <c r="N30" s="46" t="n">
        <v>3.01</v>
      </c>
      <c r="O30" s="44" t="s">
        <v>309</v>
      </c>
      <c r="P30" s="44" t="s">
        <v>309</v>
      </c>
      <c r="Q30" s="44" t="s">
        <v>309</v>
      </c>
    </row>
    <row r="31" customFormat="false" ht="15" hidden="false" customHeight="false" outlineLevel="0" collapsed="false">
      <c r="A31" s="44" t="n">
        <v>30</v>
      </c>
      <c r="B31" s="45" t="n">
        <v>45582</v>
      </c>
      <c r="C31" s="44" t="n">
        <v>10</v>
      </c>
      <c r="D31" s="44" t="n">
        <v>2024</v>
      </c>
      <c r="E31" s="44" t="n">
        <v>17</v>
      </c>
      <c r="F31" s="44" t="s">
        <v>306</v>
      </c>
      <c r="G31" s="44" t="s">
        <v>346</v>
      </c>
      <c r="H31" s="44" t="s">
        <v>140</v>
      </c>
      <c r="I31" s="44" t="s">
        <v>172</v>
      </c>
      <c r="J31" s="44" t="s">
        <v>192</v>
      </c>
      <c r="K31" s="44" t="n">
        <v>2</v>
      </c>
      <c r="L31" s="46" t="n">
        <v>22.05</v>
      </c>
      <c r="M31" s="47" t="n">
        <v>1.49</v>
      </c>
      <c r="N31" s="46" t="n">
        <v>43.44</v>
      </c>
      <c r="O31" s="44" t="s">
        <v>309</v>
      </c>
      <c r="P31" s="44" t="s">
        <v>309</v>
      </c>
      <c r="Q31" s="44" t="s">
        <v>309</v>
      </c>
    </row>
    <row r="32" customFormat="false" ht="15" hidden="false" customHeight="false" outlineLevel="0" collapsed="false">
      <c r="A32" s="44" t="n">
        <v>31</v>
      </c>
      <c r="B32" s="45" t="n">
        <v>45447</v>
      </c>
      <c r="C32" s="44" t="n">
        <v>6</v>
      </c>
      <c r="D32" s="44" t="n">
        <v>2024</v>
      </c>
      <c r="E32" s="44" t="n">
        <v>4</v>
      </c>
      <c r="F32" s="44" t="s">
        <v>310</v>
      </c>
      <c r="G32" s="44" t="s">
        <v>347</v>
      </c>
      <c r="H32" s="44" t="s">
        <v>134</v>
      </c>
      <c r="I32" s="44" t="s">
        <v>176</v>
      </c>
      <c r="J32" s="44" t="s">
        <v>191</v>
      </c>
      <c r="K32" s="44" t="n">
        <v>2</v>
      </c>
      <c r="L32" s="46" t="n">
        <v>3.76</v>
      </c>
      <c r="M32" s="47" t="n">
        <v>1.86</v>
      </c>
      <c r="N32" s="46" t="n">
        <v>7.38</v>
      </c>
      <c r="O32" s="44" t="s">
        <v>309</v>
      </c>
      <c r="P32" s="44" t="s">
        <v>317</v>
      </c>
      <c r="Q32" s="44" t="s">
        <v>309</v>
      </c>
    </row>
    <row r="33" customFormat="false" ht="15" hidden="false" customHeight="false" outlineLevel="0" collapsed="false">
      <c r="A33" s="44" t="n">
        <v>32</v>
      </c>
      <c r="B33" s="45" t="n">
        <v>45528</v>
      </c>
      <c r="C33" s="44" t="n">
        <v>8</v>
      </c>
      <c r="D33" s="44" t="n">
        <v>2024</v>
      </c>
      <c r="E33" s="44" t="n">
        <v>24</v>
      </c>
      <c r="F33" s="44" t="s">
        <v>318</v>
      </c>
      <c r="G33" s="44" t="s">
        <v>348</v>
      </c>
      <c r="H33" s="44" t="s">
        <v>136</v>
      </c>
      <c r="I33" s="44" t="s">
        <v>176</v>
      </c>
      <c r="J33" s="44" t="s">
        <v>198</v>
      </c>
      <c r="K33" s="44" t="n">
        <v>1</v>
      </c>
      <c r="L33" s="46" t="n">
        <v>4</v>
      </c>
      <c r="M33" s="47" t="n">
        <v>1.33</v>
      </c>
      <c r="N33" s="46" t="n">
        <v>3.95</v>
      </c>
      <c r="O33" s="44" t="s">
        <v>309</v>
      </c>
      <c r="P33" s="44" t="s">
        <v>309</v>
      </c>
      <c r="Q33" s="44" t="s">
        <v>309</v>
      </c>
    </row>
    <row r="34" customFormat="false" ht="15" hidden="false" customHeight="false" outlineLevel="0" collapsed="false">
      <c r="A34" s="44" t="n">
        <v>33</v>
      </c>
      <c r="B34" s="45" t="n">
        <v>45449</v>
      </c>
      <c r="C34" s="44" t="n">
        <v>6</v>
      </c>
      <c r="D34" s="44" t="n">
        <v>2024</v>
      </c>
      <c r="E34" s="44" t="n">
        <v>6</v>
      </c>
      <c r="F34" s="44" t="s">
        <v>306</v>
      </c>
      <c r="G34" s="44" t="s">
        <v>349</v>
      </c>
      <c r="H34" s="44" t="s">
        <v>136</v>
      </c>
      <c r="I34" s="44" t="s">
        <v>172</v>
      </c>
      <c r="J34" s="44" t="s">
        <v>194</v>
      </c>
      <c r="K34" s="44" t="n">
        <v>1</v>
      </c>
      <c r="L34" s="46" t="n">
        <v>90.54</v>
      </c>
      <c r="M34" s="47" t="n">
        <v>0.73</v>
      </c>
      <c r="N34" s="46" t="n">
        <v>89.88</v>
      </c>
      <c r="O34" s="44" t="s">
        <v>309</v>
      </c>
      <c r="P34" s="44" t="s">
        <v>317</v>
      </c>
      <c r="Q34" s="44" t="s">
        <v>309</v>
      </c>
    </row>
    <row r="35" customFormat="false" ht="15" hidden="false" customHeight="false" outlineLevel="0" collapsed="false">
      <c r="A35" s="44" t="n">
        <v>34</v>
      </c>
      <c r="B35" s="45" t="n">
        <v>45498</v>
      </c>
      <c r="C35" s="44" t="n">
        <v>7</v>
      </c>
      <c r="D35" s="44" t="n">
        <v>2024</v>
      </c>
      <c r="E35" s="44" t="n">
        <v>25</v>
      </c>
      <c r="F35" s="44" t="s">
        <v>306</v>
      </c>
      <c r="G35" s="44" t="s">
        <v>350</v>
      </c>
      <c r="H35" s="44" t="s">
        <v>135</v>
      </c>
      <c r="I35" s="44" t="s">
        <v>176</v>
      </c>
      <c r="J35" s="44" t="s">
        <v>195</v>
      </c>
      <c r="K35" s="44" t="n">
        <v>3</v>
      </c>
      <c r="L35" s="46" t="n">
        <v>77.42</v>
      </c>
      <c r="M35" s="47" t="n">
        <v>4.37</v>
      </c>
      <c r="N35" s="46" t="n">
        <v>222.11</v>
      </c>
      <c r="O35" s="44" t="s">
        <v>309</v>
      </c>
      <c r="P35" s="44" t="s">
        <v>309</v>
      </c>
      <c r="Q35" s="44" t="s">
        <v>309</v>
      </c>
    </row>
    <row r="36" customFormat="false" ht="15" hidden="false" customHeight="false" outlineLevel="0" collapsed="false">
      <c r="A36" s="44" t="n">
        <v>35</v>
      </c>
      <c r="B36" s="45" t="n">
        <v>45484</v>
      </c>
      <c r="C36" s="44" t="n">
        <v>7</v>
      </c>
      <c r="D36" s="44" t="n">
        <v>2024</v>
      </c>
      <c r="E36" s="44" t="n">
        <v>11</v>
      </c>
      <c r="F36" s="44" t="s">
        <v>306</v>
      </c>
      <c r="G36" s="44" t="s">
        <v>351</v>
      </c>
      <c r="H36" s="44" t="s">
        <v>135</v>
      </c>
      <c r="I36" s="44" t="s">
        <v>172</v>
      </c>
      <c r="J36" s="44" t="s">
        <v>191</v>
      </c>
      <c r="K36" s="44" t="n">
        <v>1</v>
      </c>
      <c r="L36" s="46" t="n">
        <v>2.66</v>
      </c>
      <c r="M36" s="47" t="n">
        <v>0.61</v>
      </c>
      <c r="N36" s="46" t="n">
        <v>2.64</v>
      </c>
      <c r="O36" s="44" t="s">
        <v>309</v>
      </c>
      <c r="P36" s="44" t="s">
        <v>309</v>
      </c>
      <c r="Q36" s="44" t="s">
        <v>309</v>
      </c>
    </row>
    <row r="37" customFormat="false" ht="15" hidden="false" customHeight="false" outlineLevel="0" collapsed="false">
      <c r="A37" s="44" t="n">
        <v>36</v>
      </c>
      <c r="B37" s="45" t="n">
        <v>45497</v>
      </c>
      <c r="C37" s="44" t="n">
        <v>7</v>
      </c>
      <c r="D37" s="44" t="n">
        <v>2024</v>
      </c>
      <c r="E37" s="44" t="n">
        <v>24</v>
      </c>
      <c r="F37" s="44" t="s">
        <v>321</v>
      </c>
      <c r="G37" s="44" t="s">
        <v>352</v>
      </c>
      <c r="H37" s="44" t="s">
        <v>138</v>
      </c>
      <c r="I37" s="44" t="s">
        <v>172</v>
      </c>
      <c r="J37" s="44" t="s">
        <v>194</v>
      </c>
      <c r="K37" s="44" t="n">
        <v>1</v>
      </c>
      <c r="L37" s="46" t="n">
        <v>12.65</v>
      </c>
      <c r="M37" s="47" t="n">
        <v>0.13</v>
      </c>
      <c r="N37" s="46" t="n">
        <v>12.63</v>
      </c>
      <c r="O37" s="44" t="s">
        <v>309</v>
      </c>
      <c r="P37" s="44" t="s">
        <v>309</v>
      </c>
      <c r="Q37" s="44" t="s">
        <v>309</v>
      </c>
    </row>
    <row r="38" customFormat="false" ht="15" hidden="false" customHeight="false" outlineLevel="0" collapsed="false">
      <c r="A38" s="44" t="n">
        <v>37</v>
      </c>
      <c r="B38" s="45" t="n">
        <v>45367</v>
      </c>
      <c r="C38" s="44" t="n">
        <v>3</v>
      </c>
      <c r="D38" s="44" t="n">
        <v>2024</v>
      </c>
      <c r="E38" s="44" t="n">
        <v>16</v>
      </c>
      <c r="F38" s="44" t="s">
        <v>318</v>
      </c>
      <c r="G38" s="44" t="s">
        <v>353</v>
      </c>
      <c r="H38" s="44" t="s">
        <v>138</v>
      </c>
      <c r="I38" s="44" t="s">
        <v>175</v>
      </c>
      <c r="J38" s="44" t="s">
        <v>206</v>
      </c>
      <c r="K38" s="44" t="n">
        <v>2</v>
      </c>
      <c r="L38" s="46" t="n">
        <v>6.27</v>
      </c>
      <c r="M38" s="47" t="n">
        <v>2.3</v>
      </c>
      <c r="N38" s="46" t="n">
        <v>12.25</v>
      </c>
      <c r="O38" s="44" t="s">
        <v>309</v>
      </c>
      <c r="P38" s="44" t="s">
        <v>309</v>
      </c>
      <c r="Q38" s="44" t="s">
        <v>309</v>
      </c>
    </row>
    <row r="39" customFormat="false" ht="15" hidden="false" customHeight="false" outlineLevel="0" collapsed="false">
      <c r="A39" s="44" t="n">
        <v>38</v>
      </c>
      <c r="B39" s="45" t="n">
        <v>45500</v>
      </c>
      <c r="C39" s="44" t="n">
        <v>7</v>
      </c>
      <c r="D39" s="44" t="n">
        <v>2024</v>
      </c>
      <c r="E39" s="44" t="n">
        <v>27</v>
      </c>
      <c r="F39" s="44" t="s">
        <v>318</v>
      </c>
      <c r="G39" s="44" t="s">
        <v>354</v>
      </c>
      <c r="H39" s="44" t="s">
        <v>140</v>
      </c>
      <c r="I39" s="44" t="s">
        <v>172</v>
      </c>
      <c r="J39" s="44" t="s">
        <v>193</v>
      </c>
      <c r="K39" s="44" t="n">
        <v>4</v>
      </c>
      <c r="L39" s="46" t="n">
        <v>11.31</v>
      </c>
      <c r="M39" s="47" t="n">
        <v>5.1</v>
      </c>
      <c r="N39" s="46" t="n">
        <v>38.38</v>
      </c>
      <c r="O39" s="44" t="s">
        <v>308</v>
      </c>
      <c r="P39" s="44" t="s">
        <v>309</v>
      </c>
      <c r="Q39" s="44" t="s">
        <v>309</v>
      </c>
    </row>
    <row r="40" customFormat="false" ht="15" hidden="false" customHeight="false" outlineLevel="0" collapsed="false">
      <c r="A40" s="44" t="n">
        <v>39</v>
      </c>
      <c r="B40" s="45" t="n">
        <v>45491</v>
      </c>
      <c r="C40" s="44" t="n">
        <v>7</v>
      </c>
      <c r="D40" s="44" t="n">
        <v>2024</v>
      </c>
      <c r="E40" s="44" t="n">
        <v>18</v>
      </c>
      <c r="F40" s="44" t="s">
        <v>306</v>
      </c>
      <c r="G40" s="44" t="s">
        <v>355</v>
      </c>
      <c r="H40" s="44" t="s">
        <v>138</v>
      </c>
      <c r="I40" s="44" t="s">
        <v>176</v>
      </c>
      <c r="J40" s="44" t="s">
        <v>196</v>
      </c>
      <c r="K40" s="44" t="n">
        <v>1</v>
      </c>
      <c r="L40" s="46" t="n">
        <v>26.69</v>
      </c>
      <c r="M40" s="47" t="n">
        <v>1.31</v>
      </c>
      <c r="N40" s="46" t="n">
        <v>68.58</v>
      </c>
      <c r="O40" s="44" t="s">
        <v>308</v>
      </c>
      <c r="P40" s="44" t="s">
        <v>309</v>
      </c>
      <c r="Q40" s="44" t="s">
        <v>309</v>
      </c>
    </row>
    <row r="41" customFormat="false" ht="15" hidden="false" customHeight="false" outlineLevel="0" collapsed="false">
      <c r="A41" s="44" t="n">
        <v>40</v>
      </c>
      <c r="B41" s="45" t="n">
        <v>45433</v>
      </c>
      <c r="C41" s="44" t="n">
        <v>5</v>
      </c>
      <c r="D41" s="44" t="n">
        <v>2024</v>
      </c>
      <c r="E41" s="44" t="n">
        <v>21</v>
      </c>
      <c r="F41" s="44" t="s">
        <v>310</v>
      </c>
      <c r="G41" s="44" t="s">
        <v>356</v>
      </c>
      <c r="H41" s="44" t="s">
        <v>137</v>
      </c>
      <c r="I41" s="44" t="s">
        <v>172</v>
      </c>
      <c r="J41" s="44" t="s">
        <v>194</v>
      </c>
      <c r="K41" s="44" t="n">
        <v>2</v>
      </c>
      <c r="L41" s="46" t="n">
        <v>144.96</v>
      </c>
      <c r="M41" s="47" t="n">
        <v>2.85</v>
      </c>
      <c r="N41" s="46" t="n">
        <v>281.66</v>
      </c>
      <c r="O41" s="44" t="s">
        <v>309</v>
      </c>
      <c r="P41" s="44" t="s">
        <v>309</v>
      </c>
      <c r="Q41" s="44" t="s">
        <v>309</v>
      </c>
    </row>
    <row r="42" customFormat="false" ht="15" hidden="false" customHeight="false" outlineLevel="0" collapsed="false">
      <c r="A42" s="44" t="n">
        <v>41</v>
      </c>
      <c r="B42" s="45" t="n">
        <v>45518</v>
      </c>
      <c r="C42" s="44" t="n">
        <v>8</v>
      </c>
      <c r="D42" s="44" t="n">
        <v>2024</v>
      </c>
      <c r="E42" s="44" t="n">
        <v>14</v>
      </c>
      <c r="F42" s="44" t="s">
        <v>321</v>
      </c>
      <c r="G42" s="44" t="s">
        <v>357</v>
      </c>
      <c r="H42" s="44" t="s">
        <v>137</v>
      </c>
      <c r="I42" s="44" t="s">
        <v>173</v>
      </c>
      <c r="J42" s="44" t="s">
        <v>206</v>
      </c>
      <c r="K42" s="44" t="n">
        <v>1</v>
      </c>
      <c r="L42" s="46" t="n">
        <v>6.7</v>
      </c>
      <c r="M42" s="47" t="n">
        <v>0</v>
      </c>
      <c r="N42" s="46" t="n">
        <v>6.7</v>
      </c>
      <c r="O42" s="44" t="s">
        <v>309</v>
      </c>
      <c r="P42" s="44" t="s">
        <v>309</v>
      </c>
      <c r="Q42" s="44" t="s">
        <v>309</v>
      </c>
    </row>
    <row r="43" customFormat="false" ht="15" hidden="false" customHeight="false" outlineLevel="0" collapsed="false">
      <c r="A43" s="44" t="n">
        <v>42</v>
      </c>
      <c r="B43" s="45" t="n">
        <v>45522</v>
      </c>
      <c r="C43" s="44" t="n">
        <v>8</v>
      </c>
      <c r="D43" s="44" t="n">
        <v>2024</v>
      </c>
      <c r="E43" s="44" t="n">
        <v>18</v>
      </c>
      <c r="F43" s="44" t="s">
        <v>312</v>
      </c>
      <c r="G43" s="44" t="s">
        <v>358</v>
      </c>
      <c r="H43" s="44" t="s">
        <v>140</v>
      </c>
      <c r="I43" s="44" t="s">
        <v>174</v>
      </c>
      <c r="J43" s="44" t="s">
        <v>200</v>
      </c>
      <c r="K43" s="44" t="n">
        <v>1</v>
      </c>
      <c r="L43" s="46" t="n">
        <v>26.77</v>
      </c>
      <c r="M43" s="47" t="n">
        <v>0.16</v>
      </c>
      <c r="N43" s="46" t="n">
        <v>26.73</v>
      </c>
      <c r="O43" s="44" t="s">
        <v>309</v>
      </c>
      <c r="P43" s="44" t="s">
        <v>309</v>
      </c>
      <c r="Q43" s="44" t="s">
        <v>309</v>
      </c>
    </row>
    <row r="44" customFormat="false" ht="15" hidden="false" customHeight="false" outlineLevel="0" collapsed="false">
      <c r="A44" s="44" t="n">
        <v>43</v>
      </c>
      <c r="B44" s="45" t="n">
        <v>45464</v>
      </c>
      <c r="C44" s="44" t="n">
        <v>6</v>
      </c>
      <c r="D44" s="44" t="n">
        <v>2024</v>
      </c>
      <c r="E44" s="44" t="n">
        <v>21</v>
      </c>
      <c r="F44" s="44" t="s">
        <v>325</v>
      </c>
      <c r="G44" s="44" t="s">
        <v>359</v>
      </c>
      <c r="H44" s="44" t="s">
        <v>135</v>
      </c>
      <c r="I44" s="44" t="s">
        <v>173</v>
      </c>
      <c r="J44" s="44" t="s">
        <v>192</v>
      </c>
      <c r="K44" s="44" t="n">
        <v>3</v>
      </c>
      <c r="L44" s="46" t="n">
        <v>128.99</v>
      </c>
      <c r="M44" s="47" t="n">
        <v>3.69</v>
      </c>
      <c r="N44" s="46" t="n">
        <v>372.69</v>
      </c>
      <c r="O44" s="44" t="s">
        <v>309</v>
      </c>
      <c r="P44" s="44" t="s">
        <v>309</v>
      </c>
      <c r="Q44" s="44" t="s">
        <v>309</v>
      </c>
    </row>
    <row r="45" customFormat="false" ht="15" hidden="false" customHeight="false" outlineLevel="0" collapsed="false">
      <c r="A45" s="44" t="n">
        <v>44</v>
      </c>
      <c r="B45" s="45" t="n">
        <v>45554</v>
      </c>
      <c r="C45" s="44" t="n">
        <v>9</v>
      </c>
      <c r="D45" s="44" t="n">
        <v>2024</v>
      </c>
      <c r="E45" s="44" t="n">
        <v>19</v>
      </c>
      <c r="F45" s="44" t="s">
        <v>306</v>
      </c>
      <c r="G45" s="44" t="s">
        <v>360</v>
      </c>
      <c r="H45" s="44" t="s">
        <v>136</v>
      </c>
      <c r="I45" s="44" t="s">
        <v>172</v>
      </c>
      <c r="J45" s="44" t="s">
        <v>191</v>
      </c>
      <c r="K45" s="44" t="n">
        <v>1</v>
      </c>
      <c r="L45" s="46" t="n">
        <v>21.67</v>
      </c>
      <c r="M45" s="47" t="n">
        <v>1.18</v>
      </c>
      <c r="N45" s="46" t="n">
        <v>4.67</v>
      </c>
      <c r="O45" s="44" t="s">
        <v>308</v>
      </c>
      <c r="P45" s="44" t="s">
        <v>309</v>
      </c>
      <c r="Q45" s="44" t="s">
        <v>309</v>
      </c>
    </row>
    <row r="46" customFormat="false" ht="15" hidden="false" customHeight="false" outlineLevel="0" collapsed="false">
      <c r="A46" s="44" t="n">
        <v>45</v>
      </c>
      <c r="B46" s="45" t="n">
        <v>45598</v>
      </c>
      <c r="C46" s="44" t="n">
        <v>11</v>
      </c>
      <c r="D46" s="44" t="n">
        <v>2024</v>
      </c>
      <c r="E46" s="44" t="n">
        <v>2</v>
      </c>
      <c r="F46" s="44" t="s">
        <v>318</v>
      </c>
      <c r="G46" s="44" t="s">
        <v>361</v>
      </c>
      <c r="H46" s="44" t="s">
        <v>139</v>
      </c>
      <c r="I46" s="44" t="s">
        <v>172</v>
      </c>
      <c r="J46" s="44" t="s">
        <v>197</v>
      </c>
      <c r="K46" s="44" t="n">
        <v>1</v>
      </c>
      <c r="L46" s="46" t="n">
        <v>1.5</v>
      </c>
      <c r="M46" s="47" t="n">
        <v>1.28</v>
      </c>
      <c r="N46" s="46" t="n">
        <v>1.48</v>
      </c>
      <c r="O46" s="44" t="s">
        <v>309</v>
      </c>
      <c r="P46" s="44" t="s">
        <v>309</v>
      </c>
      <c r="Q46" s="44" t="s">
        <v>309</v>
      </c>
    </row>
    <row r="47" customFormat="false" ht="15" hidden="false" customHeight="false" outlineLevel="0" collapsed="false">
      <c r="A47" s="44" t="n">
        <v>46</v>
      </c>
      <c r="B47" s="45" t="n">
        <v>45521</v>
      </c>
      <c r="C47" s="44" t="n">
        <v>8</v>
      </c>
      <c r="D47" s="44" t="n">
        <v>2024</v>
      </c>
      <c r="E47" s="44" t="n">
        <v>17</v>
      </c>
      <c r="F47" s="44" t="s">
        <v>318</v>
      </c>
      <c r="G47" s="44" t="s">
        <v>362</v>
      </c>
      <c r="H47" s="44" t="s">
        <v>137</v>
      </c>
      <c r="I47" s="44" t="s">
        <v>174</v>
      </c>
      <c r="J47" s="44" t="s">
        <v>196</v>
      </c>
      <c r="K47" s="44" t="n">
        <v>1</v>
      </c>
      <c r="L47" s="46" t="n">
        <v>14.38</v>
      </c>
      <c r="M47" s="47" t="n">
        <v>0</v>
      </c>
      <c r="N47" s="46" t="n">
        <v>14.38</v>
      </c>
      <c r="O47" s="44" t="s">
        <v>309</v>
      </c>
      <c r="P47" s="44" t="s">
        <v>309</v>
      </c>
      <c r="Q47" s="44" t="s">
        <v>309</v>
      </c>
    </row>
    <row r="48" customFormat="false" ht="15" hidden="false" customHeight="false" outlineLevel="0" collapsed="false">
      <c r="A48" s="44" t="n">
        <v>47</v>
      </c>
      <c r="B48" s="45" t="n">
        <v>45394</v>
      </c>
      <c r="C48" s="44" t="n">
        <v>4</v>
      </c>
      <c r="D48" s="44" t="n">
        <v>2024</v>
      </c>
      <c r="E48" s="44" t="n">
        <v>12</v>
      </c>
      <c r="F48" s="44" t="s">
        <v>325</v>
      </c>
      <c r="G48" s="44" t="s">
        <v>363</v>
      </c>
      <c r="H48" s="44" t="s">
        <v>134</v>
      </c>
      <c r="I48" s="44" t="s">
        <v>173</v>
      </c>
      <c r="J48" s="44" t="s">
        <v>206</v>
      </c>
      <c r="K48" s="44" t="n">
        <v>2</v>
      </c>
      <c r="L48" s="46" t="n">
        <v>36.14</v>
      </c>
      <c r="M48" s="47" t="n">
        <v>2.65</v>
      </c>
      <c r="N48" s="46" t="n">
        <v>70.36</v>
      </c>
      <c r="O48" s="44" t="s">
        <v>309</v>
      </c>
      <c r="P48" s="44" t="s">
        <v>309</v>
      </c>
      <c r="Q48" s="44" t="s">
        <v>309</v>
      </c>
    </row>
    <row r="49" customFormat="false" ht="15" hidden="false" customHeight="false" outlineLevel="0" collapsed="false">
      <c r="A49" s="44" t="n">
        <v>48</v>
      </c>
      <c r="B49" s="45" t="n">
        <v>45544</v>
      </c>
      <c r="C49" s="44" t="n">
        <v>9</v>
      </c>
      <c r="D49" s="44" t="n">
        <v>2024</v>
      </c>
      <c r="E49" s="44" t="n">
        <v>9</v>
      </c>
      <c r="F49" s="44" t="s">
        <v>328</v>
      </c>
      <c r="G49" s="44" t="s">
        <v>364</v>
      </c>
      <c r="H49" s="44" t="s">
        <v>137</v>
      </c>
      <c r="I49" s="44" t="s">
        <v>172</v>
      </c>
      <c r="J49" s="44" t="s">
        <v>194</v>
      </c>
      <c r="K49" s="44" t="n">
        <v>1</v>
      </c>
      <c r="L49" s="46" t="n">
        <v>28.2</v>
      </c>
      <c r="M49" s="47" t="n">
        <v>0</v>
      </c>
      <c r="N49" s="46" t="n">
        <v>6.04</v>
      </c>
      <c r="O49" s="44" t="s">
        <v>308</v>
      </c>
      <c r="P49" s="44" t="s">
        <v>309</v>
      </c>
      <c r="Q49" s="44" t="s">
        <v>309</v>
      </c>
    </row>
    <row r="50" customFormat="false" ht="15" hidden="false" customHeight="false" outlineLevel="0" collapsed="false">
      <c r="A50" s="44" t="n">
        <v>49</v>
      </c>
      <c r="B50" s="45" t="n">
        <v>45654</v>
      </c>
      <c r="C50" s="44" t="n">
        <v>12</v>
      </c>
      <c r="D50" s="44" t="n">
        <v>2024</v>
      </c>
      <c r="E50" s="44" t="n">
        <v>28</v>
      </c>
      <c r="F50" s="44" t="s">
        <v>318</v>
      </c>
      <c r="G50" s="44" t="s">
        <v>365</v>
      </c>
      <c r="H50" s="44" t="s">
        <v>139</v>
      </c>
      <c r="I50" s="44" t="s">
        <v>176</v>
      </c>
      <c r="J50" s="44" t="s">
        <v>206</v>
      </c>
      <c r="K50" s="44" t="n">
        <v>3</v>
      </c>
      <c r="L50" s="46" t="n">
        <v>18.33</v>
      </c>
      <c r="M50" s="47" t="n">
        <v>4.35</v>
      </c>
      <c r="N50" s="46" t="n">
        <v>14.43</v>
      </c>
      <c r="O50" s="44" t="s">
        <v>308</v>
      </c>
      <c r="P50" s="44" t="s">
        <v>309</v>
      </c>
      <c r="Q50" s="44" t="s">
        <v>309</v>
      </c>
    </row>
    <row r="51" customFormat="false" ht="15" hidden="false" customHeight="false" outlineLevel="0" collapsed="false">
      <c r="A51" s="44" t="n">
        <v>50</v>
      </c>
      <c r="B51" s="45" t="n">
        <v>45429</v>
      </c>
      <c r="C51" s="44" t="n">
        <v>5</v>
      </c>
      <c r="D51" s="44" t="n">
        <v>2024</v>
      </c>
      <c r="E51" s="44" t="n">
        <v>17</v>
      </c>
      <c r="F51" s="44" t="s">
        <v>325</v>
      </c>
      <c r="G51" s="44" t="s">
        <v>366</v>
      </c>
      <c r="H51" s="44" t="s">
        <v>135</v>
      </c>
      <c r="I51" s="44" t="s">
        <v>174</v>
      </c>
      <c r="J51" s="44" t="s">
        <v>191</v>
      </c>
      <c r="K51" s="44" t="n">
        <v>1</v>
      </c>
      <c r="L51" s="46" t="n">
        <v>25.37</v>
      </c>
      <c r="M51" s="47" t="n">
        <v>0</v>
      </c>
      <c r="N51" s="46" t="n">
        <v>25.37</v>
      </c>
      <c r="O51" s="44" t="s">
        <v>309</v>
      </c>
      <c r="P51" s="44" t="s">
        <v>317</v>
      </c>
      <c r="Q51" s="44" t="s">
        <v>309</v>
      </c>
    </row>
    <row r="52" customFormat="false" ht="15" hidden="false" customHeight="false" outlineLevel="0" collapsed="false">
      <c r="A52" s="44" t="n">
        <v>51</v>
      </c>
      <c r="B52" s="45" t="n">
        <v>45610</v>
      </c>
      <c r="C52" s="44" t="n">
        <v>11</v>
      </c>
      <c r="D52" s="44" t="n">
        <v>2024</v>
      </c>
      <c r="E52" s="44" t="n">
        <v>14</v>
      </c>
      <c r="F52" s="44" t="s">
        <v>306</v>
      </c>
      <c r="G52" s="44" t="s">
        <v>367</v>
      </c>
      <c r="H52" s="44" t="s">
        <v>140</v>
      </c>
      <c r="I52" s="44" t="s">
        <v>173</v>
      </c>
      <c r="J52" s="44" t="s">
        <v>191</v>
      </c>
      <c r="K52" s="44" t="n">
        <v>1</v>
      </c>
      <c r="L52" s="46" t="n">
        <v>60.58</v>
      </c>
      <c r="M52" s="47" t="n">
        <v>0.63</v>
      </c>
      <c r="N52" s="46" t="n">
        <v>60.2</v>
      </c>
      <c r="O52" s="44" t="s">
        <v>309</v>
      </c>
      <c r="P52" s="44" t="s">
        <v>309</v>
      </c>
      <c r="Q52" s="44" t="s">
        <v>309</v>
      </c>
    </row>
    <row r="53" customFormat="false" ht="15" hidden="false" customHeight="false" outlineLevel="0" collapsed="false">
      <c r="A53" s="44" t="n">
        <v>52</v>
      </c>
      <c r="B53" s="45" t="n">
        <v>45367</v>
      </c>
      <c r="C53" s="44" t="n">
        <v>3</v>
      </c>
      <c r="D53" s="44" t="n">
        <v>2024</v>
      </c>
      <c r="E53" s="44" t="n">
        <v>16</v>
      </c>
      <c r="F53" s="44" t="s">
        <v>318</v>
      </c>
      <c r="G53" s="44" t="s">
        <v>367</v>
      </c>
      <c r="H53" s="44" t="s">
        <v>140</v>
      </c>
      <c r="I53" s="44" t="s">
        <v>172</v>
      </c>
      <c r="J53" s="44" t="s">
        <v>196</v>
      </c>
      <c r="K53" s="44" t="n">
        <v>3</v>
      </c>
      <c r="L53" s="46" t="n">
        <v>2.07</v>
      </c>
      <c r="M53" s="47" t="n">
        <v>2.21</v>
      </c>
      <c r="N53" s="46" t="n">
        <v>6.07</v>
      </c>
      <c r="O53" s="44" t="s">
        <v>309</v>
      </c>
      <c r="P53" s="44" t="s">
        <v>309</v>
      </c>
      <c r="Q53" s="44" t="s">
        <v>309</v>
      </c>
    </row>
    <row r="54" customFormat="false" ht="15" hidden="false" customHeight="false" outlineLevel="0" collapsed="false">
      <c r="A54" s="44" t="n">
        <v>53</v>
      </c>
      <c r="B54" s="45" t="n">
        <v>45629</v>
      </c>
      <c r="C54" s="44" t="n">
        <v>12</v>
      </c>
      <c r="D54" s="44" t="n">
        <v>2024</v>
      </c>
      <c r="E54" s="44" t="n">
        <v>3</v>
      </c>
      <c r="F54" s="44" t="s">
        <v>310</v>
      </c>
      <c r="G54" s="44" t="s">
        <v>368</v>
      </c>
      <c r="H54" s="44" t="s">
        <v>136</v>
      </c>
      <c r="I54" s="44" t="s">
        <v>174</v>
      </c>
      <c r="J54" s="44" t="s">
        <v>196</v>
      </c>
      <c r="K54" s="44" t="n">
        <v>8</v>
      </c>
      <c r="L54" s="46" t="n">
        <v>21.67</v>
      </c>
      <c r="M54" s="47" t="n">
        <v>1.905</v>
      </c>
      <c r="N54" s="46" t="n">
        <v>29</v>
      </c>
      <c r="O54" s="44" t="s">
        <v>308</v>
      </c>
      <c r="P54" s="44" t="s">
        <v>369</v>
      </c>
      <c r="Q54" s="44" t="s">
        <v>309</v>
      </c>
    </row>
    <row r="55" customFormat="false" ht="15" hidden="false" customHeight="false" outlineLevel="0" collapsed="false">
      <c r="A55" s="44" t="n">
        <v>54</v>
      </c>
      <c r="B55" s="45" t="n">
        <v>45411</v>
      </c>
      <c r="C55" s="44" t="n">
        <v>4</v>
      </c>
      <c r="D55" s="44" t="n">
        <v>2024</v>
      </c>
      <c r="E55" s="44" t="n">
        <v>29</v>
      </c>
      <c r="F55" s="44" t="s">
        <v>328</v>
      </c>
      <c r="G55" s="44" t="s">
        <v>370</v>
      </c>
      <c r="H55" s="44" t="s">
        <v>140</v>
      </c>
      <c r="I55" s="44" t="s">
        <v>174</v>
      </c>
      <c r="J55" s="44" t="s">
        <v>192</v>
      </c>
      <c r="K55" s="44" t="n">
        <v>5</v>
      </c>
      <c r="L55" s="46" t="n">
        <v>2.98</v>
      </c>
      <c r="M55" s="47" t="n">
        <v>7.05</v>
      </c>
      <c r="N55" s="46" t="n">
        <v>13.85</v>
      </c>
      <c r="O55" s="44" t="s">
        <v>309</v>
      </c>
      <c r="P55" s="44" t="s">
        <v>317</v>
      </c>
      <c r="Q55" s="44" t="s">
        <v>309</v>
      </c>
    </row>
    <row r="56" customFormat="false" ht="15" hidden="false" customHeight="false" outlineLevel="0" collapsed="false">
      <c r="A56" s="44" t="n">
        <v>55</v>
      </c>
      <c r="B56" s="45" t="n">
        <v>45477</v>
      </c>
      <c r="C56" s="44" t="n">
        <v>7</v>
      </c>
      <c r="D56" s="44" t="n">
        <v>2024</v>
      </c>
      <c r="E56" s="44" t="n">
        <v>4</v>
      </c>
      <c r="F56" s="44" t="s">
        <v>306</v>
      </c>
      <c r="G56" s="44" t="s">
        <v>371</v>
      </c>
      <c r="H56" s="44" t="s">
        <v>135</v>
      </c>
      <c r="I56" s="44" t="s">
        <v>174</v>
      </c>
      <c r="J56" s="44" t="s">
        <v>203</v>
      </c>
      <c r="K56" s="44" t="n">
        <v>1</v>
      </c>
      <c r="L56" s="46" t="n">
        <v>2.62</v>
      </c>
      <c r="M56" s="47" t="n">
        <v>0</v>
      </c>
      <c r="N56" s="46" t="n">
        <v>2.62</v>
      </c>
      <c r="O56" s="44" t="s">
        <v>309</v>
      </c>
      <c r="P56" s="44" t="s">
        <v>309</v>
      </c>
      <c r="Q56" s="44" t="s">
        <v>309</v>
      </c>
    </row>
    <row r="57" customFormat="false" ht="15" hidden="false" customHeight="false" outlineLevel="0" collapsed="false">
      <c r="A57" s="44" t="n">
        <v>56</v>
      </c>
      <c r="B57" s="45" t="n">
        <v>45478</v>
      </c>
      <c r="C57" s="44" t="n">
        <v>7</v>
      </c>
      <c r="D57" s="44" t="n">
        <v>2024</v>
      </c>
      <c r="E57" s="44" t="n">
        <v>5</v>
      </c>
      <c r="F57" s="44" t="s">
        <v>325</v>
      </c>
      <c r="G57" s="44" t="s">
        <v>372</v>
      </c>
      <c r="H57" s="44" t="s">
        <v>139</v>
      </c>
      <c r="I57" s="44" t="s">
        <v>173</v>
      </c>
      <c r="J57" s="44" t="s">
        <v>205</v>
      </c>
      <c r="K57" s="44" t="n">
        <v>1</v>
      </c>
      <c r="L57" s="46" t="n">
        <v>18.33</v>
      </c>
      <c r="M57" s="47" t="n">
        <v>0</v>
      </c>
      <c r="N57" s="46" t="n">
        <v>28.63</v>
      </c>
      <c r="O57" s="44" t="s">
        <v>308</v>
      </c>
      <c r="P57" s="44" t="s">
        <v>309</v>
      </c>
      <c r="Q57" s="44" t="s">
        <v>309</v>
      </c>
    </row>
    <row r="58" customFormat="false" ht="15" hidden="false" customHeight="false" outlineLevel="0" collapsed="false">
      <c r="A58" s="44" t="n">
        <v>57</v>
      </c>
      <c r="B58" s="45" t="n">
        <v>45366</v>
      </c>
      <c r="C58" s="44" t="n">
        <v>3</v>
      </c>
      <c r="D58" s="44" t="n">
        <v>2024</v>
      </c>
      <c r="E58" s="44" t="n">
        <v>15</v>
      </c>
      <c r="F58" s="44" t="s">
        <v>325</v>
      </c>
      <c r="G58" s="44" t="s">
        <v>373</v>
      </c>
      <c r="H58" s="44" t="s">
        <v>136</v>
      </c>
      <c r="I58" s="44" t="s">
        <v>176</v>
      </c>
      <c r="J58" s="44" t="s">
        <v>206</v>
      </c>
      <c r="K58" s="44" t="n">
        <v>2</v>
      </c>
      <c r="L58" s="46" t="n">
        <v>17.84</v>
      </c>
      <c r="M58" s="47" t="n">
        <v>0</v>
      </c>
      <c r="N58" s="46" t="n">
        <v>35.68</v>
      </c>
      <c r="O58" s="44" t="s">
        <v>309</v>
      </c>
      <c r="P58" s="44" t="s">
        <v>309</v>
      </c>
      <c r="Q58" s="44" t="s">
        <v>309</v>
      </c>
    </row>
    <row r="59" customFormat="false" ht="15" hidden="false" customHeight="false" outlineLevel="0" collapsed="false">
      <c r="A59" s="44" t="n">
        <v>58</v>
      </c>
      <c r="B59" s="45" t="n">
        <v>45607</v>
      </c>
      <c r="C59" s="44" t="n">
        <v>11</v>
      </c>
      <c r="D59" s="44" t="n">
        <v>2024</v>
      </c>
      <c r="E59" s="44" t="n">
        <v>11</v>
      </c>
      <c r="F59" s="44" t="s">
        <v>328</v>
      </c>
      <c r="G59" s="44" t="s">
        <v>355</v>
      </c>
      <c r="H59" s="44" t="s">
        <v>134</v>
      </c>
      <c r="I59" s="44" t="s">
        <v>172</v>
      </c>
      <c r="J59" s="44" t="s">
        <v>191</v>
      </c>
      <c r="K59" s="44" t="n">
        <v>2</v>
      </c>
      <c r="L59" s="46" t="n">
        <v>6.77</v>
      </c>
      <c r="M59" s="47" t="n">
        <v>0.07</v>
      </c>
      <c r="N59" s="46" t="n">
        <v>13.53</v>
      </c>
      <c r="O59" s="44" t="s">
        <v>309</v>
      </c>
      <c r="P59" s="44" t="s">
        <v>309</v>
      </c>
      <c r="Q59" s="44" t="s">
        <v>309</v>
      </c>
    </row>
    <row r="60" customFormat="false" ht="15" hidden="false" customHeight="false" outlineLevel="0" collapsed="false">
      <c r="A60" s="44" t="n">
        <v>59</v>
      </c>
      <c r="B60" s="45" t="n">
        <v>45621</v>
      </c>
      <c r="C60" s="44" t="n">
        <v>11</v>
      </c>
      <c r="D60" s="44" t="n">
        <v>2024</v>
      </c>
      <c r="E60" s="44" t="n">
        <v>25</v>
      </c>
      <c r="F60" s="44" t="s">
        <v>328</v>
      </c>
      <c r="G60" s="44" t="s">
        <v>350</v>
      </c>
      <c r="H60" s="44" t="s">
        <v>140</v>
      </c>
      <c r="I60" s="44" t="s">
        <v>173</v>
      </c>
      <c r="J60" s="44" t="s">
        <v>196</v>
      </c>
      <c r="K60" s="44" t="n">
        <v>1</v>
      </c>
      <c r="L60" s="46" t="n">
        <v>11.31</v>
      </c>
      <c r="M60" s="47" t="n">
        <v>0</v>
      </c>
      <c r="N60" s="46" t="n">
        <v>38.1</v>
      </c>
      <c r="O60" s="44" t="s">
        <v>308</v>
      </c>
      <c r="P60" s="44" t="s">
        <v>309</v>
      </c>
      <c r="Q60" s="44" t="s">
        <v>309</v>
      </c>
    </row>
    <row r="61" customFormat="false" ht="15" hidden="false" customHeight="false" outlineLevel="0" collapsed="false">
      <c r="A61" s="44" t="n">
        <v>60</v>
      </c>
      <c r="B61" s="45" t="n">
        <v>45479</v>
      </c>
      <c r="C61" s="44" t="n">
        <v>7</v>
      </c>
      <c r="D61" s="44" t="n">
        <v>2024</v>
      </c>
      <c r="E61" s="44" t="n">
        <v>6</v>
      </c>
      <c r="F61" s="44" t="s">
        <v>318</v>
      </c>
      <c r="G61" s="44" t="s">
        <v>374</v>
      </c>
      <c r="H61" s="44" t="s">
        <v>136</v>
      </c>
      <c r="I61" s="44" t="s">
        <v>173</v>
      </c>
      <c r="J61" s="44" t="s">
        <v>197</v>
      </c>
      <c r="K61" s="44" t="n">
        <v>1</v>
      </c>
      <c r="L61" s="46" t="n">
        <v>34</v>
      </c>
      <c r="M61" s="47" t="n">
        <v>0.69</v>
      </c>
      <c r="N61" s="46" t="n">
        <v>33.77</v>
      </c>
      <c r="O61" s="44" t="s">
        <v>309</v>
      </c>
      <c r="P61" s="44" t="s">
        <v>309</v>
      </c>
      <c r="Q61" s="44" t="s">
        <v>309</v>
      </c>
    </row>
    <row r="62" customFormat="false" ht="15" hidden="false" customHeight="false" outlineLevel="0" collapsed="false">
      <c r="A62" s="44" t="n">
        <v>61</v>
      </c>
      <c r="B62" s="45" t="n">
        <v>45359</v>
      </c>
      <c r="C62" s="44" t="n">
        <v>3</v>
      </c>
      <c r="D62" s="44" t="n">
        <v>2024</v>
      </c>
      <c r="E62" s="44" t="n">
        <v>8</v>
      </c>
      <c r="F62" s="44" t="s">
        <v>325</v>
      </c>
      <c r="G62" s="44" t="s">
        <v>358</v>
      </c>
      <c r="H62" s="44" t="s">
        <v>134</v>
      </c>
      <c r="I62" s="44" t="s">
        <v>176</v>
      </c>
      <c r="J62" s="44" t="s">
        <v>196</v>
      </c>
      <c r="K62" s="44" t="n">
        <v>1</v>
      </c>
      <c r="L62" s="46" t="n">
        <v>194.32</v>
      </c>
      <c r="M62" s="47" t="n">
        <v>0</v>
      </c>
      <c r="N62" s="46" t="n">
        <v>194.32</v>
      </c>
      <c r="O62" s="44" t="s">
        <v>309</v>
      </c>
      <c r="P62" s="44" t="s">
        <v>309</v>
      </c>
      <c r="Q62" s="44" t="s">
        <v>309</v>
      </c>
    </row>
    <row r="63" customFormat="false" ht="15" hidden="false" customHeight="false" outlineLevel="0" collapsed="false">
      <c r="A63" s="44" t="n">
        <v>62</v>
      </c>
      <c r="B63" s="45" t="n">
        <v>45308</v>
      </c>
      <c r="C63" s="44" t="n">
        <v>1</v>
      </c>
      <c r="D63" s="44" t="n">
        <v>2024</v>
      </c>
      <c r="E63" s="44" t="n">
        <v>17</v>
      </c>
      <c r="F63" s="44" t="s">
        <v>321</v>
      </c>
      <c r="G63" s="44" t="s">
        <v>375</v>
      </c>
      <c r="H63" s="44" t="s">
        <v>136</v>
      </c>
      <c r="I63" s="44" t="s">
        <v>173</v>
      </c>
      <c r="J63" s="44" t="s">
        <v>206</v>
      </c>
      <c r="K63" s="44" t="n">
        <v>2</v>
      </c>
      <c r="L63" s="46" t="n">
        <v>17.47</v>
      </c>
      <c r="M63" s="47" t="n">
        <v>2.41</v>
      </c>
      <c r="N63" s="46" t="n">
        <v>34.1</v>
      </c>
      <c r="O63" s="44" t="s">
        <v>309</v>
      </c>
      <c r="P63" s="44" t="s">
        <v>309</v>
      </c>
      <c r="Q63" s="44" t="s">
        <v>309</v>
      </c>
    </row>
    <row r="64" customFormat="false" ht="15" hidden="false" customHeight="false" outlineLevel="0" collapsed="false">
      <c r="A64" s="44" t="n">
        <v>63</v>
      </c>
      <c r="B64" s="45" t="n">
        <v>45509</v>
      </c>
      <c r="C64" s="44" t="n">
        <v>8</v>
      </c>
      <c r="D64" s="44" t="n">
        <v>2024</v>
      </c>
      <c r="E64" s="44" t="n">
        <v>5</v>
      </c>
      <c r="F64" s="44" t="s">
        <v>328</v>
      </c>
      <c r="G64" s="44" t="s">
        <v>376</v>
      </c>
      <c r="H64" s="44" t="s">
        <v>138</v>
      </c>
      <c r="I64" s="44" t="s">
        <v>174</v>
      </c>
      <c r="J64" s="44" t="s">
        <v>206</v>
      </c>
      <c r="K64" s="44" t="n">
        <v>1</v>
      </c>
      <c r="L64" s="46" t="n">
        <v>19.63</v>
      </c>
      <c r="M64" s="47" t="n">
        <v>0.06</v>
      </c>
      <c r="N64" s="46" t="n">
        <v>19.62</v>
      </c>
      <c r="O64" s="44" t="s">
        <v>309</v>
      </c>
      <c r="P64" s="44" t="s">
        <v>309</v>
      </c>
      <c r="Q64" s="44" t="s">
        <v>309</v>
      </c>
    </row>
    <row r="65" customFormat="false" ht="15" hidden="false" customHeight="false" outlineLevel="0" collapsed="false">
      <c r="A65" s="44" t="n">
        <v>64</v>
      </c>
      <c r="B65" s="45" t="n">
        <v>45470</v>
      </c>
      <c r="C65" s="44" t="n">
        <v>6</v>
      </c>
      <c r="D65" s="44" t="n">
        <v>2024</v>
      </c>
      <c r="E65" s="44" t="n">
        <v>27</v>
      </c>
      <c r="F65" s="44" t="s">
        <v>306</v>
      </c>
      <c r="G65" s="44" t="s">
        <v>377</v>
      </c>
      <c r="H65" s="44" t="s">
        <v>139</v>
      </c>
      <c r="I65" s="44" t="s">
        <v>173</v>
      </c>
      <c r="J65" s="44" t="s">
        <v>199</v>
      </c>
      <c r="K65" s="44" t="n">
        <v>5</v>
      </c>
      <c r="L65" s="46" t="n">
        <v>21.6</v>
      </c>
      <c r="M65" s="47" t="n">
        <v>8.27</v>
      </c>
      <c r="N65" s="46" t="n">
        <v>99.07</v>
      </c>
      <c r="O65" s="44" t="s">
        <v>309</v>
      </c>
      <c r="P65" s="44" t="s">
        <v>309</v>
      </c>
      <c r="Q65" s="44" t="s">
        <v>309</v>
      </c>
    </row>
    <row r="66" customFormat="false" ht="15" hidden="false" customHeight="false" outlineLevel="0" collapsed="false">
      <c r="A66" s="44" t="n">
        <v>65</v>
      </c>
      <c r="B66" s="45" t="n">
        <v>45645</v>
      </c>
      <c r="C66" s="44" t="n">
        <v>12</v>
      </c>
      <c r="D66" s="44" t="n">
        <v>2024</v>
      </c>
      <c r="E66" s="44" t="n">
        <v>19</v>
      </c>
      <c r="F66" s="44" t="s">
        <v>306</v>
      </c>
      <c r="G66" s="44" t="s">
        <v>378</v>
      </c>
      <c r="H66" s="44" t="s">
        <v>140</v>
      </c>
      <c r="I66" s="44" t="s">
        <v>175</v>
      </c>
      <c r="J66" s="44" t="s">
        <v>206</v>
      </c>
      <c r="K66" s="44" t="n">
        <v>1</v>
      </c>
      <c r="L66" s="46" t="n">
        <v>38.26</v>
      </c>
      <c r="M66" s="47" t="n">
        <v>0</v>
      </c>
      <c r="N66" s="46" t="n">
        <v>38.26</v>
      </c>
      <c r="O66" s="44" t="s">
        <v>309</v>
      </c>
      <c r="P66" s="44" t="s">
        <v>317</v>
      </c>
      <c r="Q66" s="44" t="s">
        <v>309</v>
      </c>
    </row>
    <row r="67" customFormat="false" ht="15" hidden="false" customHeight="false" outlineLevel="0" collapsed="false">
      <c r="A67" s="44" t="n">
        <v>66</v>
      </c>
      <c r="B67" s="45" t="n">
        <v>45471</v>
      </c>
      <c r="C67" s="44" t="n">
        <v>6</v>
      </c>
      <c r="D67" s="44" t="n">
        <v>2024</v>
      </c>
      <c r="E67" s="44" t="n">
        <v>28</v>
      </c>
      <c r="F67" s="44" t="s">
        <v>325</v>
      </c>
      <c r="G67" s="44" t="s">
        <v>379</v>
      </c>
      <c r="H67" s="44" t="s">
        <v>137</v>
      </c>
      <c r="I67" s="44" t="s">
        <v>173</v>
      </c>
      <c r="J67" s="44" t="s">
        <v>206</v>
      </c>
      <c r="K67" s="44" t="n">
        <v>1</v>
      </c>
      <c r="L67" s="46" t="n">
        <v>101.36</v>
      </c>
      <c r="M67" s="47" t="n">
        <v>1.52</v>
      </c>
      <c r="N67" s="46" t="n">
        <v>99.82</v>
      </c>
      <c r="O67" s="44" t="s">
        <v>309</v>
      </c>
      <c r="P67" s="44" t="s">
        <v>309</v>
      </c>
      <c r="Q67" s="44" t="s">
        <v>309</v>
      </c>
    </row>
    <row r="68" customFormat="false" ht="15" hidden="false" customHeight="false" outlineLevel="0" collapsed="false">
      <c r="A68" s="44" t="n">
        <v>67</v>
      </c>
      <c r="B68" s="45" t="n">
        <v>45531</v>
      </c>
      <c r="C68" s="44" t="n">
        <v>8</v>
      </c>
      <c r="D68" s="44" t="n">
        <v>2024</v>
      </c>
      <c r="E68" s="44" t="n">
        <v>27</v>
      </c>
      <c r="F68" s="44" t="s">
        <v>310</v>
      </c>
      <c r="G68" s="44" t="s">
        <v>380</v>
      </c>
      <c r="H68" s="44" t="s">
        <v>134</v>
      </c>
      <c r="I68" s="44" t="s">
        <v>172</v>
      </c>
      <c r="J68" s="44" t="s">
        <v>191</v>
      </c>
      <c r="K68" s="44" t="n">
        <v>3</v>
      </c>
      <c r="L68" s="46" t="n">
        <v>29.18</v>
      </c>
      <c r="M68" s="47" t="n">
        <v>2.33</v>
      </c>
      <c r="N68" s="46" t="n">
        <v>45.24</v>
      </c>
      <c r="O68" s="44" t="s">
        <v>308</v>
      </c>
      <c r="P68" s="44" t="s">
        <v>309</v>
      </c>
      <c r="Q68" s="44" t="s">
        <v>309</v>
      </c>
    </row>
    <row r="69" customFormat="false" ht="15" hidden="false" customHeight="false" outlineLevel="0" collapsed="false">
      <c r="A69" s="44" t="n">
        <v>68</v>
      </c>
      <c r="B69" s="45" t="n">
        <v>45519</v>
      </c>
      <c r="C69" s="44" t="n">
        <v>8</v>
      </c>
      <c r="D69" s="44" t="n">
        <v>2024</v>
      </c>
      <c r="E69" s="44" t="n">
        <v>15</v>
      </c>
      <c r="F69" s="44" t="s">
        <v>306</v>
      </c>
      <c r="G69" s="44" t="s">
        <v>381</v>
      </c>
      <c r="H69" s="44" t="s">
        <v>134</v>
      </c>
      <c r="I69" s="44" t="s">
        <v>173</v>
      </c>
      <c r="J69" s="44" t="s">
        <v>195</v>
      </c>
      <c r="K69" s="44" t="n">
        <v>2</v>
      </c>
      <c r="L69" s="46" t="n">
        <v>222.3</v>
      </c>
      <c r="M69" s="47" t="n">
        <v>0</v>
      </c>
      <c r="N69" s="46" t="n">
        <v>444.6</v>
      </c>
      <c r="O69" s="44" t="s">
        <v>309</v>
      </c>
      <c r="P69" s="44" t="s">
        <v>309</v>
      </c>
      <c r="Q69" s="44" t="s">
        <v>309</v>
      </c>
    </row>
    <row r="70" customFormat="false" ht="15" hidden="false" customHeight="false" outlineLevel="0" collapsed="false">
      <c r="A70" s="44" t="n">
        <v>69</v>
      </c>
      <c r="B70" s="45" t="n">
        <v>45542</v>
      </c>
      <c r="C70" s="44" t="n">
        <v>9</v>
      </c>
      <c r="D70" s="44" t="n">
        <v>2024</v>
      </c>
      <c r="E70" s="44" t="n">
        <v>7</v>
      </c>
      <c r="F70" s="44" t="s">
        <v>318</v>
      </c>
      <c r="G70" s="44" t="s">
        <v>382</v>
      </c>
      <c r="H70" s="44" t="s">
        <v>137</v>
      </c>
      <c r="I70" s="44" t="s">
        <v>172</v>
      </c>
      <c r="J70" s="44" t="s">
        <v>192</v>
      </c>
      <c r="K70" s="44" t="n">
        <v>6</v>
      </c>
      <c r="L70" s="46" t="n">
        <v>28.2</v>
      </c>
      <c r="M70" s="47" t="n">
        <v>9.41</v>
      </c>
      <c r="N70" s="46" t="n">
        <v>263.18</v>
      </c>
      <c r="O70" s="44" t="s">
        <v>308</v>
      </c>
      <c r="P70" s="44" t="s">
        <v>309</v>
      </c>
      <c r="Q70" s="44" t="s">
        <v>309</v>
      </c>
    </row>
    <row r="71" customFormat="false" ht="15" hidden="false" customHeight="false" outlineLevel="0" collapsed="false">
      <c r="A71" s="44" t="n">
        <v>70</v>
      </c>
      <c r="B71" s="45" t="n">
        <v>45523</v>
      </c>
      <c r="C71" s="44" t="n">
        <v>8</v>
      </c>
      <c r="D71" s="44" t="n">
        <v>2024</v>
      </c>
      <c r="E71" s="44" t="n">
        <v>19</v>
      </c>
      <c r="F71" s="44" t="s">
        <v>328</v>
      </c>
      <c r="G71" s="44" t="s">
        <v>313</v>
      </c>
      <c r="H71" s="44" t="s">
        <v>134</v>
      </c>
      <c r="I71" s="44" t="s">
        <v>176</v>
      </c>
      <c r="J71" s="44" t="s">
        <v>191</v>
      </c>
      <c r="K71" s="44" t="n">
        <v>12</v>
      </c>
      <c r="L71" s="46" t="n">
        <v>29.18</v>
      </c>
      <c r="M71" s="47" t="n">
        <v>16.47</v>
      </c>
      <c r="N71" s="46" t="n">
        <v>382.4</v>
      </c>
      <c r="O71" s="44" t="s">
        <v>308</v>
      </c>
      <c r="P71" s="44" t="s">
        <v>309</v>
      </c>
      <c r="Q71" s="44" t="s">
        <v>309</v>
      </c>
    </row>
    <row r="72" customFormat="false" ht="15" hidden="false" customHeight="false" outlineLevel="0" collapsed="false">
      <c r="A72" s="44" t="n">
        <v>71</v>
      </c>
      <c r="B72" s="45" t="n">
        <v>45527</v>
      </c>
      <c r="C72" s="44" t="n">
        <v>8</v>
      </c>
      <c r="D72" s="44" t="n">
        <v>2024</v>
      </c>
      <c r="E72" s="44" t="n">
        <v>23</v>
      </c>
      <c r="F72" s="44" t="s">
        <v>325</v>
      </c>
      <c r="G72" s="44" t="s">
        <v>383</v>
      </c>
      <c r="H72" s="44" t="s">
        <v>140</v>
      </c>
      <c r="I72" s="44" t="s">
        <v>172</v>
      </c>
      <c r="J72" s="44" t="s">
        <v>194</v>
      </c>
      <c r="K72" s="44" t="n">
        <v>5</v>
      </c>
      <c r="L72" s="46" t="n">
        <v>16.34</v>
      </c>
      <c r="M72" s="47" t="n">
        <v>5.35</v>
      </c>
      <c r="N72" s="46" t="n">
        <v>77.33</v>
      </c>
      <c r="O72" s="44" t="s">
        <v>309</v>
      </c>
      <c r="P72" s="44" t="s">
        <v>309</v>
      </c>
      <c r="Q72" s="44" t="s">
        <v>309</v>
      </c>
    </row>
    <row r="73" customFormat="false" ht="15" hidden="false" customHeight="false" outlineLevel="0" collapsed="false">
      <c r="A73" s="44" t="n">
        <v>72</v>
      </c>
      <c r="B73" s="45" t="n">
        <v>45649</v>
      </c>
      <c r="C73" s="44" t="n">
        <v>12</v>
      </c>
      <c r="D73" s="44" t="n">
        <v>2024</v>
      </c>
      <c r="E73" s="44" t="n">
        <v>23</v>
      </c>
      <c r="F73" s="44" t="s">
        <v>328</v>
      </c>
      <c r="G73" s="44" t="s">
        <v>384</v>
      </c>
      <c r="H73" s="44" t="s">
        <v>135</v>
      </c>
      <c r="I73" s="44" t="s">
        <v>176</v>
      </c>
      <c r="J73" s="44" t="s">
        <v>193</v>
      </c>
      <c r="K73" s="44" t="n">
        <v>2</v>
      </c>
      <c r="L73" s="46" t="n">
        <v>65.56</v>
      </c>
      <c r="M73" s="47" t="n">
        <v>3.06</v>
      </c>
      <c r="N73" s="46" t="n">
        <v>127.11</v>
      </c>
      <c r="O73" s="44" t="s">
        <v>309</v>
      </c>
      <c r="P73" s="44" t="s">
        <v>309</v>
      </c>
      <c r="Q73" s="44" t="s">
        <v>309</v>
      </c>
    </row>
    <row r="74" customFormat="false" ht="15" hidden="false" customHeight="false" outlineLevel="0" collapsed="false">
      <c r="A74" s="44" t="n">
        <v>73</v>
      </c>
      <c r="B74" s="45" t="n">
        <v>45574</v>
      </c>
      <c r="C74" s="44" t="n">
        <v>10</v>
      </c>
      <c r="D74" s="44" t="n">
        <v>2024</v>
      </c>
      <c r="E74" s="44" t="n">
        <v>9</v>
      </c>
      <c r="F74" s="44" t="s">
        <v>321</v>
      </c>
      <c r="G74" s="44" t="s">
        <v>385</v>
      </c>
      <c r="H74" s="44" t="s">
        <v>135</v>
      </c>
      <c r="I74" s="44" t="s">
        <v>172</v>
      </c>
      <c r="J74" s="44" t="s">
        <v>191</v>
      </c>
      <c r="K74" s="44" t="n">
        <v>6</v>
      </c>
      <c r="L74" s="46" t="n">
        <v>2.65</v>
      </c>
      <c r="M74" s="47" t="n">
        <v>8.27</v>
      </c>
      <c r="N74" s="46" t="n">
        <v>14.59</v>
      </c>
      <c r="O74" s="44" t="s">
        <v>309</v>
      </c>
      <c r="P74" s="44" t="s">
        <v>309</v>
      </c>
      <c r="Q74" s="44" t="s">
        <v>309</v>
      </c>
    </row>
    <row r="75" customFormat="false" ht="15" hidden="false" customHeight="false" outlineLevel="0" collapsed="false">
      <c r="A75" s="44" t="n">
        <v>74</v>
      </c>
      <c r="B75" s="45" t="n">
        <v>45313</v>
      </c>
      <c r="C75" s="44" t="n">
        <v>1</v>
      </c>
      <c r="D75" s="44" t="n">
        <v>2024</v>
      </c>
      <c r="E75" s="44" t="n">
        <v>22</v>
      </c>
      <c r="F75" s="44" t="s">
        <v>328</v>
      </c>
      <c r="G75" s="44" t="s">
        <v>386</v>
      </c>
      <c r="H75" s="44" t="s">
        <v>140</v>
      </c>
      <c r="I75" s="44" t="s">
        <v>173</v>
      </c>
      <c r="J75" s="44" t="s">
        <v>204</v>
      </c>
      <c r="K75" s="44" t="n">
        <v>2</v>
      </c>
      <c r="L75" s="46" t="n">
        <v>1.9</v>
      </c>
      <c r="M75" s="47" t="n">
        <v>0.53</v>
      </c>
      <c r="N75" s="46" t="n">
        <v>3.78</v>
      </c>
      <c r="O75" s="44" t="s">
        <v>309</v>
      </c>
      <c r="P75" s="44" t="s">
        <v>317</v>
      </c>
      <c r="Q75" s="44" t="s">
        <v>309</v>
      </c>
    </row>
    <row r="76" customFormat="false" ht="15" hidden="false" customHeight="false" outlineLevel="0" collapsed="false">
      <c r="A76" s="44" t="n">
        <v>75</v>
      </c>
      <c r="B76" s="45" t="n">
        <v>45563</v>
      </c>
      <c r="C76" s="44" t="n">
        <v>9</v>
      </c>
      <c r="D76" s="44" t="n">
        <v>2024</v>
      </c>
      <c r="E76" s="44" t="n">
        <v>28</v>
      </c>
      <c r="F76" s="44" t="s">
        <v>318</v>
      </c>
      <c r="G76" s="44" t="s">
        <v>387</v>
      </c>
      <c r="H76" s="44" t="s">
        <v>139</v>
      </c>
      <c r="I76" s="44" t="s">
        <v>176</v>
      </c>
      <c r="J76" s="44" t="s">
        <v>206</v>
      </c>
      <c r="K76" s="44" t="n">
        <v>3</v>
      </c>
      <c r="L76" s="46" t="n">
        <v>23.23</v>
      </c>
      <c r="M76" s="47" t="n">
        <v>2.97</v>
      </c>
      <c r="N76" s="46" t="n">
        <v>67.62</v>
      </c>
      <c r="O76" s="44" t="s">
        <v>309</v>
      </c>
      <c r="P76" s="44" t="s">
        <v>309</v>
      </c>
      <c r="Q76" s="44" t="s">
        <v>309</v>
      </c>
    </row>
    <row r="77" customFormat="false" ht="15" hidden="false" customHeight="false" outlineLevel="0" collapsed="false">
      <c r="A77" s="44" t="n">
        <v>76</v>
      </c>
      <c r="B77" s="45" t="n">
        <v>45507</v>
      </c>
      <c r="C77" s="44" t="n">
        <v>8</v>
      </c>
      <c r="D77" s="44" t="n">
        <v>2024</v>
      </c>
      <c r="E77" s="44" t="n">
        <v>3</v>
      </c>
      <c r="F77" s="44" t="s">
        <v>318</v>
      </c>
      <c r="G77" s="44" t="s">
        <v>365</v>
      </c>
      <c r="H77" s="44" t="s">
        <v>134</v>
      </c>
      <c r="I77" s="44" t="s">
        <v>173</v>
      </c>
      <c r="J77" s="44" t="s">
        <v>206</v>
      </c>
      <c r="K77" s="44" t="n">
        <v>1</v>
      </c>
      <c r="L77" s="46" t="n">
        <v>4.75</v>
      </c>
      <c r="M77" s="47" t="n">
        <v>0</v>
      </c>
      <c r="N77" s="46" t="n">
        <v>4.75</v>
      </c>
      <c r="O77" s="44" t="s">
        <v>309</v>
      </c>
      <c r="P77" s="44" t="s">
        <v>317</v>
      </c>
      <c r="Q77" s="44" t="s">
        <v>314</v>
      </c>
    </row>
    <row r="78" customFormat="false" ht="15" hidden="false" customHeight="false" outlineLevel="0" collapsed="false">
      <c r="A78" s="44" t="n">
        <v>77</v>
      </c>
      <c r="B78" s="45" t="n">
        <v>45629</v>
      </c>
      <c r="C78" s="44" t="n">
        <v>12</v>
      </c>
      <c r="D78" s="44" t="n">
        <v>2024</v>
      </c>
      <c r="E78" s="44" t="n">
        <v>3</v>
      </c>
      <c r="F78" s="44" t="s">
        <v>310</v>
      </c>
      <c r="G78" s="44" t="s">
        <v>388</v>
      </c>
      <c r="H78" s="44" t="s">
        <v>138</v>
      </c>
      <c r="I78" s="44" t="s">
        <v>172</v>
      </c>
      <c r="J78" s="44" t="s">
        <v>199</v>
      </c>
      <c r="K78" s="44" t="n">
        <v>1</v>
      </c>
      <c r="L78" s="46" t="n">
        <v>26.69</v>
      </c>
      <c r="M78" s="47" t="n">
        <v>1.41</v>
      </c>
      <c r="N78" s="46" t="n">
        <v>34.08</v>
      </c>
      <c r="O78" s="44" t="s">
        <v>308</v>
      </c>
      <c r="P78" s="44" t="s">
        <v>309</v>
      </c>
      <c r="Q78" s="44" t="s">
        <v>309</v>
      </c>
    </row>
    <row r="79" customFormat="false" ht="15" hidden="false" customHeight="false" outlineLevel="0" collapsed="false">
      <c r="A79" s="44" t="n">
        <v>78</v>
      </c>
      <c r="B79" s="45" t="n">
        <v>45545</v>
      </c>
      <c r="C79" s="44" t="n">
        <v>9</v>
      </c>
      <c r="D79" s="44" t="n">
        <v>2024</v>
      </c>
      <c r="E79" s="44" t="n">
        <v>10</v>
      </c>
      <c r="F79" s="44" t="s">
        <v>310</v>
      </c>
      <c r="G79" s="44" t="s">
        <v>343</v>
      </c>
      <c r="H79" s="44" t="s">
        <v>134</v>
      </c>
      <c r="I79" s="44" t="s">
        <v>174</v>
      </c>
      <c r="J79" s="44" t="s">
        <v>191</v>
      </c>
      <c r="K79" s="44" t="n">
        <v>6</v>
      </c>
      <c r="L79" s="46" t="n">
        <v>34.16</v>
      </c>
      <c r="M79" s="47" t="n">
        <v>7.53</v>
      </c>
      <c r="N79" s="46" t="n">
        <v>189.53</v>
      </c>
      <c r="O79" s="44" t="s">
        <v>309</v>
      </c>
      <c r="P79" s="44" t="s">
        <v>309</v>
      </c>
      <c r="Q79" s="44" t="s">
        <v>309</v>
      </c>
    </row>
    <row r="80" customFormat="false" ht="15" hidden="false" customHeight="false" outlineLevel="0" collapsed="false">
      <c r="A80" s="44" t="n">
        <v>79</v>
      </c>
      <c r="B80" s="45" t="n">
        <v>45651</v>
      </c>
      <c r="C80" s="44" t="n">
        <v>12</v>
      </c>
      <c r="D80" s="44" t="n">
        <v>2024</v>
      </c>
      <c r="E80" s="44" t="n">
        <v>25</v>
      </c>
      <c r="F80" s="44" t="s">
        <v>321</v>
      </c>
      <c r="G80" s="44" t="s">
        <v>389</v>
      </c>
      <c r="H80" s="44" t="s">
        <v>136</v>
      </c>
      <c r="I80" s="44" t="s">
        <v>175</v>
      </c>
      <c r="J80" s="44" t="s">
        <v>206</v>
      </c>
      <c r="K80" s="44" t="n">
        <v>3</v>
      </c>
      <c r="L80" s="46" t="n">
        <v>4</v>
      </c>
      <c r="M80" s="47" t="n">
        <v>2.37</v>
      </c>
      <c r="N80" s="46" t="n">
        <v>11.72</v>
      </c>
      <c r="O80" s="44" t="s">
        <v>309</v>
      </c>
      <c r="P80" s="44" t="s">
        <v>309</v>
      </c>
      <c r="Q80" s="44" t="s">
        <v>309</v>
      </c>
    </row>
    <row r="81" customFormat="false" ht="15" hidden="false" customHeight="false" outlineLevel="0" collapsed="false">
      <c r="A81" s="44" t="n">
        <v>80</v>
      </c>
      <c r="B81" s="45" t="n">
        <v>45644</v>
      </c>
      <c r="C81" s="44" t="n">
        <v>12</v>
      </c>
      <c r="D81" s="44" t="n">
        <v>2024</v>
      </c>
      <c r="E81" s="44" t="n">
        <v>18</v>
      </c>
      <c r="F81" s="44" t="s">
        <v>321</v>
      </c>
      <c r="G81" s="44" t="s">
        <v>390</v>
      </c>
      <c r="H81" s="44" t="s">
        <v>134</v>
      </c>
      <c r="I81" s="44" t="s">
        <v>174</v>
      </c>
      <c r="J81" s="44" t="s">
        <v>194</v>
      </c>
      <c r="K81" s="44" t="n">
        <v>2</v>
      </c>
      <c r="L81" s="46" t="n">
        <v>9.81</v>
      </c>
      <c r="M81" s="47" t="n">
        <v>0.87</v>
      </c>
      <c r="N81" s="46" t="n">
        <v>19.45</v>
      </c>
      <c r="O81" s="44" t="s">
        <v>309</v>
      </c>
      <c r="P81" s="44" t="s">
        <v>317</v>
      </c>
      <c r="Q81" s="44" t="s">
        <v>309</v>
      </c>
    </row>
    <row r="82" customFormat="false" ht="15" hidden="false" customHeight="false" outlineLevel="0" collapsed="false">
      <c r="A82" s="44" t="n">
        <v>81</v>
      </c>
      <c r="B82" s="45" t="n">
        <v>45637</v>
      </c>
      <c r="C82" s="44" t="n">
        <v>12</v>
      </c>
      <c r="D82" s="44" t="n">
        <v>2024</v>
      </c>
      <c r="E82" s="44" t="n">
        <v>11</v>
      </c>
      <c r="F82" s="44" t="s">
        <v>321</v>
      </c>
      <c r="G82" s="44" t="s">
        <v>391</v>
      </c>
      <c r="H82" s="44" t="s">
        <v>139</v>
      </c>
      <c r="I82" s="44" t="s">
        <v>172</v>
      </c>
      <c r="J82" s="44" t="s">
        <v>192</v>
      </c>
      <c r="K82" s="44" t="n">
        <v>2</v>
      </c>
      <c r="L82" s="46" t="n">
        <v>13.28</v>
      </c>
      <c r="M82" s="47" t="n">
        <v>1.89</v>
      </c>
      <c r="N82" s="46" t="n">
        <v>26.06</v>
      </c>
      <c r="O82" s="44" t="s">
        <v>309</v>
      </c>
      <c r="P82" s="44" t="s">
        <v>309</v>
      </c>
      <c r="Q82" s="44" t="s">
        <v>309</v>
      </c>
    </row>
    <row r="83" customFormat="false" ht="15" hidden="false" customHeight="false" outlineLevel="0" collapsed="false">
      <c r="A83" s="44" t="n">
        <v>82</v>
      </c>
      <c r="B83" s="45" t="n">
        <v>45621</v>
      </c>
      <c r="C83" s="44" t="n">
        <v>11</v>
      </c>
      <c r="D83" s="44" t="n">
        <v>2024</v>
      </c>
      <c r="E83" s="44" t="n">
        <v>25</v>
      </c>
      <c r="F83" s="44" t="s">
        <v>328</v>
      </c>
      <c r="G83" s="44" t="s">
        <v>359</v>
      </c>
      <c r="H83" s="44" t="s">
        <v>139</v>
      </c>
      <c r="I83" s="44" t="s">
        <v>173</v>
      </c>
      <c r="J83" s="44" t="s">
        <v>200</v>
      </c>
      <c r="K83" s="44" t="n">
        <v>3</v>
      </c>
      <c r="L83" s="46" t="n">
        <v>63.58</v>
      </c>
      <c r="M83" s="47" t="n">
        <v>3.74</v>
      </c>
      <c r="N83" s="46" t="n">
        <v>183.61</v>
      </c>
      <c r="O83" s="44" t="s">
        <v>309</v>
      </c>
      <c r="P83" s="44" t="s">
        <v>309</v>
      </c>
      <c r="Q83" s="44" t="s">
        <v>309</v>
      </c>
    </row>
    <row r="84" customFormat="false" ht="15" hidden="false" customHeight="false" outlineLevel="0" collapsed="false">
      <c r="A84" s="44" t="n">
        <v>83</v>
      </c>
      <c r="B84" s="45" t="n">
        <v>45458</v>
      </c>
      <c r="C84" s="44" t="n">
        <v>6</v>
      </c>
      <c r="D84" s="44" t="n">
        <v>2024</v>
      </c>
      <c r="E84" s="44" t="n">
        <v>15</v>
      </c>
      <c r="F84" s="44" t="s">
        <v>318</v>
      </c>
      <c r="G84" s="44" t="s">
        <v>392</v>
      </c>
      <c r="H84" s="44" t="s">
        <v>139</v>
      </c>
      <c r="I84" s="44" t="s">
        <v>173</v>
      </c>
      <c r="J84" s="44" t="s">
        <v>191</v>
      </c>
      <c r="K84" s="44" t="n">
        <v>2</v>
      </c>
      <c r="L84" s="46" t="n">
        <v>23.17</v>
      </c>
      <c r="M84" s="47" t="n">
        <v>2.39</v>
      </c>
      <c r="N84" s="46" t="n">
        <v>45.23</v>
      </c>
      <c r="O84" s="44" t="s">
        <v>309</v>
      </c>
      <c r="P84" s="44" t="s">
        <v>309</v>
      </c>
      <c r="Q84" s="44" t="s">
        <v>309</v>
      </c>
    </row>
    <row r="85" customFormat="false" ht="15" hidden="false" customHeight="false" outlineLevel="0" collapsed="false">
      <c r="A85" s="44" t="n">
        <v>84</v>
      </c>
      <c r="B85" s="45" t="n">
        <v>45431</v>
      </c>
      <c r="C85" s="44" t="n">
        <v>5</v>
      </c>
      <c r="D85" s="44" t="n">
        <v>2024</v>
      </c>
      <c r="E85" s="44" t="n">
        <v>19</v>
      </c>
      <c r="F85" s="44" t="s">
        <v>312</v>
      </c>
      <c r="G85" s="44" t="s">
        <v>393</v>
      </c>
      <c r="H85" s="44" t="s">
        <v>134</v>
      </c>
      <c r="I85" s="44" t="s">
        <v>176</v>
      </c>
      <c r="J85" s="44" t="s">
        <v>194</v>
      </c>
      <c r="K85" s="44" t="n">
        <v>3</v>
      </c>
      <c r="L85" s="46" t="n">
        <v>3.46</v>
      </c>
      <c r="M85" s="47" t="n">
        <v>3.13</v>
      </c>
      <c r="N85" s="46" t="n">
        <v>10.06</v>
      </c>
      <c r="O85" s="44" t="s">
        <v>309</v>
      </c>
      <c r="P85" s="44" t="s">
        <v>309</v>
      </c>
      <c r="Q85" s="44" t="s">
        <v>309</v>
      </c>
    </row>
    <row r="86" customFormat="false" ht="15" hidden="false" customHeight="false" outlineLevel="0" collapsed="false">
      <c r="A86" s="44" t="n">
        <v>85</v>
      </c>
      <c r="B86" s="45" t="n">
        <v>45548</v>
      </c>
      <c r="C86" s="44" t="n">
        <v>9</v>
      </c>
      <c r="D86" s="44" t="n">
        <v>2024</v>
      </c>
      <c r="E86" s="44" t="n">
        <v>13</v>
      </c>
      <c r="F86" s="44" t="s">
        <v>325</v>
      </c>
      <c r="G86" s="44" t="s">
        <v>394</v>
      </c>
      <c r="H86" s="44" t="s">
        <v>135</v>
      </c>
      <c r="I86" s="44" t="s">
        <v>173</v>
      </c>
      <c r="J86" s="44" t="s">
        <v>196</v>
      </c>
      <c r="K86" s="44" t="n">
        <v>1</v>
      </c>
      <c r="L86" s="46" t="n">
        <v>4.27</v>
      </c>
      <c r="M86" s="47" t="n">
        <v>0</v>
      </c>
      <c r="N86" s="46" t="n">
        <v>4.27</v>
      </c>
      <c r="O86" s="44" t="s">
        <v>309</v>
      </c>
      <c r="P86" s="44" t="s">
        <v>317</v>
      </c>
      <c r="Q86" s="44" t="s">
        <v>309</v>
      </c>
    </row>
    <row r="87" customFormat="false" ht="15" hidden="false" customHeight="false" outlineLevel="0" collapsed="false">
      <c r="A87" s="44" t="n">
        <v>86</v>
      </c>
      <c r="B87" s="45" t="n">
        <v>45517</v>
      </c>
      <c r="C87" s="44" t="n">
        <v>8</v>
      </c>
      <c r="D87" s="44" t="n">
        <v>2024</v>
      </c>
      <c r="E87" s="44" t="n">
        <v>13</v>
      </c>
      <c r="F87" s="44" t="s">
        <v>310</v>
      </c>
      <c r="G87" s="44" t="s">
        <v>395</v>
      </c>
      <c r="H87" s="44" t="s">
        <v>136</v>
      </c>
      <c r="I87" s="44" t="s">
        <v>174</v>
      </c>
      <c r="J87" s="44" t="s">
        <v>194</v>
      </c>
      <c r="K87" s="44" t="n">
        <v>1</v>
      </c>
      <c r="L87" s="46" t="n">
        <v>4.09</v>
      </c>
      <c r="M87" s="47" t="n">
        <v>1.29</v>
      </c>
      <c r="N87" s="46" t="n">
        <v>4.04</v>
      </c>
      <c r="O87" s="44" t="s">
        <v>309</v>
      </c>
      <c r="P87" s="44" t="s">
        <v>309</v>
      </c>
      <c r="Q87" s="44" t="s">
        <v>309</v>
      </c>
    </row>
    <row r="88" customFormat="false" ht="15" hidden="false" customHeight="false" outlineLevel="0" collapsed="false">
      <c r="A88" s="44" t="n">
        <v>87</v>
      </c>
      <c r="B88" s="45" t="n">
        <v>45640</v>
      </c>
      <c r="C88" s="44" t="n">
        <v>12</v>
      </c>
      <c r="D88" s="44" t="n">
        <v>2024</v>
      </c>
      <c r="E88" s="44" t="n">
        <v>14</v>
      </c>
      <c r="F88" s="44" t="s">
        <v>318</v>
      </c>
      <c r="G88" s="44" t="s">
        <v>396</v>
      </c>
      <c r="H88" s="44" t="s">
        <v>136</v>
      </c>
      <c r="I88" s="44" t="s">
        <v>172</v>
      </c>
      <c r="J88" s="44" t="s">
        <v>206</v>
      </c>
      <c r="K88" s="44" t="n">
        <v>3</v>
      </c>
      <c r="L88" s="46" t="n">
        <v>21.67</v>
      </c>
      <c r="M88" s="47" t="n">
        <v>2.93</v>
      </c>
      <c r="N88" s="46" t="n">
        <v>143.07</v>
      </c>
      <c r="O88" s="44" t="s">
        <v>308</v>
      </c>
      <c r="P88" s="44" t="s">
        <v>309</v>
      </c>
      <c r="Q88" s="44" t="s">
        <v>309</v>
      </c>
    </row>
    <row r="89" customFormat="false" ht="15" hidden="false" customHeight="false" outlineLevel="0" collapsed="false">
      <c r="A89" s="44" t="n">
        <v>88</v>
      </c>
      <c r="B89" s="45" t="n">
        <v>45429</v>
      </c>
      <c r="C89" s="44" t="n">
        <v>5</v>
      </c>
      <c r="D89" s="44" t="n">
        <v>2024</v>
      </c>
      <c r="E89" s="44" t="n">
        <v>17</v>
      </c>
      <c r="F89" s="44" t="s">
        <v>325</v>
      </c>
      <c r="G89" s="44" t="s">
        <v>340</v>
      </c>
      <c r="H89" s="44" t="s">
        <v>135</v>
      </c>
      <c r="I89" s="44" t="s">
        <v>174</v>
      </c>
      <c r="J89" s="44" t="s">
        <v>191</v>
      </c>
      <c r="K89" s="44" t="n">
        <v>1</v>
      </c>
      <c r="L89" s="46" t="n">
        <v>35.95</v>
      </c>
      <c r="M89" s="47" t="n">
        <v>0</v>
      </c>
      <c r="N89" s="46" t="n">
        <v>35.95</v>
      </c>
      <c r="O89" s="44" t="s">
        <v>309</v>
      </c>
      <c r="P89" s="44" t="s">
        <v>309</v>
      </c>
      <c r="Q89" s="44" t="s">
        <v>309</v>
      </c>
    </row>
    <row r="90" customFormat="false" ht="15" hidden="false" customHeight="false" outlineLevel="0" collapsed="false">
      <c r="A90" s="44" t="n">
        <v>89</v>
      </c>
      <c r="B90" s="45" t="n">
        <v>45487</v>
      </c>
      <c r="C90" s="44" t="n">
        <v>7</v>
      </c>
      <c r="D90" s="44" t="n">
        <v>2024</v>
      </c>
      <c r="E90" s="44" t="n">
        <v>14</v>
      </c>
      <c r="F90" s="44" t="s">
        <v>312</v>
      </c>
      <c r="G90" s="44" t="s">
        <v>397</v>
      </c>
      <c r="H90" s="44" t="s">
        <v>136</v>
      </c>
      <c r="I90" s="44" t="s">
        <v>176</v>
      </c>
      <c r="J90" s="44" t="s">
        <v>199</v>
      </c>
      <c r="K90" s="44" t="n">
        <v>2</v>
      </c>
      <c r="L90" s="46" t="n">
        <v>149.09</v>
      </c>
      <c r="M90" s="47" t="n">
        <v>3.08</v>
      </c>
      <c r="N90" s="46" t="n">
        <v>289</v>
      </c>
      <c r="O90" s="44" t="s">
        <v>309</v>
      </c>
      <c r="P90" s="44" t="s">
        <v>309</v>
      </c>
      <c r="Q90" s="44" t="s">
        <v>309</v>
      </c>
    </row>
    <row r="91" customFormat="false" ht="15" hidden="false" customHeight="false" outlineLevel="0" collapsed="false">
      <c r="A91" s="44" t="n">
        <v>90</v>
      </c>
      <c r="B91" s="45" t="n">
        <v>45615</v>
      </c>
      <c r="C91" s="44" t="n">
        <v>11</v>
      </c>
      <c r="D91" s="44" t="n">
        <v>2024</v>
      </c>
      <c r="E91" s="44" t="n">
        <v>19</v>
      </c>
      <c r="F91" s="44" t="s">
        <v>310</v>
      </c>
      <c r="G91" s="44" t="s">
        <v>398</v>
      </c>
      <c r="H91" s="44" t="s">
        <v>135</v>
      </c>
      <c r="I91" s="44" t="s">
        <v>172</v>
      </c>
      <c r="J91" s="44" t="s">
        <v>206</v>
      </c>
      <c r="K91" s="44" t="n">
        <v>2</v>
      </c>
      <c r="L91" s="46" t="n">
        <v>140.77</v>
      </c>
      <c r="M91" s="47" t="n">
        <v>1.42</v>
      </c>
      <c r="N91" s="46" t="n">
        <v>277.54</v>
      </c>
      <c r="O91" s="44" t="s">
        <v>309</v>
      </c>
      <c r="P91" s="44" t="s">
        <v>309</v>
      </c>
      <c r="Q91" s="44" t="s">
        <v>309</v>
      </c>
    </row>
    <row r="92" customFormat="false" ht="15" hidden="false" customHeight="false" outlineLevel="0" collapsed="false">
      <c r="A92" s="44" t="n">
        <v>91</v>
      </c>
      <c r="B92" s="45" t="n">
        <v>45410</v>
      </c>
      <c r="C92" s="44" t="n">
        <v>4</v>
      </c>
      <c r="D92" s="44" t="n">
        <v>2024</v>
      </c>
      <c r="E92" s="44" t="n">
        <v>28</v>
      </c>
      <c r="F92" s="44" t="s">
        <v>312</v>
      </c>
      <c r="G92" s="44" t="s">
        <v>362</v>
      </c>
      <c r="H92" s="44" t="s">
        <v>134</v>
      </c>
      <c r="I92" s="44" t="s">
        <v>176</v>
      </c>
      <c r="J92" s="44" t="s">
        <v>202</v>
      </c>
      <c r="K92" s="44" t="n">
        <v>5</v>
      </c>
      <c r="L92" s="46" t="n">
        <v>29.18</v>
      </c>
      <c r="M92" s="47" t="n">
        <v>6.87</v>
      </c>
      <c r="N92" s="46" t="n">
        <v>310.03</v>
      </c>
      <c r="O92" s="44" t="s">
        <v>308</v>
      </c>
      <c r="P92" s="44" t="s">
        <v>309</v>
      </c>
      <c r="Q92" s="44" t="s">
        <v>309</v>
      </c>
    </row>
    <row r="93" customFormat="false" ht="15" hidden="false" customHeight="false" outlineLevel="0" collapsed="false">
      <c r="A93" s="44" t="n">
        <v>92</v>
      </c>
      <c r="B93" s="45" t="n">
        <v>45472</v>
      </c>
      <c r="C93" s="44" t="n">
        <v>6</v>
      </c>
      <c r="D93" s="44" t="n">
        <v>2024</v>
      </c>
      <c r="E93" s="44" t="n">
        <v>29</v>
      </c>
      <c r="F93" s="44" t="s">
        <v>318</v>
      </c>
      <c r="G93" s="44" t="s">
        <v>399</v>
      </c>
      <c r="H93" s="44" t="s">
        <v>136</v>
      </c>
      <c r="I93" s="44" t="s">
        <v>173</v>
      </c>
      <c r="J93" s="44" t="s">
        <v>203</v>
      </c>
      <c r="K93" s="44" t="n">
        <v>2</v>
      </c>
      <c r="L93" s="46" t="n">
        <v>33.14</v>
      </c>
      <c r="M93" s="47" t="n">
        <v>1.37</v>
      </c>
      <c r="N93" s="46" t="n">
        <v>65.37</v>
      </c>
      <c r="O93" s="44" t="s">
        <v>309</v>
      </c>
      <c r="P93" s="44" t="s">
        <v>317</v>
      </c>
      <c r="Q93" s="44" t="s">
        <v>309</v>
      </c>
    </row>
    <row r="94" customFormat="false" ht="15" hidden="false" customHeight="false" outlineLevel="0" collapsed="false">
      <c r="A94" s="44" t="n">
        <v>93</v>
      </c>
      <c r="B94" s="45" t="n">
        <v>45307</v>
      </c>
      <c r="C94" s="44" t="n">
        <v>1</v>
      </c>
      <c r="D94" s="44" t="n">
        <v>2024</v>
      </c>
      <c r="E94" s="44" t="n">
        <v>16</v>
      </c>
      <c r="F94" s="44" t="s">
        <v>310</v>
      </c>
      <c r="G94" s="44" t="s">
        <v>397</v>
      </c>
      <c r="H94" s="44" t="s">
        <v>135</v>
      </c>
      <c r="I94" s="44" t="s">
        <v>172</v>
      </c>
      <c r="J94" s="44" t="s">
        <v>195</v>
      </c>
      <c r="K94" s="44" t="n">
        <v>1</v>
      </c>
      <c r="L94" s="46" t="n">
        <v>2.82</v>
      </c>
      <c r="M94" s="47" t="n">
        <v>0</v>
      </c>
      <c r="N94" s="46" t="n">
        <v>2.82</v>
      </c>
      <c r="O94" s="44" t="s">
        <v>309</v>
      </c>
      <c r="P94" s="44" t="s">
        <v>317</v>
      </c>
      <c r="Q94" s="44" t="s">
        <v>309</v>
      </c>
    </row>
    <row r="95" customFormat="false" ht="15" hidden="false" customHeight="false" outlineLevel="0" collapsed="false">
      <c r="A95" s="44" t="n">
        <v>94</v>
      </c>
      <c r="B95" s="45" t="n">
        <v>45430</v>
      </c>
      <c r="C95" s="44" t="n">
        <v>5</v>
      </c>
      <c r="D95" s="44" t="n">
        <v>2024</v>
      </c>
      <c r="E95" s="44" t="n">
        <v>18</v>
      </c>
      <c r="F95" s="44" t="s">
        <v>318</v>
      </c>
      <c r="G95" s="44" t="s">
        <v>400</v>
      </c>
      <c r="H95" s="44" t="s">
        <v>138</v>
      </c>
      <c r="I95" s="44" t="s">
        <v>173</v>
      </c>
      <c r="J95" s="44" t="s">
        <v>197</v>
      </c>
      <c r="K95" s="44" t="n">
        <v>2</v>
      </c>
      <c r="L95" s="46" t="n">
        <v>15.86</v>
      </c>
      <c r="M95" s="47" t="n">
        <v>1.94</v>
      </c>
      <c r="N95" s="46" t="n">
        <v>31.1</v>
      </c>
      <c r="O95" s="44" t="s">
        <v>309</v>
      </c>
      <c r="P95" s="44" t="s">
        <v>309</v>
      </c>
      <c r="Q95" s="44" t="s">
        <v>309</v>
      </c>
    </row>
    <row r="96" customFormat="false" ht="15" hidden="false" customHeight="false" outlineLevel="0" collapsed="false">
      <c r="A96" s="44" t="n">
        <v>95</v>
      </c>
      <c r="B96" s="45" t="n">
        <v>45388</v>
      </c>
      <c r="C96" s="44" t="n">
        <v>4</v>
      </c>
      <c r="D96" s="44" t="n">
        <v>2024</v>
      </c>
      <c r="E96" s="44" t="n">
        <v>6</v>
      </c>
      <c r="F96" s="44" t="s">
        <v>318</v>
      </c>
      <c r="G96" s="44" t="s">
        <v>393</v>
      </c>
      <c r="H96" s="44" t="s">
        <v>135</v>
      </c>
      <c r="I96" s="44" t="s">
        <v>174</v>
      </c>
      <c r="J96" s="44" t="s">
        <v>198</v>
      </c>
      <c r="K96" s="44" t="n">
        <v>1</v>
      </c>
      <c r="L96" s="46" t="n">
        <v>12.08</v>
      </c>
      <c r="M96" s="47" t="n">
        <v>0.91</v>
      </c>
      <c r="N96" s="46" t="n">
        <v>11.97</v>
      </c>
      <c r="O96" s="44" t="s">
        <v>309</v>
      </c>
      <c r="P96" s="44" t="s">
        <v>309</v>
      </c>
      <c r="Q96" s="44" t="s">
        <v>309</v>
      </c>
    </row>
    <row r="97" customFormat="false" ht="15" hidden="false" customHeight="false" outlineLevel="0" collapsed="false">
      <c r="A97" s="44" t="n">
        <v>96</v>
      </c>
      <c r="B97" s="45" t="n">
        <v>45502</v>
      </c>
      <c r="C97" s="44" t="n">
        <v>7</v>
      </c>
      <c r="D97" s="44" t="n">
        <v>2024</v>
      </c>
      <c r="E97" s="44" t="n">
        <v>29</v>
      </c>
      <c r="F97" s="44" t="s">
        <v>328</v>
      </c>
      <c r="G97" s="44" t="s">
        <v>390</v>
      </c>
      <c r="H97" s="44" t="s">
        <v>135</v>
      </c>
      <c r="I97" s="44" t="s">
        <v>173</v>
      </c>
      <c r="J97" s="44" t="s">
        <v>200</v>
      </c>
      <c r="K97" s="44" t="n">
        <v>1</v>
      </c>
      <c r="L97" s="46" t="n">
        <v>121.84</v>
      </c>
      <c r="M97" s="47" t="n">
        <v>1.7</v>
      </c>
      <c r="N97" s="46" t="n">
        <v>119.77</v>
      </c>
      <c r="O97" s="44" t="s">
        <v>309</v>
      </c>
      <c r="P97" s="44" t="s">
        <v>317</v>
      </c>
      <c r="Q97" s="44" t="s">
        <v>309</v>
      </c>
    </row>
    <row r="98" customFormat="false" ht="15" hidden="false" customHeight="false" outlineLevel="0" collapsed="false">
      <c r="A98" s="44" t="n">
        <v>97</v>
      </c>
      <c r="B98" s="45" t="n">
        <v>45457</v>
      </c>
      <c r="C98" s="44" t="n">
        <v>6</v>
      </c>
      <c r="D98" s="44" t="n">
        <v>2024</v>
      </c>
      <c r="E98" s="44" t="n">
        <v>14</v>
      </c>
      <c r="F98" s="44" t="s">
        <v>325</v>
      </c>
      <c r="G98" s="44" t="s">
        <v>401</v>
      </c>
      <c r="H98" s="44" t="s">
        <v>134</v>
      </c>
      <c r="I98" s="44" t="s">
        <v>172</v>
      </c>
      <c r="J98" s="44" t="s">
        <v>194</v>
      </c>
      <c r="K98" s="44" t="n">
        <v>1</v>
      </c>
      <c r="L98" s="46" t="n">
        <v>29.18</v>
      </c>
      <c r="M98" s="47" t="n">
        <v>1.905</v>
      </c>
      <c r="N98" s="46" t="n">
        <v>17.59</v>
      </c>
      <c r="O98" s="44" t="s">
        <v>308</v>
      </c>
      <c r="P98" s="44" t="s">
        <v>369</v>
      </c>
      <c r="Q98" s="44" t="s">
        <v>309</v>
      </c>
    </row>
    <row r="99" customFormat="false" ht="15" hidden="false" customHeight="false" outlineLevel="0" collapsed="false">
      <c r="A99" s="44" t="n">
        <v>98</v>
      </c>
      <c r="B99" s="45" t="n">
        <v>45298</v>
      </c>
      <c r="C99" s="44" t="n">
        <v>1</v>
      </c>
      <c r="D99" s="44" t="n">
        <v>2024</v>
      </c>
      <c r="E99" s="44" t="n">
        <v>7</v>
      </c>
      <c r="F99" s="44" t="s">
        <v>312</v>
      </c>
      <c r="G99" s="44" t="s">
        <v>402</v>
      </c>
      <c r="H99" s="44" t="s">
        <v>138</v>
      </c>
      <c r="I99" s="44" t="s">
        <v>176</v>
      </c>
      <c r="J99" s="44" t="s">
        <v>191</v>
      </c>
      <c r="K99" s="44" t="n">
        <v>1</v>
      </c>
      <c r="L99" s="46" t="n">
        <v>26.69</v>
      </c>
      <c r="M99" s="47" t="n">
        <v>1.05</v>
      </c>
      <c r="N99" s="46" t="n">
        <v>5.22</v>
      </c>
      <c r="O99" s="44" t="s">
        <v>308</v>
      </c>
      <c r="P99" s="44" t="s">
        <v>309</v>
      </c>
      <c r="Q99" s="44" t="s">
        <v>309</v>
      </c>
    </row>
    <row r="100" customFormat="false" ht="15" hidden="false" customHeight="false" outlineLevel="0" collapsed="false">
      <c r="A100" s="44" t="n">
        <v>99</v>
      </c>
      <c r="B100" s="45" t="n">
        <v>45649</v>
      </c>
      <c r="C100" s="44" t="n">
        <v>12</v>
      </c>
      <c r="D100" s="44" t="n">
        <v>2024</v>
      </c>
      <c r="E100" s="44" t="n">
        <v>23</v>
      </c>
      <c r="F100" s="44" t="s">
        <v>328</v>
      </c>
      <c r="G100" s="44" t="s">
        <v>403</v>
      </c>
      <c r="H100" s="44" t="s">
        <v>137</v>
      </c>
      <c r="I100" s="44" t="s">
        <v>174</v>
      </c>
      <c r="J100" s="44" t="s">
        <v>192</v>
      </c>
      <c r="K100" s="44" t="n">
        <v>3</v>
      </c>
      <c r="L100" s="46" t="n">
        <v>28.2</v>
      </c>
      <c r="M100" s="47" t="n">
        <v>1.905</v>
      </c>
      <c r="N100" s="46" t="n">
        <v>26.49</v>
      </c>
      <c r="O100" s="44" t="s">
        <v>308</v>
      </c>
      <c r="P100" s="44" t="s">
        <v>369</v>
      </c>
      <c r="Q100" s="44" t="s">
        <v>309</v>
      </c>
    </row>
    <row r="101" customFormat="false" ht="15" hidden="false" customHeight="false" outlineLevel="0" collapsed="false">
      <c r="A101" s="44" t="n">
        <v>100</v>
      </c>
      <c r="B101" s="45" t="n">
        <v>45292</v>
      </c>
      <c r="C101" s="44" t="n">
        <v>1</v>
      </c>
      <c r="D101" s="44" t="n">
        <v>2024</v>
      </c>
      <c r="E101" s="44" t="n">
        <v>1</v>
      </c>
      <c r="F101" s="44" t="s">
        <v>328</v>
      </c>
      <c r="G101" s="44" t="s">
        <v>404</v>
      </c>
      <c r="H101" s="44" t="s">
        <v>137</v>
      </c>
      <c r="I101" s="44" t="s">
        <v>174</v>
      </c>
      <c r="J101" s="44" t="s">
        <v>206</v>
      </c>
      <c r="K101" s="44" t="n">
        <v>1</v>
      </c>
      <c r="L101" s="46" t="n">
        <v>171.12</v>
      </c>
      <c r="M101" s="47" t="n">
        <v>1.63</v>
      </c>
      <c r="N101" s="46" t="n">
        <v>168.33</v>
      </c>
      <c r="O101" s="44" t="s">
        <v>309</v>
      </c>
      <c r="P101" s="44" t="s">
        <v>309</v>
      </c>
      <c r="Q101" s="44" t="s">
        <v>309</v>
      </c>
    </row>
    <row r="102" customFormat="false" ht="15" hidden="false" customHeight="false" outlineLevel="0" collapsed="false">
      <c r="A102" s="44" t="n">
        <v>101</v>
      </c>
      <c r="B102" s="45" t="n">
        <v>45537</v>
      </c>
      <c r="C102" s="44" t="n">
        <v>9</v>
      </c>
      <c r="D102" s="44" t="n">
        <v>2024</v>
      </c>
      <c r="E102" s="44" t="n">
        <v>2</v>
      </c>
      <c r="F102" s="44" t="s">
        <v>328</v>
      </c>
      <c r="G102" s="44" t="s">
        <v>405</v>
      </c>
      <c r="H102" s="44" t="s">
        <v>139</v>
      </c>
      <c r="I102" s="44" t="s">
        <v>172</v>
      </c>
      <c r="J102" s="44" t="s">
        <v>195</v>
      </c>
      <c r="K102" s="44" t="n">
        <v>3</v>
      </c>
      <c r="L102" s="46" t="n">
        <v>18.33</v>
      </c>
      <c r="M102" s="47" t="n">
        <v>4.52</v>
      </c>
      <c r="N102" s="46" t="n">
        <v>69.18</v>
      </c>
      <c r="O102" s="44" t="s">
        <v>308</v>
      </c>
      <c r="P102" s="44" t="s">
        <v>309</v>
      </c>
      <c r="Q102" s="44" t="s">
        <v>309</v>
      </c>
    </row>
    <row r="103" customFormat="false" ht="15" hidden="false" customHeight="false" outlineLevel="0" collapsed="false">
      <c r="A103" s="44" t="n">
        <v>102</v>
      </c>
      <c r="B103" s="45" t="n">
        <v>45374</v>
      </c>
      <c r="C103" s="44" t="n">
        <v>3</v>
      </c>
      <c r="D103" s="44" t="n">
        <v>2024</v>
      </c>
      <c r="E103" s="44" t="n">
        <v>23</v>
      </c>
      <c r="F103" s="44" t="s">
        <v>318</v>
      </c>
      <c r="G103" s="44" t="s">
        <v>389</v>
      </c>
      <c r="H103" s="44" t="s">
        <v>136</v>
      </c>
      <c r="I103" s="44" t="s">
        <v>172</v>
      </c>
      <c r="J103" s="44" t="s">
        <v>202</v>
      </c>
      <c r="K103" s="44" t="n">
        <v>1</v>
      </c>
      <c r="L103" s="46" t="n">
        <v>4.07</v>
      </c>
      <c r="M103" s="47" t="n">
        <v>0.25</v>
      </c>
      <c r="N103" s="46" t="n">
        <v>4.06</v>
      </c>
      <c r="O103" s="44" t="s">
        <v>309</v>
      </c>
      <c r="P103" s="44" t="s">
        <v>317</v>
      </c>
      <c r="Q103" s="44" t="s">
        <v>309</v>
      </c>
    </row>
    <row r="104" customFormat="false" ht="15" hidden="false" customHeight="false" outlineLevel="0" collapsed="false">
      <c r="A104" s="44" t="n">
        <v>103</v>
      </c>
      <c r="B104" s="45" t="n">
        <v>45367</v>
      </c>
      <c r="C104" s="44" t="n">
        <v>3</v>
      </c>
      <c r="D104" s="44" t="n">
        <v>2024</v>
      </c>
      <c r="E104" s="44" t="n">
        <v>16</v>
      </c>
      <c r="F104" s="44" t="s">
        <v>318</v>
      </c>
      <c r="G104" s="44" t="s">
        <v>406</v>
      </c>
      <c r="H104" s="44" t="s">
        <v>135</v>
      </c>
      <c r="I104" s="44" t="s">
        <v>174</v>
      </c>
      <c r="J104" s="44" t="s">
        <v>206</v>
      </c>
      <c r="K104" s="44" t="n">
        <v>6</v>
      </c>
      <c r="L104" s="46" t="n">
        <v>30.44</v>
      </c>
      <c r="M104" s="47" t="n">
        <v>9.8</v>
      </c>
      <c r="N104" s="46" t="n">
        <v>13.58</v>
      </c>
      <c r="O104" s="44" t="s">
        <v>308</v>
      </c>
      <c r="P104" s="44" t="s">
        <v>309</v>
      </c>
      <c r="Q104" s="44" t="s">
        <v>309</v>
      </c>
    </row>
    <row r="105" customFormat="false" ht="15" hidden="false" customHeight="false" outlineLevel="0" collapsed="false">
      <c r="A105" s="44" t="n">
        <v>104</v>
      </c>
      <c r="B105" s="45" t="n">
        <v>45573</v>
      </c>
      <c r="C105" s="44" t="n">
        <v>10</v>
      </c>
      <c r="D105" s="44" t="n">
        <v>2024</v>
      </c>
      <c r="E105" s="44" t="n">
        <v>8</v>
      </c>
      <c r="F105" s="44" t="s">
        <v>310</v>
      </c>
      <c r="G105" s="44" t="s">
        <v>407</v>
      </c>
      <c r="H105" s="44" t="s">
        <v>135</v>
      </c>
      <c r="I105" s="44" t="s">
        <v>172</v>
      </c>
      <c r="J105" s="44" t="s">
        <v>196</v>
      </c>
      <c r="K105" s="44" t="n">
        <v>1</v>
      </c>
      <c r="L105" s="46" t="n">
        <v>6.49</v>
      </c>
      <c r="M105" s="47" t="n">
        <v>0.36</v>
      </c>
      <c r="N105" s="46" t="n">
        <v>6.47</v>
      </c>
      <c r="O105" s="44" t="s">
        <v>309</v>
      </c>
      <c r="P105" s="44" t="s">
        <v>309</v>
      </c>
      <c r="Q105" s="44" t="s">
        <v>309</v>
      </c>
    </row>
    <row r="106" customFormat="false" ht="15" hidden="false" customHeight="false" outlineLevel="0" collapsed="false">
      <c r="A106" s="44" t="n">
        <v>105</v>
      </c>
      <c r="B106" s="45" t="n">
        <v>45532</v>
      </c>
      <c r="C106" s="44" t="n">
        <v>8</v>
      </c>
      <c r="D106" s="44" t="n">
        <v>2024</v>
      </c>
      <c r="E106" s="44" t="n">
        <v>28</v>
      </c>
      <c r="F106" s="44" t="s">
        <v>321</v>
      </c>
      <c r="G106" s="44" t="s">
        <v>408</v>
      </c>
      <c r="H106" s="44" t="s">
        <v>139</v>
      </c>
      <c r="I106" s="44" t="s">
        <v>176</v>
      </c>
      <c r="J106" s="44" t="s">
        <v>196</v>
      </c>
      <c r="K106" s="44" t="n">
        <v>3</v>
      </c>
      <c r="L106" s="46" t="n">
        <v>18.33</v>
      </c>
      <c r="M106" s="47" t="n">
        <v>4.38</v>
      </c>
      <c r="N106" s="46" t="n">
        <v>178.8</v>
      </c>
      <c r="O106" s="44" t="s">
        <v>308</v>
      </c>
      <c r="P106" s="44" t="s">
        <v>309</v>
      </c>
      <c r="Q106" s="44" t="s">
        <v>309</v>
      </c>
    </row>
    <row r="107" customFormat="false" ht="15" hidden="false" customHeight="false" outlineLevel="0" collapsed="false">
      <c r="A107" s="44" t="n">
        <v>106</v>
      </c>
      <c r="B107" s="45" t="n">
        <v>45374</v>
      </c>
      <c r="C107" s="44" t="n">
        <v>3</v>
      </c>
      <c r="D107" s="44" t="n">
        <v>2024</v>
      </c>
      <c r="E107" s="44" t="n">
        <v>23</v>
      </c>
      <c r="F107" s="44" t="s">
        <v>318</v>
      </c>
      <c r="G107" s="44" t="s">
        <v>409</v>
      </c>
      <c r="H107" s="44" t="s">
        <v>136</v>
      </c>
      <c r="I107" s="44" t="s">
        <v>176</v>
      </c>
      <c r="J107" s="44" t="s">
        <v>191</v>
      </c>
      <c r="K107" s="44" t="n">
        <v>1</v>
      </c>
      <c r="L107" s="46" t="n">
        <v>133.04</v>
      </c>
      <c r="M107" s="47" t="n">
        <v>0.39</v>
      </c>
      <c r="N107" s="46" t="n">
        <v>132.52</v>
      </c>
      <c r="O107" s="44" t="s">
        <v>309</v>
      </c>
      <c r="P107" s="44" t="s">
        <v>309</v>
      </c>
      <c r="Q107" s="44" t="s">
        <v>309</v>
      </c>
    </row>
    <row r="108" customFormat="false" ht="15" hidden="false" customHeight="false" outlineLevel="0" collapsed="false">
      <c r="A108" s="44" t="n">
        <v>107</v>
      </c>
      <c r="B108" s="45" t="n">
        <v>45496</v>
      </c>
      <c r="C108" s="44" t="n">
        <v>7</v>
      </c>
      <c r="D108" s="44" t="n">
        <v>2024</v>
      </c>
      <c r="E108" s="44" t="n">
        <v>23</v>
      </c>
      <c r="F108" s="44" t="s">
        <v>310</v>
      </c>
      <c r="G108" s="44" t="s">
        <v>410</v>
      </c>
      <c r="H108" s="44" t="s">
        <v>136</v>
      </c>
      <c r="I108" s="44" t="s">
        <v>176</v>
      </c>
      <c r="J108" s="44" t="s">
        <v>197</v>
      </c>
      <c r="K108" s="44" t="n">
        <v>2</v>
      </c>
      <c r="L108" s="46" t="n">
        <v>10.81</v>
      </c>
      <c r="M108" s="47" t="n">
        <v>2.08</v>
      </c>
      <c r="N108" s="46" t="n">
        <v>21.17</v>
      </c>
      <c r="O108" s="44" t="s">
        <v>309</v>
      </c>
      <c r="P108" s="44" t="s">
        <v>309</v>
      </c>
      <c r="Q108" s="44" t="s">
        <v>309</v>
      </c>
    </row>
    <row r="109" customFormat="false" ht="15" hidden="false" customHeight="false" outlineLevel="0" collapsed="false">
      <c r="A109" s="44" t="n">
        <v>108</v>
      </c>
      <c r="B109" s="45" t="n">
        <v>45529</v>
      </c>
      <c r="C109" s="44" t="n">
        <v>8</v>
      </c>
      <c r="D109" s="44" t="n">
        <v>2024</v>
      </c>
      <c r="E109" s="44" t="n">
        <v>25</v>
      </c>
      <c r="F109" s="44" t="s">
        <v>312</v>
      </c>
      <c r="G109" s="44" t="s">
        <v>339</v>
      </c>
      <c r="H109" s="44" t="s">
        <v>139</v>
      </c>
      <c r="I109" s="44" t="s">
        <v>174</v>
      </c>
      <c r="J109" s="44" t="s">
        <v>195</v>
      </c>
      <c r="K109" s="44" t="n">
        <v>2</v>
      </c>
      <c r="L109" s="46" t="n">
        <v>56.75</v>
      </c>
      <c r="M109" s="47" t="n">
        <v>1.49</v>
      </c>
      <c r="N109" s="46" t="n">
        <v>111.81</v>
      </c>
      <c r="O109" s="44" t="s">
        <v>309</v>
      </c>
      <c r="P109" s="44" t="s">
        <v>309</v>
      </c>
      <c r="Q109" s="44" t="s">
        <v>309</v>
      </c>
    </row>
    <row r="110" customFormat="false" ht="15" hidden="false" customHeight="false" outlineLevel="0" collapsed="false">
      <c r="A110" s="44" t="n">
        <v>109</v>
      </c>
      <c r="B110" s="45" t="n">
        <v>45531</v>
      </c>
      <c r="C110" s="44" t="n">
        <v>8</v>
      </c>
      <c r="D110" s="44" t="n">
        <v>2024</v>
      </c>
      <c r="E110" s="44" t="n">
        <v>27</v>
      </c>
      <c r="F110" s="44" t="s">
        <v>310</v>
      </c>
      <c r="G110" s="44" t="s">
        <v>411</v>
      </c>
      <c r="H110" s="44" t="s">
        <v>134</v>
      </c>
      <c r="I110" s="44" t="s">
        <v>172</v>
      </c>
      <c r="J110" s="44" t="s">
        <v>192</v>
      </c>
      <c r="K110" s="44" t="n">
        <v>6</v>
      </c>
      <c r="L110" s="46" t="n">
        <v>225.32</v>
      </c>
      <c r="M110" s="47" t="n">
        <v>9.64</v>
      </c>
      <c r="N110" s="46" t="n">
        <v>1221.59</v>
      </c>
      <c r="O110" s="44" t="s">
        <v>309</v>
      </c>
      <c r="P110" s="44" t="s">
        <v>317</v>
      </c>
      <c r="Q110" s="44" t="s">
        <v>309</v>
      </c>
    </row>
    <row r="111" customFormat="false" ht="15" hidden="false" customHeight="false" outlineLevel="0" collapsed="false">
      <c r="A111" s="44" t="n">
        <v>110</v>
      </c>
      <c r="B111" s="45" t="n">
        <v>45327</v>
      </c>
      <c r="C111" s="44" t="n">
        <v>2</v>
      </c>
      <c r="D111" s="44" t="n">
        <v>2024</v>
      </c>
      <c r="E111" s="44" t="n">
        <v>5</v>
      </c>
      <c r="F111" s="44" t="s">
        <v>328</v>
      </c>
      <c r="G111" s="44" t="s">
        <v>394</v>
      </c>
      <c r="H111" s="44" t="s">
        <v>136</v>
      </c>
      <c r="I111" s="44" t="s">
        <v>174</v>
      </c>
      <c r="J111" s="44" t="s">
        <v>195</v>
      </c>
      <c r="K111" s="44" t="n">
        <v>2</v>
      </c>
      <c r="L111" s="46" t="n">
        <v>7.1</v>
      </c>
      <c r="M111" s="47" t="n">
        <v>2.44</v>
      </c>
      <c r="N111" s="46" t="n">
        <v>13.85</v>
      </c>
      <c r="O111" s="44" t="s">
        <v>309</v>
      </c>
      <c r="P111" s="44" t="s">
        <v>309</v>
      </c>
      <c r="Q111" s="44" t="s">
        <v>309</v>
      </c>
    </row>
    <row r="112" customFormat="false" ht="15" hidden="false" customHeight="false" outlineLevel="0" collapsed="false">
      <c r="A112" s="44" t="n">
        <v>111</v>
      </c>
      <c r="B112" s="45" t="n">
        <v>45422</v>
      </c>
      <c r="C112" s="44" t="n">
        <v>5</v>
      </c>
      <c r="D112" s="44" t="n">
        <v>2024</v>
      </c>
      <c r="E112" s="44" t="n">
        <v>10</v>
      </c>
      <c r="F112" s="44" t="s">
        <v>325</v>
      </c>
      <c r="G112" s="44" t="s">
        <v>336</v>
      </c>
      <c r="H112" s="44" t="s">
        <v>138</v>
      </c>
      <c r="I112" s="44" t="s">
        <v>176</v>
      </c>
      <c r="J112" s="44" t="s">
        <v>192</v>
      </c>
      <c r="K112" s="44" t="n">
        <v>4</v>
      </c>
      <c r="L112" s="46" t="n">
        <v>26.69</v>
      </c>
      <c r="M112" s="47" t="n">
        <v>4.07</v>
      </c>
      <c r="N112" s="46" t="n">
        <v>493.54</v>
      </c>
      <c r="O112" s="44" t="s">
        <v>308</v>
      </c>
      <c r="P112" s="44" t="s">
        <v>309</v>
      </c>
      <c r="Q112" s="44" t="s">
        <v>309</v>
      </c>
    </row>
    <row r="113" customFormat="false" ht="15" hidden="false" customHeight="false" outlineLevel="0" collapsed="false">
      <c r="A113" s="44" t="n">
        <v>112</v>
      </c>
      <c r="B113" s="45" t="n">
        <v>45426</v>
      </c>
      <c r="C113" s="44" t="n">
        <v>5</v>
      </c>
      <c r="D113" s="44" t="n">
        <v>2024</v>
      </c>
      <c r="E113" s="44" t="n">
        <v>14</v>
      </c>
      <c r="F113" s="44" t="s">
        <v>310</v>
      </c>
      <c r="G113" s="44" t="s">
        <v>412</v>
      </c>
      <c r="H113" s="44" t="s">
        <v>134</v>
      </c>
      <c r="I113" s="44" t="s">
        <v>172</v>
      </c>
      <c r="J113" s="44" t="s">
        <v>191</v>
      </c>
      <c r="K113" s="44" t="n">
        <v>3</v>
      </c>
      <c r="L113" s="46" t="n">
        <v>3.01</v>
      </c>
      <c r="M113" s="47" t="n">
        <v>1.66</v>
      </c>
      <c r="N113" s="46" t="n">
        <v>8.88</v>
      </c>
      <c r="O113" s="44" t="s">
        <v>309</v>
      </c>
      <c r="P113" s="44" t="s">
        <v>317</v>
      </c>
      <c r="Q113" s="44" t="s">
        <v>309</v>
      </c>
    </row>
    <row r="114" customFormat="false" ht="15" hidden="false" customHeight="false" outlineLevel="0" collapsed="false">
      <c r="A114" s="44" t="n">
        <v>113</v>
      </c>
      <c r="B114" s="45" t="n">
        <v>45583</v>
      </c>
      <c r="C114" s="44" t="n">
        <v>10</v>
      </c>
      <c r="D114" s="44" t="n">
        <v>2024</v>
      </c>
      <c r="E114" s="44" t="n">
        <v>18</v>
      </c>
      <c r="F114" s="44" t="s">
        <v>325</v>
      </c>
      <c r="G114" s="44" t="s">
        <v>413</v>
      </c>
      <c r="H114" s="44" t="s">
        <v>135</v>
      </c>
      <c r="I114" s="44" t="s">
        <v>174</v>
      </c>
      <c r="J114" s="44" t="s">
        <v>194</v>
      </c>
      <c r="K114" s="44" t="n">
        <v>2</v>
      </c>
      <c r="L114" s="46" t="n">
        <v>31.96</v>
      </c>
      <c r="M114" s="47" t="n">
        <v>1.96</v>
      </c>
      <c r="N114" s="46" t="n">
        <v>62.67</v>
      </c>
      <c r="O114" s="44" t="s">
        <v>309</v>
      </c>
      <c r="P114" s="44" t="s">
        <v>317</v>
      </c>
      <c r="Q114" s="44" t="s">
        <v>309</v>
      </c>
    </row>
    <row r="115" customFormat="false" ht="15" hidden="false" customHeight="false" outlineLevel="0" collapsed="false">
      <c r="A115" s="44" t="n">
        <v>114</v>
      </c>
      <c r="B115" s="45" t="n">
        <v>45402</v>
      </c>
      <c r="C115" s="44" t="n">
        <v>4</v>
      </c>
      <c r="D115" s="44" t="n">
        <v>2024</v>
      </c>
      <c r="E115" s="44" t="n">
        <v>20</v>
      </c>
      <c r="F115" s="44" t="s">
        <v>318</v>
      </c>
      <c r="G115" s="44" t="s">
        <v>414</v>
      </c>
      <c r="H115" s="44" t="s">
        <v>140</v>
      </c>
      <c r="I115" s="44" t="s">
        <v>174</v>
      </c>
      <c r="J115" s="44" t="s">
        <v>206</v>
      </c>
      <c r="K115" s="44" t="n">
        <v>3</v>
      </c>
      <c r="L115" s="46" t="n">
        <v>11.31</v>
      </c>
      <c r="M115" s="47" t="n">
        <v>3.63</v>
      </c>
      <c r="N115" s="46" t="n">
        <v>85.17</v>
      </c>
      <c r="O115" s="44" t="s">
        <v>308</v>
      </c>
      <c r="P115" s="44" t="s">
        <v>309</v>
      </c>
      <c r="Q115" s="44" t="s">
        <v>309</v>
      </c>
    </row>
    <row r="116" customFormat="false" ht="15" hidden="false" customHeight="false" outlineLevel="0" collapsed="false">
      <c r="A116" s="44" t="n">
        <v>115</v>
      </c>
      <c r="B116" s="45" t="n">
        <v>45651</v>
      </c>
      <c r="C116" s="44" t="n">
        <v>12</v>
      </c>
      <c r="D116" s="44" t="n">
        <v>2024</v>
      </c>
      <c r="E116" s="44" t="n">
        <v>25</v>
      </c>
      <c r="F116" s="44" t="s">
        <v>321</v>
      </c>
      <c r="G116" s="44" t="s">
        <v>415</v>
      </c>
      <c r="H116" s="44" t="s">
        <v>134</v>
      </c>
      <c r="I116" s="44" t="s">
        <v>176</v>
      </c>
      <c r="J116" s="44" t="s">
        <v>199</v>
      </c>
      <c r="K116" s="44" t="n">
        <v>1</v>
      </c>
      <c r="L116" s="46" t="n">
        <v>29.18</v>
      </c>
      <c r="M116" s="47" t="n">
        <v>0</v>
      </c>
      <c r="N116" s="46" t="n">
        <v>19.47</v>
      </c>
      <c r="O116" s="44" t="s">
        <v>308</v>
      </c>
      <c r="P116" s="44" t="s">
        <v>309</v>
      </c>
      <c r="Q116" s="44" t="s">
        <v>309</v>
      </c>
    </row>
    <row r="117" customFormat="false" ht="15" hidden="false" customHeight="false" outlineLevel="0" collapsed="false">
      <c r="A117" s="44" t="n">
        <v>116</v>
      </c>
      <c r="B117" s="45" t="n">
        <v>45527</v>
      </c>
      <c r="C117" s="44" t="n">
        <v>8</v>
      </c>
      <c r="D117" s="44" t="n">
        <v>2024</v>
      </c>
      <c r="E117" s="44" t="n">
        <v>23</v>
      </c>
      <c r="F117" s="44" t="s">
        <v>325</v>
      </c>
      <c r="G117" s="44" t="s">
        <v>313</v>
      </c>
      <c r="H117" s="44" t="s">
        <v>140</v>
      </c>
      <c r="I117" s="44" t="s">
        <v>173</v>
      </c>
      <c r="J117" s="44" t="s">
        <v>202</v>
      </c>
      <c r="K117" s="44" t="n">
        <v>5</v>
      </c>
      <c r="L117" s="46" t="n">
        <v>67.67</v>
      </c>
      <c r="M117" s="47" t="n">
        <v>6.58</v>
      </c>
      <c r="N117" s="46" t="n">
        <v>316.09</v>
      </c>
      <c r="O117" s="44" t="s">
        <v>309</v>
      </c>
      <c r="P117" s="44" t="s">
        <v>309</v>
      </c>
      <c r="Q117" s="44" t="s">
        <v>309</v>
      </c>
    </row>
    <row r="118" customFormat="false" ht="15" hidden="false" customHeight="false" outlineLevel="0" collapsed="false">
      <c r="A118" s="44" t="n">
        <v>117</v>
      </c>
      <c r="B118" s="45" t="n">
        <v>45434</v>
      </c>
      <c r="C118" s="44" t="n">
        <v>5</v>
      </c>
      <c r="D118" s="44" t="n">
        <v>2024</v>
      </c>
      <c r="E118" s="44" t="n">
        <v>22</v>
      </c>
      <c r="F118" s="44" t="s">
        <v>321</v>
      </c>
      <c r="G118" s="44" t="s">
        <v>416</v>
      </c>
      <c r="H118" s="44" t="s">
        <v>137</v>
      </c>
      <c r="I118" s="44" t="s">
        <v>172</v>
      </c>
      <c r="J118" s="44" t="s">
        <v>191</v>
      </c>
      <c r="K118" s="44" t="n">
        <v>3</v>
      </c>
      <c r="L118" s="46" t="n">
        <v>6.05</v>
      </c>
      <c r="M118" s="47" t="n">
        <v>4.08</v>
      </c>
      <c r="N118" s="46" t="n">
        <v>17.41</v>
      </c>
      <c r="O118" s="44" t="s">
        <v>309</v>
      </c>
      <c r="P118" s="44" t="s">
        <v>317</v>
      </c>
      <c r="Q118" s="44" t="s">
        <v>309</v>
      </c>
    </row>
    <row r="119" customFormat="false" ht="15" hidden="false" customHeight="false" outlineLevel="0" collapsed="false">
      <c r="A119" s="44" t="n">
        <v>118</v>
      </c>
      <c r="B119" s="45" t="n">
        <v>45353</v>
      </c>
      <c r="C119" s="44" t="n">
        <v>3</v>
      </c>
      <c r="D119" s="44" t="n">
        <v>2024</v>
      </c>
      <c r="E119" s="44" t="n">
        <v>2</v>
      </c>
      <c r="F119" s="44" t="s">
        <v>318</v>
      </c>
      <c r="G119" s="44" t="s">
        <v>417</v>
      </c>
      <c r="H119" s="44" t="s">
        <v>134</v>
      </c>
      <c r="I119" s="44" t="s">
        <v>172</v>
      </c>
      <c r="J119" s="44" t="s">
        <v>192</v>
      </c>
      <c r="K119" s="44" t="n">
        <v>8</v>
      </c>
      <c r="L119" s="46" t="n">
        <v>29.18</v>
      </c>
      <c r="M119" s="47" t="n">
        <v>1.905</v>
      </c>
      <c r="N119" s="46" t="n">
        <v>113.93</v>
      </c>
      <c r="O119" s="44" t="s">
        <v>308</v>
      </c>
      <c r="P119" s="44" t="s">
        <v>369</v>
      </c>
      <c r="Q119" s="44" t="s">
        <v>309</v>
      </c>
    </row>
    <row r="120" customFormat="false" ht="15" hidden="false" customHeight="false" outlineLevel="0" collapsed="false">
      <c r="A120" s="44" t="n">
        <v>119</v>
      </c>
      <c r="B120" s="45" t="n">
        <v>45588</v>
      </c>
      <c r="C120" s="44" t="n">
        <v>10</v>
      </c>
      <c r="D120" s="44" t="n">
        <v>2024</v>
      </c>
      <c r="E120" s="44" t="n">
        <v>23</v>
      </c>
      <c r="F120" s="44" t="s">
        <v>321</v>
      </c>
      <c r="G120" s="44" t="s">
        <v>418</v>
      </c>
      <c r="H120" s="44" t="s">
        <v>134</v>
      </c>
      <c r="I120" s="44" t="s">
        <v>176</v>
      </c>
      <c r="J120" s="44" t="s">
        <v>191</v>
      </c>
      <c r="K120" s="44" t="n">
        <v>1</v>
      </c>
      <c r="L120" s="46" t="n">
        <v>29.18</v>
      </c>
      <c r="M120" s="47" t="n">
        <v>1.905</v>
      </c>
      <c r="N120" s="46" t="n">
        <v>14.4</v>
      </c>
      <c r="O120" s="44" t="s">
        <v>308</v>
      </c>
      <c r="P120" s="44" t="s">
        <v>369</v>
      </c>
      <c r="Q120" s="44" t="s">
        <v>309</v>
      </c>
    </row>
    <row r="121" customFormat="false" ht="15" hidden="false" customHeight="false" outlineLevel="0" collapsed="false">
      <c r="A121" s="44" t="n">
        <v>120</v>
      </c>
      <c r="B121" s="45" t="n">
        <v>45618</v>
      </c>
      <c r="C121" s="44" t="n">
        <v>11</v>
      </c>
      <c r="D121" s="44" t="n">
        <v>2024</v>
      </c>
      <c r="E121" s="44" t="n">
        <v>22</v>
      </c>
      <c r="F121" s="44" t="s">
        <v>325</v>
      </c>
      <c r="G121" s="44" t="s">
        <v>335</v>
      </c>
      <c r="H121" s="44" t="s">
        <v>136</v>
      </c>
      <c r="I121" s="44" t="s">
        <v>172</v>
      </c>
      <c r="J121" s="44" t="s">
        <v>191</v>
      </c>
      <c r="K121" s="44" t="n">
        <v>3</v>
      </c>
      <c r="L121" s="46" t="n">
        <v>40.52</v>
      </c>
      <c r="M121" s="47" t="n">
        <v>4.34</v>
      </c>
      <c r="N121" s="46" t="n">
        <v>116.28</v>
      </c>
      <c r="O121" s="44" t="s">
        <v>309</v>
      </c>
      <c r="P121" s="44" t="s">
        <v>309</v>
      </c>
      <c r="Q121" s="44" t="s">
        <v>309</v>
      </c>
    </row>
    <row r="122" customFormat="false" ht="15" hidden="false" customHeight="false" outlineLevel="0" collapsed="false">
      <c r="A122" s="44" t="n">
        <v>121</v>
      </c>
      <c r="B122" s="45" t="n">
        <v>45521</v>
      </c>
      <c r="C122" s="44" t="n">
        <v>8</v>
      </c>
      <c r="D122" s="44" t="n">
        <v>2024</v>
      </c>
      <c r="E122" s="44" t="n">
        <v>17</v>
      </c>
      <c r="F122" s="44" t="s">
        <v>318</v>
      </c>
      <c r="G122" s="44" t="s">
        <v>419</v>
      </c>
      <c r="H122" s="44" t="s">
        <v>139</v>
      </c>
      <c r="I122" s="44" t="s">
        <v>173</v>
      </c>
      <c r="J122" s="44" t="s">
        <v>198</v>
      </c>
      <c r="K122" s="44" t="n">
        <v>2</v>
      </c>
      <c r="L122" s="46" t="n">
        <v>18.33</v>
      </c>
      <c r="M122" s="47" t="n">
        <v>0.15</v>
      </c>
      <c r="N122" s="46" t="n">
        <v>137.43</v>
      </c>
      <c r="O122" s="44" t="s">
        <v>308</v>
      </c>
      <c r="P122" s="44" t="s">
        <v>309</v>
      </c>
      <c r="Q122" s="44" t="s">
        <v>309</v>
      </c>
    </row>
    <row r="123" customFormat="false" ht="15" hidden="false" customHeight="false" outlineLevel="0" collapsed="false">
      <c r="A123" s="44" t="n">
        <v>122</v>
      </c>
      <c r="B123" s="45" t="n">
        <v>45612</v>
      </c>
      <c r="C123" s="44" t="n">
        <v>11</v>
      </c>
      <c r="D123" s="44" t="n">
        <v>2024</v>
      </c>
      <c r="E123" s="44" t="n">
        <v>16</v>
      </c>
      <c r="F123" s="44" t="s">
        <v>318</v>
      </c>
      <c r="G123" s="44" t="s">
        <v>420</v>
      </c>
      <c r="H123" s="44" t="s">
        <v>140</v>
      </c>
      <c r="I123" s="44" t="s">
        <v>174</v>
      </c>
      <c r="J123" s="44" t="s">
        <v>204</v>
      </c>
      <c r="K123" s="44" t="n">
        <v>1</v>
      </c>
      <c r="L123" s="46" t="n">
        <v>2.87</v>
      </c>
      <c r="M123" s="47" t="n">
        <v>0.35</v>
      </c>
      <c r="N123" s="46" t="n">
        <v>2.86</v>
      </c>
      <c r="O123" s="44" t="s">
        <v>309</v>
      </c>
      <c r="P123" s="44" t="s">
        <v>317</v>
      </c>
      <c r="Q123" s="44" t="s">
        <v>309</v>
      </c>
    </row>
    <row r="124" customFormat="false" ht="15" hidden="false" customHeight="false" outlineLevel="0" collapsed="false">
      <c r="A124" s="44" t="n">
        <v>123</v>
      </c>
      <c r="B124" s="45" t="n">
        <v>45608</v>
      </c>
      <c r="C124" s="44" t="n">
        <v>11</v>
      </c>
      <c r="D124" s="44" t="n">
        <v>2024</v>
      </c>
      <c r="E124" s="44" t="n">
        <v>12</v>
      </c>
      <c r="F124" s="44" t="s">
        <v>310</v>
      </c>
      <c r="G124" s="44" t="s">
        <v>421</v>
      </c>
      <c r="H124" s="44" t="s">
        <v>134</v>
      </c>
      <c r="I124" s="44" t="s">
        <v>172</v>
      </c>
      <c r="J124" s="44" t="s">
        <v>194</v>
      </c>
      <c r="K124" s="44" t="n">
        <v>1</v>
      </c>
      <c r="L124" s="46" t="n">
        <v>29.18</v>
      </c>
      <c r="M124" s="47" t="n">
        <v>1.66</v>
      </c>
      <c r="N124" s="46" t="n">
        <v>38.59</v>
      </c>
      <c r="O124" s="44" t="s">
        <v>308</v>
      </c>
      <c r="P124" s="44" t="s">
        <v>309</v>
      </c>
      <c r="Q124" s="44" t="s">
        <v>309</v>
      </c>
    </row>
    <row r="125" customFormat="false" ht="15" hidden="false" customHeight="false" outlineLevel="0" collapsed="false">
      <c r="A125" s="44" t="n">
        <v>124</v>
      </c>
      <c r="B125" s="45" t="n">
        <v>45499</v>
      </c>
      <c r="C125" s="44" t="n">
        <v>7</v>
      </c>
      <c r="D125" s="44" t="n">
        <v>2024</v>
      </c>
      <c r="E125" s="44" t="n">
        <v>26</v>
      </c>
      <c r="F125" s="44" t="s">
        <v>325</v>
      </c>
      <c r="G125" s="44" t="s">
        <v>422</v>
      </c>
      <c r="H125" s="44" t="s">
        <v>136</v>
      </c>
      <c r="I125" s="44" t="s">
        <v>172</v>
      </c>
      <c r="J125" s="44" t="s">
        <v>194</v>
      </c>
      <c r="K125" s="44" t="n">
        <v>5</v>
      </c>
      <c r="L125" s="46" t="n">
        <v>21.67</v>
      </c>
      <c r="M125" s="47" t="n">
        <v>8.33</v>
      </c>
      <c r="N125" s="46" t="n">
        <v>18.79</v>
      </c>
      <c r="O125" s="44" t="s">
        <v>308</v>
      </c>
      <c r="P125" s="44" t="s">
        <v>309</v>
      </c>
      <c r="Q125" s="44" t="s">
        <v>309</v>
      </c>
    </row>
    <row r="126" customFormat="false" ht="15" hidden="false" customHeight="false" outlineLevel="0" collapsed="false">
      <c r="A126" s="44" t="n">
        <v>125</v>
      </c>
      <c r="B126" s="45" t="n">
        <v>45534</v>
      </c>
      <c r="C126" s="44" t="n">
        <v>8</v>
      </c>
      <c r="D126" s="44" t="n">
        <v>2024</v>
      </c>
      <c r="E126" s="44" t="n">
        <v>30</v>
      </c>
      <c r="F126" s="44" t="s">
        <v>325</v>
      </c>
      <c r="G126" s="44" t="s">
        <v>389</v>
      </c>
      <c r="H126" s="44" t="s">
        <v>134</v>
      </c>
      <c r="I126" s="44" t="s">
        <v>172</v>
      </c>
      <c r="J126" s="44" t="s">
        <v>202</v>
      </c>
      <c r="K126" s="44" t="n">
        <v>1</v>
      </c>
      <c r="L126" s="46" t="n">
        <v>5.12</v>
      </c>
      <c r="M126" s="47" t="n">
        <v>0.59</v>
      </c>
      <c r="N126" s="46" t="n">
        <v>5.09</v>
      </c>
      <c r="O126" s="44" t="s">
        <v>309</v>
      </c>
      <c r="P126" s="44" t="s">
        <v>317</v>
      </c>
      <c r="Q126" s="44" t="s">
        <v>309</v>
      </c>
    </row>
    <row r="127" customFormat="false" ht="15" hidden="false" customHeight="false" outlineLevel="0" collapsed="false">
      <c r="A127" s="44" t="n">
        <v>126</v>
      </c>
      <c r="B127" s="45" t="n">
        <v>45433</v>
      </c>
      <c r="C127" s="44" t="n">
        <v>5</v>
      </c>
      <c r="D127" s="44" t="n">
        <v>2024</v>
      </c>
      <c r="E127" s="44" t="n">
        <v>21</v>
      </c>
      <c r="F127" s="44" t="s">
        <v>310</v>
      </c>
      <c r="G127" s="44" t="s">
        <v>415</v>
      </c>
      <c r="H127" s="44" t="s">
        <v>140</v>
      </c>
      <c r="I127" s="44" t="s">
        <v>176</v>
      </c>
      <c r="J127" s="44" t="s">
        <v>206</v>
      </c>
      <c r="K127" s="44" t="n">
        <v>2</v>
      </c>
      <c r="L127" s="46" t="n">
        <v>11.31</v>
      </c>
      <c r="M127" s="47" t="n">
        <v>1.6</v>
      </c>
      <c r="N127" s="46" t="n">
        <v>29.48</v>
      </c>
      <c r="O127" s="44" t="s">
        <v>308</v>
      </c>
      <c r="P127" s="44" t="s">
        <v>309</v>
      </c>
      <c r="Q127" s="44" t="s">
        <v>309</v>
      </c>
    </row>
    <row r="128" customFormat="false" ht="15" hidden="false" customHeight="false" outlineLevel="0" collapsed="false">
      <c r="A128" s="44" t="n">
        <v>127</v>
      </c>
      <c r="B128" s="45" t="n">
        <v>45466</v>
      </c>
      <c r="C128" s="44" t="n">
        <v>6</v>
      </c>
      <c r="D128" s="44" t="n">
        <v>2024</v>
      </c>
      <c r="E128" s="44" t="n">
        <v>23</v>
      </c>
      <c r="F128" s="44" t="s">
        <v>312</v>
      </c>
      <c r="G128" s="44" t="s">
        <v>423</v>
      </c>
      <c r="H128" s="44" t="s">
        <v>136</v>
      </c>
      <c r="I128" s="44" t="s">
        <v>173</v>
      </c>
      <c r="J128" s="44" t="s">
        <v>204</v>
      </c>
      <c r="K128" s="44" t="n">
        <v>3</v>
      </c>
      <c r="L128" s="46" t="n">
        <v>5.6</v>
      </c>
      <c r="M128" s="47" t="n">
        <v>1.96</v>
      </c>
      <c r="N128" s="46" t="n">
        <v>16.47</v>
      </c>
      <c r="O128" s="44" t="s">
        <v>309</v>
      </c>
      <c r="P128" s="44" t="s">
        <v>317</v>
      </c>
      <c r="Q128" s="44" t="s">
        <v>309</v>
      </c>
    </row>
    <row r="129" customFormat="false" ht="15" hidden="false" customHeight="false" outlineLevel="0" collapsed="false">
      <c r="A129" s="44" t="n">
        <v>128</v>
      </c>
      <c r="B129" s="45" t="n">
        <v>45412</v>
      </c>
      <c r="C129" s="44" t="n">
        <v>4</v>
      </c>
      <c r="D129" s="44" t="n">
        <v>2024</v>
      </c>
      <c r="E129" s="44" t="n">
        <v>30</v>
      </c>
      <c r="F129" s="44" t="s">
        <v>310</v>
      </c>
      <c r="G129" s="44" t="s">
        <v>424</v>
      </c>
      <c r="H129" s="44" t="s">
        <v>135</v>
      </c>
      <c r="I129" s="44" t="s">
        <v>174</v>
      </c>
      <c r="J129" s="44" t="s">
        <v>195</v>
      </c>
      <c r="K129" s="44" t="n">
        <v>2</v>
      </c>
      <c r="L129" s="46" t="n">
        <v>2.68</v>
      </c>
      <c r="M129" s="47" t="n">
        <v>0</v>
      </c>
      <c r="N129" s="46" t="n">
        <v>5.36</v>
      </c>
      <c r="O129" s="44" t="s">
        <v>309</v>
      </c>
      <c r="P129" s="44" t="s">
        <v>309</v>
      </c>
      <c r="Q129" s="44" t="s">
        <v>309</v>
      </c>
    </row>
    <row r="130" customFormat="false" ht="15" hidden="false" customHeight="false" outlineLevel="0" collapsed="false">
      <c r="A130" s="44" t="n">
        <v>129</v>
      </c>
      <c r="B130" s="45" t="n">
        <v>45474</v>
      </c>
      <c r="C130" s="44" t="n">
        <v>7</v>
      </c>
      <c r="D130" s="44" t="n">
        <v>2024</v>
      </c>
      <c r="E130" s="44" t="n">
        <v>1</v>
      </c>
      <c r="F130" s="44" t="s">
        <v>328</v>
      </c>
      <c r="G130" s="44" t="s">
        <v>334</v>
      </c>
      <c r="H130" s="44" t="s">
        <v>135</v>
      </c>
      <c r="I130" s="44" t="s">
        <v>174</v>
      </c>
      <c r="J130" s="44" t="s">
        <v>206</v>
      </c>
      <c r="K130" s="44" t="n">
        <v>1</v>
      </c>
      <c r="L130" s="46" t="n">
        <v>21.67</v>
      </c>
      <c r="M130" s="47" t="n">
        <v>0.09</v>
      </c>
      <c r="N130" s="46" t="n">
        <v>21.65</v>
      </c>
      <c r="O130" s="44" t="s">
        <v>309</v>
      </c>
      <c r="P130" s="44" t="s">
        <v>309</v>
      </c>
      <c r="Q130" s="44" t="s">
        <v>309</v>
      </c>
    </row>
    <row r="131" customFormat="false" ht="15" hidden="false" customHeight="false" outlineLevel="0" collapsed="false">
      <c r="A131" s="44" t="n">
        <v>130</v>
      </c>
      <c r="B131" s="45" t="n">
        <v>45599</v>
      </c>
      <c r="C131" s="44" t="n">
        <v>11</v>
      </c>
      <c r="D131" s="44" t="n">
        <v>2024</v>
      </c>
      <c r="E131" s="44" t="n">
        <v>3</v>
      </c>
      <c r="F131" s="44" t="s">
        <v>312</v>
      </c>
      <c r="G131" s="44" t="s">
        <v>425</v>
      </c>
      <c r="H131" s="44" t="s">
        <v>138</v>
      </c>
      <c r="I131" s="44" t="s">
        <v>172</v>
      </c>
      <c r="J131" s="44" t="s">
        <v>195</v>
      </c>
      <c r="K131" s="44" t="n">
        <v>4</v>
      </c>
      <c r="L131" s="46" t="n">
        <v>3.5</v>
      </c>
      <c r="M131" s="47" t="n">
        <v>3.4</v>
      </c>
      <c r="N131" s="46" t="n">
        <v>13.52</v>
      </c>
      <c r="O131" s="44" t="s">
        <v>309</v>
      </c>
      <c r="P131" s="44" t="s">
        <v>309</v>
      </c>
      <c r="Q131" s="44" t="s">
        <v>309</v>
      </c>
    </row>
    <row r="132" customFormat="false" ht="15" hidden="false" customHeight="false" outlineLevel="0" collapsed="false">
      <c r="A132" s="44" t="n">
        <v>131</v>
      </c>
      <c r="B132" s="45" t="n">
        <v>45391</v>
      </c>
      <c r="C132" s="44" t="n">
        <v>4</v>
      </c>
      <c r="D132" s="44" t="n">
        <v>2024</v>
      </c>
      <c r="E132" s="44" t="n">
        <v>9</v>
      </c>
      <c r="F132" s="44" t="s">
        <v>310</v>
      </c>
      <c r="G132" s="44" t="s">
        <v>426</v>
      </c>
      <c r="H132" s="44" t="s">
        <v>134</v>
      </c>
      <c r="I132" s="44" t="s">
        <v>174</v>
      </c>
      <c r="J132" s="44" t="s">
        <v>194</v>
      </c>
      <c r="K132" s="44" t="n">
        <v>1</v>
      </c>
      <c r="L132" s="46" t="n">
        <v>29.18</v>
      </c>
      <c r="M132" s="47" t="n">
        <v>0.83</v>
      </c>
      <c r="N132" s="46" t="n">
        <v>26.25</v>
      </c>
      <c r="O132" s="44" t="s">
        <v>308</v>
      </c>
      <c r="P132" s="44" t="s">
        <v>309</v>
      </c>
      <c r="Q132" s="44" t="s">
        <v>309</v>
      </c>
    </row>
    <row r="133" customFormat="false" ht="15" hidden="false" customHeight="false" outlineLevel="0" collapsed="false">
      <c r="A133" s="44" t="n">
        <v>132</v>
      </c>
      <c r="B133" s="45" t="n">
        <v>45560</v>
      </c>
      <c r="C133" s="44" t="n">
        <v>9</v>
      </c>
      <c r="D133" s="44" t="n">
        <v>2024</v>
      </c>
      <c r="E133" s="44" t="n">
        <v>25</v>
      </c>
      <c r="F133" s="44" t="s">
        <v>321</v>
      </c>
      <c r="G133" s="44" t="s">
        <v>427</v>
      </c>
      <c r="H133" s="44" t="s">
        <v>138</v>
      </c>
      <c r="I133" s="44" t="s">
        <v>173</v>
      </c>
      <c r="J133" s="44" t="s">
        <v>197</v>
      </c>
      <c r="K133" s="44" t="n">
        <v>6</v>
      </c>
      <c r="L133" s="46" t="n">
        <v>96.13</v>
      </c>
      <c r="M133" s="47" t="n">
        <v>7.69</v>
      </c>
      <c r="N133" s="46" t="n">
        <v>532.43</v>
      </c>
      <c r="O133" s="44" t="s">
        <v>309</v>
      </c>
      <c r="P133" s="44" t="s">
        <v>309</v>
      </c>
      <c r="Q133" s="44" t="s">
        <v>309</v>
      </c>
    </row>
    <row r="134" customFormat="false" ht="15" hidden="false" customHeight="false" outlineLevel="0" collapsed="false">
      <c r="A134" s="44" t="n">
        <v>133</v>
      </c>
      <c r="B134" s="45" t="n">
        <v>45363</v>
      </c>
      <c r="C134" s="44" t="n">
        <v>3</v>
      </c>
      <c r="D134" s="44" t="n">
        <v>2024</v>
      </c>
      <c r="E134" s="44" t="n">
        <v>12</v>
      </c>
      <c r="F134" s="44" t="s">
        <v>310</v>
      </c>
      <c r="G134" s="44" t="s">
        <v>428</v>
      </c>
      <c r="H134" s="44" t="s">
        <v>135</v>
      </c>
      <c r="I134" s="44" t="s">
        <v>173</v>
      </c>
      <c r="J134" s="44" t="s">
        <v>206</v>
      </c>
      <c r="K134" s="44" t="n">
        <v>1</v>
      </c>
      <c r="L134" s="46" t="n">
        <v>45.25</v>
      </c>
      <c r="M134" s="47" t="n">
        <v>0.8</v>
      </c>
      <c r="N134" s="46" t="n">
        <v>44.89</v>
      </c>
      <c r="O134" s="44" t="s">
        <v>309</v>
      </c>
      <c r="P134" s="44" t="s">
        <v>309</v>
      </c>
      <c r="Q134" s="44" t="s">
        <v>309</v>
      </c>
    </row>
    <row r="135" customFormat="false" ht="15" hidden="false" customHeight="false" outlineLevel="0" collapsed="false">
      <c r="A135" s="44" t="n">
        <v>134</v>
      </c>
      <c r="B135" s="45" t="n">
        <v>45649</v>
      </c>
      <c r="C135" s="44" t="n">
        <v>12</v>
      </c>
      <c r="D135" s="44" t="n">
        <v>2024</v>
      </c>
      <c r="E135" s="44" t="n">
        <v>23</v>
      </c>
      <c r="F135" s="44" t="s">
        <v>328</v>
      </c>
      <c r="G135" s="44" t="s">
        <v>429</v>
      </c>
      <c r="H135" s="44" t="s">
        <v>134</v>
      </c>
      <c r="I135" s="44" t="s">
        <v>174</v>
      </c>
      <c r="J135" s="44" t="s">
        <v>193</v>
      </c>
      <c r="K135" s="44" t="n">
        <v>1</v>
      </c>
      <c r="L135" s="46" t="n">
        <v>29.18</v>
      </c>
      <c r="M135" s="47" t="n">
        <v>1.905</v>
      </c>
      <c r="N135" s="46" t="n">
        <v>3.02</v>
      </c>
      <c r="O135" s="44" t="s">
        <v>308</v>
      </c>
      <c r="P135" s="44" t="s">
        <v>369</v>
      </c>
      <c r="Q135" s="44" t="s">
        <v>309</v>
      </c>
    </row>
    <row r="136" customFormat="false" ht="15" hidden="false" customHeight="false" outlineLevel="0" collapsed="false">
      <c r="A136" s="44" t="n">
        <v>135</v>
      </c>
      <c r="B136" s="45" t="n">
        <v>45570</v>
      </c>
      <c r="C136" s="44" t="n">
        <v>10</v>
      </c>
      <c r="D136" s="44" t="n">
        <v>2024</v>
      </c>
      <c r="E136" s="44" t="n">
        <v>5</v>
      </c>
      <c r="F136" s="44" t="s">
        <v>318</v>
      </c>
      <c r="G136" s="44" t="s">
        <v>332</v>
      </c>
      <c r="H136" s="44" t="s">
        <v>140</v>
      </c>
      <c r="I136" s="44" t="s">
        <v>174</v>
      </c>
      <c r="J136" s="44" t="s">
        <v>200</v>
      </c>
      <c r="K136" s="44" t="n">
        <v>4</v>
      </c>
      <c r="L136" s="46" t="n">
        <v>68.77</v>
      </c>
      <c r="M136" s="47" t="n">
        <v>6.37</v>
      </c>
      <c r="N136" s="46" t="n">
        <v>257.56</v>
      </c>
      <c r="O136" s="44" t="s">
        <v>309</v>
      </c>
      <c r="P136" s="44" t="s">
        <v>309</v>
      </c>
      <c r="Q136" s="44" t="s">
        <v>309</v>
      </c>
    </row>
    <row r="137" customFormat="false" ht="15" hidden="false" customHeight="false" outlineLevel="0" collapsed="false">
      <c r="A137" s="44" t="n">
        <v>136</v>
      </c>
      <c r="B137" s="45" t="n">
        <v>45429</v>
      </c>
      <c r="C137" s="44" t="n">
        <v>5</v>
      </c>
      <c r="D137" s="44" t="n">
        <v>2024</v>
      </c>
      <c r="E137" s="44" t="n">
        <v>17</v>
      </c>
      <c r="F137" s="44" t="s">
        <v>325</v>
      </c>
      <c r="G137" s="44" t="s">
        <v>371</v>
      </c>
      <c r="H137" s="44" t="s">
        <v>136</v>
      </c>
      <c r="I137" s="44" t="s">
        <v>172</v>
      </c>
      <c r="J137" s="44" t="s">
        <v>197</v>
      </c>
      <c r="K137" s="44" t="n">
        <v>1</v>
      </c>
      <c r="L137" s="46" t="n">
        <v>21.67</v>
      </c>
      <c r="M137" s="47" t="n">
        <v>0.64</v>
      </c>
      <c r="N137" s="46" t="n">
        <v>11.72</v>
      </c>
      <c r="O137" s="44" t="s">
        <v>308</v>
      </c>
      <c r="P137" s="44" t="s">
        <v>309</v>
      </c>
      <c r="Q137" s="44" t="s">
        <v>309</v>
      </c>
    </row>
    <row r="138" customFormat="false" ht="15" hidden="false" customHeight="false" outlineLevel="0" collapsed="false">
      <c r="A138" s="44" t="n">
        <v>137</v>
      </c>
      <c r="B138" s="45" t="n">
        <v>45372</v>
      </c>
      <c r="C138" s="44" t="n">
        <v>3</v>
      </c>
      <c r="D138" s="44" t="n">
        <v>2024</v>
      </c>
      <c r="E138" s="44" t="n">
        <v>21</v>
      </c>
      <c r="F138" s="44" t="s">
        <v>306</v>
      </c>
      <c r="G138" s="44" t="s">
        <v>396</v>
      </c>
      <c r="H138" s="44" t="s">
        <v>140</v>
      </c>
      <c r="I138" s="44" t="s">
        <v>176</v>
      </c>
      <c r="J138" s="44" t="s">
        <v>191</v>
      </c>
      <c r="K138" s="44" t="n">
        <v>1</v>
      </c>
      <c r="L138" s="46" t="n">
        <v>1.9</v>
      </c>
      <c r="M138" s="47" t="n">
        <v>1.69</v>
      </c>
      <c r="N138" s="46" t="n">
        <v>1.87</v>
      </c>
      <c r="O138" s="44" t="s">
        <v>309</v>
      </c>
      <c r="P138" s="44" t="s">
        <v>309</v>
      </c>
      <c r="Q138" s="44" t="s">
        <v>309</v>
      </c>
    </row>
    <row r="139" customFormat="false" ht="15" hidden="false" customHeight="false" outlineLevel="0" collapsed="false">
      <c r="A139" s="44" t="n">
        <v>138</v>
      </c>
      <c r="B139" s="45" t="n">
        <v>45417</v>
      </c>
      <c r="C139" s="44" t="n">
        <v>5</v>
      </c>
      <c r="D139" s="44" t="n">
        <v>2024</v>
      </c>
      <c r="E139" s="44" t="n">
        <v>5</v>
      </c>
      <c r="F139" s="44" t="s">
        <v>312</v>
      </c>
      <c r="G139" s="44" t="s">
        <v>430</v>
      </c>
      <c r="H139" s="44" t="s">
        <v>134</v>
      </c>
      <c r="I139" s="44" t="s">
        <v>176</v>
      </c>
      <c r="J139" s="44" t="s">
        <v>206</v>
      </c>
      <c r="K139" s="44" t="n">
        <v>1</v>
      </c>
      <c r="L139" s="46" t="n">
        <v>29.18</v>
      </c>
      <c r="M139" s="47" t="n">
        <v>0.29</v>
      </c>
      <c r="N139" s="46" t="n">
        <v>100.32</v>
      </c>
      <c r="O139" s="44" t="s">
        <v>308</v>
      </c>
      <c r="P139" s="44" t="s">
        <v>309</v>
      </c>
      <c r="Q139" s="44" t="s">
        <v>309</v>
      </c>
    </row>
    <row r="140" customFormat="false" ht="15" hidden="false" customHeight="false" outlineLevel="0" collapsed="false">
      <c r="A140" s="44" t="n">
        <v>139</v>
      </c>
      <c r="B140" s="45" t="n">
        <v>45620</v>
      </c>
      <c r="C140" s="44" t="n">
        <v>11</v>
      </c>
      <c r="D140" s="44" t="n">
        <v>2024</v>
      </c>
      <c r="E140" s="44" t="n">
        <v>24</v>
      </c>
      <c r="F140" s="44" t="s">
        <v>312</v>
      </c>
      <c r="G140" s="44" t="s">
        <v>431</v>
      </c>
      <c r="H140" s="44" t="s">
        <v>140</v>
      </c>
      <c r="I140" s="44" t="s">
        <v>174</v>
      </c>
      <c r="J140" s="44" t="s">
        <v>197</v>
      </c>
      <c r="K140" s="44" t="n">
        <v>3</v>
      </c>
      <c r="L140" s="46" t="n">
        <v>41.93</v>
      </c>
      <c r="M140" s="47" t="n">
        <v>2.41</v>
      </c>
      <c r="N140" s="46" t="n">
        <v>122.76</v>
      </c>
      <c r="O140" s="44" t="s">
        <v>309</v>
      </c>
      <c r="P140" s="44" t="s">
        <v>317</v>
      </c>
      <c r="Q140" s="44" t="s">
        <v>309</v>
      </c>
    </row>
    <row r="141" customFormat="false" ht="15" hidden="false" customHeight="false" outlineLevel="0" collapsed="false">
      <c r="A141" s="44" t="n">
        <v>140</v>
      </c>
      <c r="B141" s="45" t="n">
        <v>45442</v>
      </c>
      <c r="C141" s="44" t="n">
        <v>5</v>
      </c>
      <c r="D141" s="44" t="n">
        <v>2024</v>
      </c>
      <c r="E141" s="44" t="n">
        <v>30</v>
      </c>
      <c r="F141" s="44" t="s">
        <v>306</v>
      </c>
      <c r="G141" s="44" t="s">
        <v>333</v>
      </c>
      <c r="H141" s="44" t="s">
        <v>134</v>
      </c>
      <c r="I141" s="44" t="s">
        <v>175</v>
      </c>
      <c r="J141" s="44" t="s">
        <v>204</v>
      </c>
      <c r="K141" s="44" t="n">
        <v>2</v>
      </c>
      <c r="L141" s="46" t="n">
        <v>3.93</v>
      </c>
      <c r="M141" s="47" t="n">
        <v>3.1</v>
      </c>
      <c r="N141" s="46" t="n">
        <v>7.62</v>
      </c>
      <c r="O141" s="44" t="s">
        <v>309</v>
      </c>
      <c r="P141" s="44" t="s">
        <v>309</v>
      </c>
      <c r="Q141" s="44" t="s">
        <v>309</v>
      </c>
    </row>
    <row r="142" customFormat="false" ht="15" hidden="false" customHeight="false" outlineLevel="0" collapsed="false">
      <c r="A142" s="44" t="n">
        <v>141</v>
      </c>
      <c r="B142" s="45" t="n">
        <v>45638</v>
      </c>
      <c r="C142" s="44" t="n">
        <v>12</v>
      </c>
      <c r="D142" s="44" t="n">
        <v>2024</v>
      </c>
      <c r="E142" s="44" t="n">
        <v>12</v>
      </c>
      <c r="F142" s="44" t="s">
        <v>306</v>
      </c>
      <c r="G142" s="44" t="s">
        <v>432</v>
      </c>
      <c r="H142" s="44" t="s">
        <v>140</v>
      </c>
      <c r="I142" s="44" t="s">
        <v>176</v>
      </c>
      <c r="J142" s="44" t="s">
        <v>202</v>
      </c>
      <c r="K142" s="44" t="n">
        <v>2</v>
      </c>
      <c r="L142" s="46" t="n">
        <v>11.31</v>
      </c>
      <c r="M142" s="47" t="n">
        <v>2.83</v>
      </c>
      <c r="N142" s="46" t="n">
        <v>4.72</v>
      </c>
      <c r="O142" s="44" t="s">
        <v>308</v>
      </c>
      <c r="P142" s="44" t="s">
        <v>309</v>
      </c>
      <c r="Q142" s="44" t="s">
        <v>309</v>
      </c>
    </row>
    <row r="143" customFormat="false" ht="15" hidden="false" customHeight="false" outlineLevel="0" collapsed="false">
      <c r="A143" s="44" t="n">
        <v>142</v>
      </c>
      <c r="B143" s="45" t="n">
        <v>45315</v>
      </c>
      <c r="C143" s="44" t="n">
        <v>1</v>
      </c>
      <c r="D143" s="44" t="n">
        <v>2024</v>
      </c>
      <c r="E143" s="44" t="n">
        <v>24</v>
      </c>
      <c r="F143" s="44" t="s">
        <v>321</v>
      </c>
      <c r="G143" s="44" t="s">
        <v>433</v>
      </c>
      <c r="H143" s="44" t="s">
        <v>135</v>
      </c>
      <c r="I143" s="44" t="s">
        <v>173</v>
      </c>
      <c r="J143" s="44" t="s">
        <v>196</v>
      </c>
      <c r="K143" s="44" t="n">
        <v>1</v>
      </c>
      <c r="L143" s="46" t="n">
        <v>12.73</v>
      </c>
      <c r="M143" s="47" t="n">
        <v>0</v>
      </c>
      <c r="N143" s="46" t="n">
        <v>12.73</v>
      </c>
      <c r="O143" s="44" t="s">
        <v>309</v>
      </c>
      <c r="P143" s="44" t="s">
        <v>309</v>
      </c>
      <c r="Q143" s="44" t="s">
        <v>309</v>
      </c>
    </row>
    <row r="144" customFormat="false" ht="15" hidden="false" customHeight="false" outlineLevel="0" collapsed="false">
      <c r="A144" s="44" t="n">
        <v>143</v>
      </c>
      <c r="B144" s="45" t="n">
        <v>45319</v>
      </c>
      <c r="C144" s="44" t="n">
        <v>1</v>
      </c>
      <c r="D144" s="44" t="n">
        <v>2024</v>
      </c>
      <c r="E144" s="44" t="n">
        <v>28</v>
      </c>
      <c r="F144" s="44" t="s">
        <v>312</v>
      </c>
      <c r="G144" s="44" t="s">
        <v>434</v>
      </c>
      <c r="H144" s="44" t="s">
        <v>135</v>
      </c>
      <c r="I144" s="44" t="s">
        <v>172</v>
      </c>
      <c r="J144" s="44" t="s">
        <v>202</v>
      </c>
      <c r="K144" s="44" t="n">
        <v>6</v>
      </c>
      <c r="L144" s="46" t="n">
        <v>30.44</v>
      </c>
      <c r="M144" s="47" t="n">
        <v>8.17</v>
      </c>
      <c r="N144" s="46" t="n">
        <v>27.77</v>
      </c>
      <c r="O144" s="44" t="s">
        <v>308</v>
      </c>
      <c r="P144" s="44" t="s">
        <v>309</v>
      </c>
      <c r="Q144" s="44" t="s">
        <v>309</v>
      </c>
    </row>
    <row r="145" customFormat="false" ht="15" hidden="false" customHeight="false" outlineLevel="0" collapsed="false">
      <c r="A145" s="44" t="n">
        <v>144</v>
      </c>
      <c r="B145" s="45" t="n">
        <v>45413</v>
      </c>
      <c r="C145" s="44" t="n">
        <v>5</v>
      </c>
      <c r="D145" s="44" t="n">
        <v>2024</v>
      </c>
      <c r="E145" s="44" t="n">
        <v>1</v>
      </c>
      <c r="F145" s="44" t="s">
        <v>321</v>
      </c>
      <c r="G145" s="44" t="s">
        <v>401</v>
      </c>
      <c r="H145" s="44" t="s">
        <v>136</v>
      </c>
      <c r="I145" s="44" t="s">
        <v>172</v>
      </c>
      <c r="J145" s="44" t="s">
        <v>192</v>
      </c>
      <c r="K145" s="44" t="n">
        <v>3</v>
      </c>
      <c r="L145" s="46" t="n">
        <v>6.83</v>
      </c>
      <c r="M145" s="47" t="n">
        <v>4.98</v>
      </c>
      <c r="N145" s="46" t="n">
        <v>19.47</v>
      </c>
      <c r="O145" s="44" t="s">
        <v>309</v>
      </c>
      <c r="P145" s="44" t="s">
        <v>317</v>
      </c>
      <c r="Q145" s="44" t="s">
        <v>309</v>
      </c>
    </row>
    <row r="146" customFormat="false" ht="15" hidden="false" customHeight="false" outlineLevel="0" collapsed="false">
      <c r="A146" s="44" t="n">
        <v>145</v>
      </c>
      <c r="B146" s="45" t="n">
        <v>45487</v>
      </c>
      <c r="C146" s="44" t="n">
        <v>7</v>
      </c>
      <c r="D146" s="44" t="n">
        <v>2024</v>
      </c>
      <c r="E146" s="44" t="n">
        <v>14</v>
      </c>
      <c r="F146" s="44" t="s">
        <v>312</v>
      </c>
      <c r="G146" s="44" t="s">
        <v>339</v>
      </c>
      <c r="H146" s="44" t="s">
        <v>135</v>
      </c>
      <c r="I146" s="44" t="s">
        <v>174</v>
      </c>
      <c r="J146" s="44" t="s">
        <v>191</v>
      </c>
      <c r="K146" s="44" t="n">
        <v>3</v>
      </c>
      <c r="L146" s="46" t="n">
        <v>30.44</v>
      </c>
      <c r="M146" s="47" t="n">
        <v>3.45</v>
      </c>
      <c r="N146" s="46" t="n">
        <v>75.74</v>
      </c>
      <c r="O146" s="44" t="s">
        <v>308</v>
      </c>
      <c r="P146" s="44" t="s">
        <v>309</v>
      </c>
      <c r="Q146" s="44" t="s">
        <v>309</v>
      </c>
    </row>
    <row r="147" customFormat="false" ht="15" hidden="false" customHeight="false" outlineLevel="0" collapsed="false">
      <c r="A147" s="44" t="n">
        <v>146</v>
      </c>
      <c r="B147" s="45" t="n">
        <v>45649</v>
      </c>
      <c r="C147" s="44" t="n">
        <v>12</v>
      </c>
      <c r="D147" s="44" t="n">
        <v>2024</v>
      </c>
      <c r="E147" s="44" t="n">
        <v>23</v>
      </c>
      <c r="F147" s="44" t="s">
        <v>328</v>
      </c>
      <c r="G147" s="44" t="s">
        <v>333</v>
      </c>
      <c r="H147" s="44" t="s">
        <v>134</v>
      </c>
      <c r="I147" s="44" t="s">
        <v>172</v>
      </c>
      <c r="J147" s="44" t="s">
        <v>192</v>
      </c>
      <c r="K147" s="44" t="n">
        <v>2</v>
      </c>
      <c r="L147" s="46" t="n">
        <v>29.18</v>
      </c>
      <c r="M147" s="47" t="n">
        <v>1.72</v>
      </c>
      <c r="N147" s="46" t="n">
        <v>10.79</v>
      </c>
      <c r="O147" s="44" t="s">
        <v>308</v>
      </c>
      <c r="P147" s="44" t="s">
        <v>309</v>
      </c>
      <c r="Q147" s="44" t="s">
        <v>309</v>
      </c>
    </row>
    <row r="148" customFormat="false" ht="15" hidden="false" customHeight="false" outlineLevel="0" collapsed="false">
      <c r="A148" s="44" t="n">
        <v>147</v>
      </c>
      <c r="B148" s="45" t="n">
        <v>45455</v>
      </c>
      <c r="C148" s="44" t="n">
        <v>6</v>
      </c>
      <c r="D148" s="44" t="n">
        <v>2024</v>
      </c>
      <c r="E148" s="44" t="n">
        <v>12</v>
      </c>
      <c r="F148" s="44" t="s">
        <v>321</v>
      </c>
      <c r="G148" s="44" t="s">
        <v>368</v>
      </c>
      <c r="H148" s="44" t="s">
        <v>135</v>
      </c>
      <c r="I148" s="44" t="s">
        <v>173</v>
      </c>
      <c r="J148" s="44" t="s">
        <v>191</v>
      </c>
      <c r="K148" s="44" t="n">
        <v>1</v>
      </c>
      <c r="L148" s="46" t="n">
        <v>75.3</v>
      </c>
      <c r="M148" s="47" t="n">
        <v>0</v>
      </c>
      <c r="N148" s="46" t="n">
        <v>75.3</v>
      </c>
      <c r="O148" s="44" t="s">
        <v>309</v>
      </c>
      <c r="P148" s="44" t="s">
        <v>309</v>
      </c>
      <c r="Q148" s="44" t="s">
        <v>309</v>
      </c>
    </row>
    <row r="149" customFormat="false" ht="15" hidden="false" customHeight="false" outlineLevel="0" collapsed="false">
      <c r="A149" s="44" t="n">
        <v>148</v>
      </c>
      <c r="B149" s="45" t="n">
        <v>45450</v>
      </c>
      <c r="C149" s="44" t="n">
        <v>6</v>
      </c>
      <c r="D149" s="44" t="n">
        <v>2024</v>
      </c>
      <c r="E149" s="44" t="n">
        <v>7</v>
      </c>
      <c r="F149" s="44" t="s">
        <v>325</v>
      </c>
      <c r="G149" s="44" t="s">
        <v>390</v>
      </c>
      <c r="H149" s="44" t="s">
        <v>138</v>
      </c>
      <c r="I149" s="44" t="s">
        <v>176</v>
      </c>
      <c r="J149" s="44" t="s">
        <v>196</v>
      </c>
      <c r="K149" s="44" t="n">
        <v>2</v>
      </c>
      <c r="L149" s="46" t="n">
        <v>26.69</v>
      </c>
      <c r="M149" s="47" t="n">
        <v>3.14</v>
      </c>
      <c r="N149" s="46" t="n">
        <v>77.74</v>
      </c>
      <c r="O149" s="44" t="s">
        <v>308</v>
      </c>
      <c r="P149" s="44" t="s">
        <v>309</v>
      </c>
      <c r="Q149" s="44" t="s">
        <v>309</v>
      </c>
    </row>
    <row r="150" customFormat="false" ht="15" hidden="false" customHeight="false" outlineLevel="0" collapsed="false">
      <c r="A150" s="44" t="n">
        <v>149</v>
      </c>
      <c r="B150" s="45" t="n">
        <v>45364</v>
      </c>
      <c r="C150" s="44" t="n">
        <v>3</v>
      </c>
      <c r="D150" s="44" t="n">
        <v>2024</v>
      </c>
      <c r="E150" s="44" t="n">
        <v>13</v>
      </c>
      <c r="F150" s="44" t="s">
        <v>321</v>
      </c>
      <c r="G150" s="44" t="s">
        <v>435</v>
      </c>
      <c r="H150" s="44" t="s">
        <v>139</v>
      </c>
      <c r="I150" s="44" t="s">
        <v>176</v>
      </c>
      <c r="J150" s="44" t="s">
        <v>194</v>
      </c>
      <c r="K150" s="44" t="n">
        <v>3</v>
      </c>
      <c r="L150" s="46" t="n">
        <v>18.33</v>
      </c>
      <c r="M150" s="47" t="n">
        <v>3.53</v>
      </c>
      <c r="N150" s="46" t="n">
        <v>39.36</v>
      </c>
      <c r="O150" s="44" t="s">
        <v>308</v>
      </c>
      <c r="P150" s="44" t="s">
        <v>309</v>
      </c>
      <c r="Q150" s="44" t="s">
        <v>309</v>
      </c>
    </row>
    <row r="151" customFormat="false" ht="15" hidden="false" customHeight="false" outlineLevel="0" collapsed="false">
      <c r="A151" s="44" t="n">
        <v>150</v>
      </c>
      <c r="B151" s="45" t="n">
        <v>45384</v>
      </c>
      <c r="C151" s="44" t="n">
        <v>4</v>
      </c>
      <c r="D151" s="44" t="n">
        <v>2024</v>
      </c>
      <c r="E151" s="44" t="n">
        <v>2</v>
      </c>
      <c r="F151" s="44" t="s">
        <v>310</v>
      </c>
      <c r="G151" s="44" t="s">
        <v>436</v>
      </c>
      <c r="H151" s="44" t="s">
        <v>136</v>
      </c>
      <c r="I151" s="44" t="s">
        <v>176</v>
      </c>
      <c r="J151" s="44" t="s">
        <v>191</v>
      </c>
      <c r="K151" s="44" t="n">
        <v>2</v>
      </c>
      <c r="L151" s="46" t="n">
        <v>11.99</v>
      </c>
      <c r="M151" s="47" t="n">
        <v>1.05</v>
      </c>
      <c r="N151" s="46" t="n">
        <v>23.73</v>
      </c>
      <c r="O151" s="44" t="s">
        <v>309</v>
      </c>
      <c r="P151" s="44" t="s">
        <v>309</v>
      </c>
      <c r="Q151" s="44" t="s">
        <v>309</v>
      </c>
    </row>
    <row r="152" customFormat="false" ht="15" hidden="false" customHeight="false" outlineLevel="0" collapsed="false">
      <c r="A152" s="44" t="n">
        <v>151</v>
      </c>
      <c r="B152" s="45" t="n">
        <v>45379</v>
      </c>
      <c r="C152" s="44" t="n">
        <v>3</v>
      </c>
      <c r="D152" s="44" t="n">
        <v>2024</v>
      </c>
      <c r="E152" s="44" t="n">
        <v>28</v>
      </c>
      <c r="F152" s="44" t="s">
        <v>306</v>
      </c>
      <c r="G152" s="44" t="s">
        <v>437</v>
      </c>
      <c r="H152" s="44" t="s">
        <v>134</v>
      </c>
      <c r="I152" s="44" t="s">
        <v>172</v>
      </c>
      <c r="J152" s="44" t="s">
        <v>191</v>
      </c>
      <c r="K152" s="44" t="n">
        <v>4</v>
      </c>
      <c r="L152" s="46" t="n">
        <v>6.39</v>
      </c>
      <c r="M152" s="47" t="n">
        <v>6.08</v>
      </c>
      <c r="N152" s="46" t="n">
        <v>24.01</v>
      </c>
      <c r="O152" s="44" t="s">
        <v>309</v>
      </c>
      <c r="P152" s="44" t="s">
        <v>309</v>
      </c>
      <c r="Q152" s="44" t="s">
        <v>309</v>
      </c>
    </row>
    <row r="153" customFormat="false" ht="15" hidden="false" customHeight="false" outlineLevel="0" collapsed="false">
      <c r="A153" s="44" t="n">
        <v>152</v>
      </c>
      <c r="B153" s="45" t="n">
        <v>45534</v>
      </c>
      <c r="C153" s="44" t="n">
        <v>8</v>
      </c>
      <c r="D153" s="44" t="n">
        <v>2024</v>
      </c>
      <c r="E153" s="44" t="n">
        <v>30</v>
      </c>
      <c r="F153" s="44" t="s">
        <v>325</v>
      </c>
      <c r="G153" s="44" t="s">
        <v>438</v>
      </c>
      <c r="H153" s="44" t="s">
        <v>136</v>
      </c>
      <c r="I153" s="44" t="s">
        <v>172</v>
      </c>
      <c r="J153" s="44" t="s">
        <v>206</v>
      </c>
      <c r="K153" s="44" t="n">
        <v>1</v>
      </c>
      <c r="L153" s="46" t="n">
        <v>21.67</v>
      </c>
      <c r="M153" s="47" t="n">
        <v>0</v>
      </c>
      <c r="N153" s="46" t="n">
        <v>31.81</v>
      </c>
      <c r="O153" s="44" t="s">
        <v>308</v>
      </c>
      <c r="P153" s="44" t="s">
        <v>309</v>
      </c>
      <c r="Q153" s="44" t="s">
        <v>309</v>
      </c>
    </row>
    <row r="154" customFormat="false" ht="15" hidden="false" customHeight="false" outlineLevel="0" collapsed="false">
      <c r="A154" s="44" t="n">
        <v>153</v>
      </c>
      <c r="B154" s="45" t="n">
        <v>45497</v>
      </c>
      <c r="C154" s="44" t="n">
        <v>7</v>
      </c>
      <c r="D154" s="44" t="n">
        <v>2024</v>
      </c>
      <c r="E154" s="44" t="n">
        <v>24</v>
      </c>
      <c r="F154" s="44" t="s">
        <v>321</v>
      </c>
      <c r="G154" s="44" t="s">
        <v>426</v>
      </c>
      <c r="H154" s="44" t="s">
        <v>134</v>
      </c>
      <c r="I154" s="44" t="s">
        <v>176</v>
      </c>
      <c r="J154" s="44" t="s">
        <v>204</v>
      </c>
      <c r="K154" s="44" t="n">
        <v>2</v>
      </c>
      <c r="L154" s="46" t="n">
        <v>47.28</v>
      </c>
      <c r="M154" s="47" t="n">
        <v>1.24</v>
      </c>
      <c r="N154" s="46" t="n">
        <v>93.39</v>
      </c>
      <c r="O154" s="44" t="s">
        <v>309</v>
      </c>
      <c r="P154" s="44" t="s">
        <v>309</v>
      </c>
      <c r="Q154" s="44" t="s">
        <v>309</v>
      </c>
    </row>
    <row r="155" customFormat="false" ht="15" hidden="false" customHeight="false" outlineLevel="0" collapsed="false">
      <c r="A155" s="44" t="n">
        <v>154</v>
      </c>
      <c r="B155" s="45" t="n">
        <v>45379</v>
      </c>
      <c r="C155" s="44" t="n">
        <v>3</v>
      </c>
      <c r="D155" s="44" t="n">
        <v>2024</v>
      </c>
      <c r="E155" s="44" t="n">
        <v>28</v>
      </c>
      <c r="F155" s="44" t="s">
        <v>306</v>
      </c>
      <c r="G155" s="44" t="s">
        <v>413</v>
      </c>
      <c r="H155" s="44" t="s">
        <v>139</v>
      </c>
      <c r="I155" s="44" t="s">
        <v>176</v>
      </c>
      <c r="J155" s="44" t="s">
        <v>206</v>
      </c>
      <c r="K155" s="44" t="n">
        <v>4</v>
      </c>
      <c r="L155" s="46" t="n">
        <v>73.57</v>
      </c>
      <c r="M155" s="47" t="n">
        <v>3.78</v>
      </c>
      <c r="N155" s="46" t="n">
        <v>283.16</v>
      </c>
      <c r="O155" s="44" t="s">
        <v>309</v>
      </c>
      <c r="P155" s="44" t="s">
        <v>309</v>
      </c>
      <c r="Q155" s="44" t="s">
        <v>309</v>
      </c>
    </row>
    <row r="156" customFormat="false" ht="15" hidden="false" customHeight="false" outlineLevel="0" collapsed="false">
      <c r="A156" s="44" t="n">
        <v>155</v>
      </c>
      <c r="B156" s="45" t="n">
        <v>45359</v>
      </c>
      <c r="C156" s="44" t="n">
        <v>3</v>
      </c>
      <c r="D156" s="44" t="n">
        <v>2024</v>
      </c>
      <c r="E156" s="44" t="n">
        <v>8</v>
      </c>
      <c r="F156" s="44" t="s">
        <v>325</v>
      </c>
      <c r="G156" s="44" t="s">
        <v>400</v>
      </c>
      <c r="H156" s="44" t="s">
        <v>135</v>
      </c>
      <c r="I156" s="44" t="s">
        <v>174</v>
      </c>
      <c r="J156" s="44" t="s">
        <v>193</v>
      </c>
      <c r="K156" s="44" t="n">
        <v>2</v>
      </c>
      <c r="L156" s="46" t="n">
        <v>67.18</v>
      </c>
      <c r="M156" s="47" t="n">
        <v>2.02</v>
      </c>
      <c r="N156" s="46" t="n">
        <v>131.65</v>
      </c>
      <c r="O156" s="44" t="s">
        <v>309</v>
      </c>
      <c r="P156" s="44" t="s">
        <v>309</v>
      </c>
      <c r="Q156" s="44" t="s">
        <v>309</v>
      </c>
    </row>
    <row r="157" customFormat="false" ht="15" hidden="false" customHeight="false" outlineLevel="0" collapsed="false">
      <c r="A157" s="44" t="n">
        <v>156</v>
      </c>
      <c r="B157" s="45" t="n">
        <v>45611</v>
      </c>
      <c r="C157" s="44" t="n">
        <v>11</v>
      </c>
      <c r="D157" s="44" t="n">
        <v>2024</v>
      </c>
      <c r="E157" s="44" t="n">
        <v>15</v>
      </c>
      <c r="F157" s="44" t="s">
        <v>325</v>
      </c>
      <c r="G157" s="44" t="s">
        <v>405</v>
      </c>
      <c r="H157" s="44" t="s">
        <v>134</v>
      </c>
      <c r="I157" s="44" t="s">
        <v>172</v>
      </c>
      <c r="J157" s="44" t="s">
        <v>197</v>
      </c>
      <c r="K157" s="44" t="n">
        <v>5</v>
      </c>
      <c r="L157" s="46" t="n">
        <v>236.26</v>
      </c>
      <c r="M157" s="47" t="n">
        <v>6.64</v>
      </c>
      <c r="N157" s="46" t="n">
        <v>1102.86</v>
      </c>
      <c r="O157" s="44" t="s">
        <v>309</v>
      </c>
      <c r="P157" s="44" t="s">
        <v>317</v>
      </c>
      <c r="Q157" s="44" t="s">
        <v>309</v>
      </c>
    </row>
    <row r="158" customFormat="false" ht="15" hidden="false" customHeight="false" outlineLevel="0" collapsed="false">
      <c r="A158" s="44" t="n">
        <v>157</v>
      </c>
      <c r="B158" s="45" t="n">
        <v>45628</v>
      </c>
      <c r="C158" s="44" t="n">
        <v>12</v>
      </c>
      <c r="D158" s="44" t="n">
        <v>2024</v>
      </c>
      <c r="E158" s="44" t="n">
        <v>2</v>
      </c>
      <c r="F158" s="44" t="s">
        <v>328</v>
      </c>
      <c r="G158" s="44" t="s">
        <v>352</v>
      </c>
      <c r="H158" s="44" t="s">
        <v>134</v>
      </c>
      <c r="I158" s="44" t="s">
        <v>172</v>
      </c>
      <c r="J158" s="44" t="s">
        <v>194</v>
      </c>
      <c r="K158" s="44" t="n">
        <v>2</v>
      </c>
      <c r="L158" s="46" t="n">
        <v>3.04</v>
      </c>
      <c r="M158" s="47" t="n">
        <v>2.92</v>
      </c>
      <c r="N158" s="46" t="n">
        <v>5.9</v>
      </c>
      <c r="O158" s="44" t="s">
        <v>309</v>
      </c>
      <c r="P158" s="44" t="s">
        <v>309</v>
      </c>
      <c r="Q158" s="44" t="s">
        <v>309</v>
      </c>
    </row>
    <row r="159" customFormat="false" ht="15" hidden="false" customHeight="false" outlineLevel="0" collapsed="false">
      <c r="A159" s="44" t="n">
        <v>158</v>
      </c>
      <c r="B159" s="45" t="n">
        <v>45513</v>
      </c>
      <c r="C159" s="44" t="n">
        <v>8</v>
      </c>
      <c r="D159" s="44" t="n">
        <v>2024</v>
      </c>
      <c r="E159" s="44" t="n">
        <v>9</v>
      </c>
      <c r="F159" s="44" t="s">
        <v>325</v>
      </c>
      <c r="G159" s="44" t="s">
        <v>401</v>
      </c>
      <c r="H159" s="44" t="s">
        <v>135</v>
      </c>
      <c r="I159" s="44" t="s">
        <v>176</v>
      </c>
      <c r="J159" s="44" t="s">
        <v>194</v>
      </c>
      <c r="K159" s="44" t="n">
        <v>3</v>
      </c>
      <c r="L159" s="46" t="n">
        <v>9.29</v>
      </c>
      <c r="M159" s="47" t="n">
        <v>4.34</v>
      </c>
      <c r="N159" s="46" t="n">
        <v>26.66</v>
      </c>
      <c r="O159" s="44" t="s">
        <v>309</v>
      </c>
      <c r="P159" s="44" t="s">
        <v>317</v>
      </c>
      <c r="Q159" s="44" t="s">
        <v>309</v>
      </c>
    </row>
    <row r="160" customFormat="false" ht="15" hidden="false" customHeight="false" outlineLevel="0" collapsed="false">
      <c r="A160" s="44" t="n">
        <v>159</v>
      </c>
      <c r="B160" s="45" t="n">
        <v>45559</v>
      </c>
      <c r="C160" s="44" t="n">
        <v>9</v>
      </c>
      <c r="D160" s="44" t="n">
        <v>2024</v>
      </c>
      <c r="E160" s="44" t="n">
        <v>24</v>
      </c>
      <c r="F160" s="44" t="s">
        <v>310</v>
      </c>
      <c r="G160" s="44" t="s">
        <v>439</v>
      </c>
      <c r="H160" s="44" t="s">
        <v>137</v>
      </c>
      <c r="I160" s="44" t="s">
        <v>172</v>
      </c>
      <c r="J160" s="44" t="s">
        <v>192</v>
      </c>
      <c r="K160" s="44" t="n">
        <v>1</v>
      </c>
      <c r="L160" s="46" t="n">
        <v>7.2</v>
      </c>
      <c r="M160" s="47" t="n">
        <v>0.99</v>
      </c>
      <c r="N160" s="46" t="n">
        <v>7.13</v>
      </c>
      <c r="O160" s="44" t="s">
        <v>309</v>
      </c>
      <c r="P160" s="44" t="s">
        <v>309</v>
      </c>
      <c r="Q160" s="44" t="s">
        <v>309</v>
      </c>
    </row>
    <row r="161" customFormat="false" ht="15" hidden="false" customHeight="false" outlineLevel="0" collapsed="false">
      <c r="A161" s="44" t="n">
        <v>160</v>
      </c>
      <c r="B161" s="45" t="n">
        <v>45494</v>
      </c>
      <c r="C161" s="44" t="n">
        <v>7</v>
      </c>
      <c r="D161" s="44" t="n">
        <v>2024</v>
      </c>
      <c r="E161" s="44" t="n">
        <v>21</v>
      </c>
      <c r="F161" s="44" t="s">
        <v>312</v>
      </c>
      <c r="G161" s="44" t="s">
        <v>440</v>
      </c>
      <c r="H161" s="44" t="s">
        <v>139</v>
      </c>
      <c r="I161" s="44" t="s">
        <v>174</v>
      </c>
      <c r="J161" s="44" t="s">
        <v>206</v>
      </c>
      <c r="K161" s="44" t="n">
        <v>4</v>
      </c>
      <c r="L161" s="46" t="n">
        <v>24</v>
      </c>
      <c r="M161" s="47" t="n">
        <v>3.3</v>
      </c>
      <c r="N161" s="46" t="n">
        <v>92.83</v>
      </c>
      <c r="O161" s="44" t="s">
        <v>309</v>
      </c>
      <c r="P161" s="44" t="s">
        <v>317</v>
      </c>
      <c r="Q161" s="44" t="s">
        <v>309</v>
      </c>
    </row>
    <row r="162" customFormat="false" ht="15" hidden="false" customHeight="false" outlineLevel="0" collapsed="false">
      <c r="A162" s="44" t="n">
        <v>161</v>
      </c>
      <c r="B162" s="45" t="n">
        <v>45299</v>
      </c>
      <c r="C162" s="44" t="n">
        <v>1</v>
      </c>
      <c r="D162" s="44" t="n">
        <v>2024</v>
      </c>
      <c r="E162" s="44" t="n">
        <v>8</v>
      </c>
      <c r="F162" s="44" t="s">
        <v>328</v>
      </c>
      <c r="G162" s="44" t="s">
        <v>441</v>
      </c>
      <c r="H162" s="44" t="s">
        <v>140</v>
      </c>
      <c r="I162" s="44" t="s">
        <v>172</v>
      </c>
      <c r="J162" s="44" t="s">
        <v>194</v>
      </c>
      <c r="K162" s="44" t="n">
        <v>1</v>
      </c>
      <c r="L162" s="46" t="n">
        <v>11.31</v>
      </c>
      <c r="M162" s="47" t="n">
        <v>0</v>
      </c>
      <c r="N162" s="46" t="n">
        <v>1.91</v>
      </c>
      <c r="O162" s="44" t="s">
        <v>308</v>
      </c>
      <c r="P162" s="44" t="s">
        <v>309</v>
      </c>
      <c r="Q162" s="44" t="s">
        <v>309</v>
      </c>
    </row>
    <row r="163" customFormat="false" ht="15" hidden="false" customHeight="false" outlineLevel="0" collapsed="false">
      <c r="A163" s="44" t="n">
        <v>162</v>
      </c>
      <c r="B163" s="45" t="n">
        <v>45327</v>
      </c>
      <c r="C163" s="44" t="n">
        <v>2</v>
      </c>
      <c r="D163" s="44" t="n">
        <v>2024</v>
      </c>
      <c r="E163" s="44" t="n">
        <v>5</v>
      </c>
      <c r="F163" s="44" t="s">
        <v>328</v>
      </c>
      <c r="G163" s="44" t="s">
        <v>442</v>
      </c>
      <c r="H163" s="44" t="s">
        <v>140</v>
      </c>
      <c r="I163" s="44" t="s">
        <v>175</v>
      </c>
      <c r="J163" s="44" t="s">
        <v>194</v>
      </c>
      <c r="K163" s="44" t="n">
        <v>2</v>
      </c>
      <c r="L163" s="46" t="n">
        <v>9.42</v>
      </c>
      <c r="M163" s="47" t="n">
        <v>3.4</v>
      </c>
      <c r="N163" s="46" t="n">
        <v>18.2</v>
      </c>
      <c r="O163" s="44" t="s">
        <v>309</v>
      </c>
      <c r="P163" s="44" t="s">
        <v>317</v>
      </c>
      <c r="Q163" s="44" t="s">
        <v>309</v>
      </c>
    </row>
    <row r="164" customFormat="false" ht="15" hidden="false" customHeight="false" outlineLevel="0" collapsed="false">
      <c r="A164" s="44" t="n">
        <v>163</v>
      </c>
      <c r="B164" s="45" t="n">
        <v>45502</v>
      </c>
      <c r="C164" s="44" t="n">
        <v>7</v>
      </c>
      <c r="D164" s="44" t="n">
        <v>2024</v>
      </c>
      <c r="E164" s="44" t="n">
        <v>29</v>
      </c>
      <c r="F164" s="44" t="s">
        <v>328</v>
      </c>
      <c r="G164" s="44" t="s">
        <v>443</v>
      </c>
      <c r="H164" s="44" t="s">
        <v>135</v>
      </c>
      <c r="I164" s="44" t="s">
        <v>172</v>
      </c>
      <c r="J164" s="44" t="s">
        <v>191</v>
      </c>
      <c r="K164" s="44" t="n">
        <v>1</v>
      </c>
      <c r="L164" s="46" t="n">
        <v>2.59</v>
      </c>
      <c r="M164" s="47" t="n">
        <v>0.77</v>
      </c>
      <c r="N164" s="46" t="n">
        <v>2.57</v>
      </c>
      <c r="O164" s="44" t="s">
        <v>309</v>
      </c>
      <c r="P164" s="44" t="s">
        <v>317</v>
      </c>
      <c r="Q164" s="44" t="s">
        <v>309</v>
      </c>
    </row>
    <row r="165" customFormat="false" ht="15" hidden="false" customHeight="false" outlineLevel="0" collapsed="false">
      <c r="A165" s="44" t="n">
        <v>164</v>
      </c>
      <c r="B165" s="45" t="n">
        <v>45432</v>
      </c>
      <c r="C165" s="44" t="n">
        <v>5</v>
      </c>
      <c r="D165" s="44" t="n">
        <v>2024</v>
      </c>
      <c r="E165" s="44" t="n">
        <v>20</v>
      </c>
      <c r="F165" s="44" t="s">
        <v>328</v>
      </c>
      <c r="G165" s="44" t="s">
        <v>359</v>
      </c>
      <c r="H165" s="44" t="s">
        <v>135</v>
      </c>
      <c r="I165" s="44" t="s">
        <v>172</v>
      </c>
      <c r="J165" s="44" t="s">
        <v>191</v>
      </c>
      <c r="K165" s="44" t="n">
        <v>1</v>
      </c>
      <c r="L165" s="46" t="n">
        <v>78.78</v>
      </c>
      <c r="M165" s="47" t="n">
        <v>1.61</v>
      </c>
      <c r="N165" s="46" t="n">
        <v>77.51</v>
      </c>
      <c r="O165" s="44" t="s">
        <v>309</v>
      </c>
      <c r="P165" s="44" t="s">
        <v>309</v>
      </c>
      <c r="Q165" s="44" t="s">
        <v>309</v>
      </c>
    </row>
    <row r="166" customFormat="false" ht="15" hidden="false" customHeight="false" outlineLevel="0" collapsed="false">
      <c r="A166" s="44" t="n">
        <v>165</v>
      </c>
      <c r="B166" s="45" t="n">
        <v>45440</v>
      </c>
      <c r="C166" s="44" t="n">
        <v>5</v>
      </c>
      <c r="D166" s="44" t="n">
        <v>2024</v>
      </c>
      <c r="E166" s="44" t="n">
        <v>28</v>
      </c>
      <c r="F166" s="44" t="s">
        <v>310</v>
      </c>
      <c r="G166" s="44" t="s">
        <v>444</v>
      </c>
      <c r="H166" s="44" t="s">
        <v>135</v>
      </c>
      <c r="I166" s="44" t="s">
        <v>172</v>
      </c>
      <c r="J166" s="44" t="s">
        <v>203</v>
      </c>
      <c r="K166" s="44" t="n">
        <v>3</v>
      </c>
      <c r="L166" s="46" t="n">
        <v>30.44</v>
      </c>
      <c r="M166" s="47" t="n">
        <v>1.905</v>
      </c>
      <c r="N166" s="46" t="n">
        <v>474.32</v>
      </c>
      <c r="O166" s="44" t="s">
        <v>308</v>
      </c>
      <c r="P166" s="44" t="s">
        <v>369</v>
      </c>
      <c r="Q166" s="44" t="s">
        <v>309</v>
      </c>
    </row>
    <row r="167" customFormat="false" ht="15" hidden="false" customHeight="false" outlineLevel="0" collapsed="false">
      <c r="A167" s="44" t="n">
        <v>166</v>
      </c>
      <c r="B167" s="45" t="n">
        <v>45443</v>
      </c>
      <c r="C167" s="44" t="n">
        <v>5</v>
      </c>
      <c r="D167" s="44" t="n">
        <v>2024</v>
      </c>
      <c r="E167" s="44" t="n">
        <v>31</v>
      </c>
      <c r="F167" s="44" t="s">
        <v>325</v>
      </c>
      <c r="G167" s="44" t="s">
        <v>445</v>
      </c>
      <c r="H167" s="44" t="s">
        <v>135</v>
      </c>
      <c r="I167" s="44" t="s">
        <v>174</v>
      </c>
      <c r="J167" s="44" t="s">
        <v>206</v>
      </c>
      <c r="K167" s="44" t="n">
        <v>1</v>
      </c>
      <c r="L167" s="46" t="n">
        <v>30.44</v>
      </c>
      <c r="M167" s="47" t="n">
        <v>0.39</v>
      </c>
      <c r="N167" s="46" t="n">
        <v>55.69</v>
      </c>
      <c r="O167" s="44" t="s">
        <v>308</v>
      </c>
      <c r="P167" s="44" t="s">
        <v>309</v>
      </c>
      <c r="Q167" s="44" t="s">
        <v>309</v>
      </c>
    </row>
    <row r="168" customFormat="false" ht="15" hidden="false" customHeight="false" outlineLevel="0" collapsed="false">
      <c r="A168" s="44" t="n">
        <v>167</v>
      </c>
      <c r="B168" s="45" t="n">
        <v>45449</v>
      </c>
      <c r="C168" s="44" t="n">
        <v>6</v>
      </c>
      <c r="D168" s="44" t="n">
        <v>2024</v>
      </c>
      <c r="E168" s="44" t="n">
        <v>6</v>
      </c>
      <c r="F168" s="44" t="s">
        <v>306</v>
      </c>
      <c r="G168" s="44" t="s">
        <v>320</v>
      </c>
      <c r="H168" s="44" t="s">
        <v>134</v>
      </c>
      <c r="I168" s="44" t="s">
        <v>173</v>
      </c>
      <c r="J168" s="44" t="s">
        <v>206</v>
      </c>
      <c r="K168" s="44" t="n">
        <v>1</v>
      </c>
      <c r="L168" s="46" t="n">
        <v>5.29</v>
      </c>
      <c r="M168" s="47" t="n">
        <v>0</v>
      </c>
      <c r="N168" s="46" t="n">
        <v>5.29</v>
      </c>
      <c r="O168" s="44" t="s">
        <v>309</v>
      </c>
      <c r="P168" s="44" t="s">
        <v>309</v>
      </c>
      <c r="Q168" s="44" t="s">
        <v>309</v>
      </c>
    </row>
    <row r="169" customFormat="false" ht="15" hidden="false" customHeight="false" outlineLevel="0" collapsed="false">
      <c r="A169" s="44" t="n">
        <v>168</v>
      </c>
      <c r="B169" s="45" t="n">
        <v>45635</v>
      </c>
      <c r="C169" s="44" t="n">
        <v>12</v>
      </c>
      <c r="D169" s="44" t="n">
        <v>2024</v>
      </c>
      <c r="E169" s="44" t="n">
        <v>9</v>
      </c>
      <c r="F169" s="44" t="s">
        <v>328</v>
      </c>
      <c r="G169" s="44" t="s">
        <v>322</v>
      </c>
      <c r="H169" s="44" t="s">
        <v>135</v>
      </c>
      <c r="I169" s="44" t="s">
        <v>174</v>
      </c>
      <c r="J169" s="44" t="s">
        <v>194</v>
      </c>
      <c r="K169" s="44" t="n">
        <v>2</v>
      </c>
      <c r="L169" s="46" t="n">
        <v>10.87</v>
      </c>
      <c r="M169" s="47" t="n">
        <v>1.66</v>
      </c>
      <c r="N169" s="46" t="n">
        <v>21.38</v>
      </c>
      <c r="O169" s="44" t="s">
        <v>309</v>
      </c>
      <c r="P169" s="44" t="s">
        <v>317</v>
      </c>
      <c r="Q169" s="44" t="s">
        <v>314</v>
      </c>
    </row>
    <row r="170" customFormat="false" ht="15" hidden="false" customHeight="false" outlineLevel="0" collapsed="false">
      <c r="A170" s="44" t="n">
        <v>169</v>
      </c>
      <c r="B170" s="45" t="n">
        <v>45648</v>
      </c>
      <c r="C170" s="44" t="n">
        <v>12</v>
      </c>
      <c r="D170" s="44" t="n">
        <v>2024</v>
      </c>
      <c r="E170" s="44" t="n">
        <v>22</v>
      </c>
      <c r="F170" s="44" t="s">
        <v>312</v>
      </c>
      <c r="G170" s="44" t="s">
        <v>446</v>
      </c>
      <c r="H170" s="44" t="s">
        <v>140</v>
      </c>
      <c r="I170" s="44" t="s">
        <v>173</v>
      </c>
      <c r="J170" s="44" t="s">
        <v>191</v>
      </c>
      <c r="K170" s="44" t="n">
        <v>1</v>
      </c>
      <c r="L170" s="46" t="n">
        <v>1.91</v>
      </c>
      <c r="M170" s="47" t="n">
        <v>0.05</v>
      </c>
      <c r="N170" s="46" t="n">
        <v>1.91</v>
      </c>
      <c r="O170" s="44" t="s">
        <v>309</v>
      </c>
      <c r="P170" s="44" t="s">
        <v>309</v>
      </c>
      <c r="Q170" s="44" t="s">
        <v>309</v>
      </c>
    </row>
    <row r="171" customFormat="false" ht="15" hidden="false" customHeight="false" outlineLevel="0" collapsed="false">
      <c r="A171" s="44" t="n">
        <v>170</v>
      </c>
      <c r="B171" s="45" t="n">
        <v>45302</v>
      </c>
      <c r="C171" s="44" t="n">
        <v>1</v>
      </c>
      <c r="D171" s="44" t="n">
        <v>2024</v>
      </c>
      <c r="E171" s="44" t="n">
        <v>11</v>
      </c>
      <c r="F171" s="44" t="s">
        <v>306</v>
      </c>
      <c r="G171" s="44" t="s">
        <v>443</v>
      </c>
      <c r="H171" s="44" t="s">
        <v>140</v>
      </c>
      <c r="I171" s="44" t="s">
        <v>176</v>
      </c>
      <c r="J171" s="44" t="s">
        <v>199</v>
      </c>
      <c r="K171" s="44" t="n">
        <v>2</v>
      </c>
      <c r="L171" s="46" t="n">
        <v>29.38</v>
      </c>
      <c r="M171" s="47" t="n">
        <v>3.01</v>
      </c>
      <c r="N171" s="46" t="n">
        <v>56.99</v>
      </c>
      <c r="O171" s="44" t="s">
        <v>309</v>
      </c>
      <c r="P171" s="44" t="s">
        <v>309</v>
      </c>
      <c r="Q171" s="44" t="s">
        <v>309</v>
      </c>
    </row>
    <row r="172" customFormat="false" ht="15" hidden="false" customHeight="false" outlineLevel="0" collapsed="false">
      <c r="A172" s="44" t="n">
        <v>171</v>
      </c>
      <c r="B172" s="45" t="n">
        <v>45355</v>
      </c>
      <c r="C172" s="44" t="n">
        <v>3</v>
      </c>
      <c r="D172" s="44" t="n">
        <v>2024</v>
      </c>
      <c r="E172" s="44" t="n">
        <v>4</v>
      </c>
      <c r="F172" s="44" t="s">
        <v>328</v>
      </c>
      <c r="G172" s="44" t="s">
        <v>334</v>
      </c>
      <c r="H172" s="44" t="s">
        <v>140</v>
      </c>
      <c r="I172" s="44" t="s">
        <v>172</v>
      </c>
      <c r="J172" s="44" t="s">
        <v>206</v>
      </c>
      <c r="K172" s="44" t="n">
        <v>8</v>
      </c>
      <c r="L172" s="46" t="n">
        <v>11.31</v>
      </c>
      <c r="M172" s="47" t="n">
        <v>10.34</v>
      </c>
      <c r="N172" s="46" t="n">
        <v>79.12</v>
      </c>
      <c r="O172" s="44" t="s">
        <v>308</v>
      </c>
      <c r="P172" s="44" t="s">
        <v>309</v>
      </c>
      <c r="Q172" s="44" t="s">
        <v>309</v>
      </c>
    </row>
    <row r="173" customFormat="false" ht="15" hidden="false" customHeight="false" outlineLevel="0" collapsed="false">
      <c r="A173" s="44" t="n">
        <v>172</v>
      </c>
      <c r="B173" s="45" t="n">
        <v>45457</v>
      </c>
      <c r="C173" s="44" t="n">
        <v>6</v>
      </c>
      <c r="D173" s="44" t="n">
        <v>2024</v>
      </c>
      <c r="E173" s="44" t="n">
        <v>14</v>
      </c>
      <c r="F173" s="44" t="s">
        <v>325</v>
      </c>
      <c r="G173" s="44" t="s">
        <v>361</v>
      </c>
      <c r="H173" s="44" t="s">
        <v>135</v>
      </c>
      <c r="I173" s="44" t="s">
        <v>176</v>
      </c>
      <c r="J173" s="44" t="s">
        <v>198</v>
      </c>
      <c r="K173" s="44" t="n">
        <v>2</v>
      </c>
      <c r="L173" s="46" t="n">
        <v>157.77</v>
      </c>
      <c r="M173" s="47" t="n">
        <v>0.46</v>
      </c>
      <c r="N173" s="46" t="n">
        <v>314.09</v>
      </c>
      <c r="O173" s="44" t="s">
        <v>309</v>
      </c>
      <c r="P173" s="44" t="s">
        <v>309</v>
      </c>
      <c r="Q173" s="44" t="s">
        <v>309</v>
      </c>
    </row>
    <row r="174" customFormat="false" ht="15" hidden="false" customHeight="false" outlineLevel="0" collapsed="false">
      <c r="A174" s="44" t="n">
        <v>173</v>
      </c>
      <c r="B174" s="45" t="n">
        <v>45556</v>
      </c>
      <c r="C174" s="44" t="n">
        <v>9</v>
      </c>
      <c r="D174" s="44" t="n">
        <v>2024</v>
      </c>
      <c r="E174" s="44" t="n">
        <v>21</v>
      </c>
      <c r="F174" s="44" t="s">
        <v>318</v>
      </c>
      <c r="G174" s="44" t="s">
        <v>378</v>
      </c>
      <c r="H174" s="44" t="s">
        <v>136</v>
      </c>
      <c r="I174" s="44" t="s">
        <v>172</v>
      </c>
      <c r="J174" s="44" t="s">
        <v>191</v>
      </c>
      <c r="K174" s="44" t="n">
        <v>2</v>
      </c>
      <c r="L174" s="46" t="n">
        <v>4.61</v>
      </c>
      <c r="M174" s="47" t="n">
        <v>3.3</v>
      </c>
      <c r="N174" s="46" t="n">
        <v>8.92</v>
      </c>
      <c r="O174" s="44" t="s">
        <v>309</v>
      </c>
      <c r="P174" s="44" t="s">
        <v>309</v>
      </c>
      <c r="Q174" s="44" t="s">
        <v>309</v>
      </c>
    </row>
    <row r="175" customFormat="false" ht="15" hidden="false" customHeight="false" outlineLevel="0" collapsed="false">
      <c r="A175" s="44" t="n">
        <v>174</v>
      </c>
      <c r="B175" s="45" t="n">
        <v>45487</v>
      </c>
      <c r="C175" s="44" t="n">
        <v>7</v>
      </c>
      <c r="D175" s="44" t="n">
        <v>2024</v>
      </c>
      <c r="E175" s="44" t="n">
        <v>14</v>
      </c>
      <c r="F175" s="44" t="s">
        <v>312</v>
      </c>
      <c r="G175" s="44" t="s">
        <v>447</v>
      </c>
      <c r="H175" s="44" t="s">
        <v>134</v>
      </c>
      <c r="I175" s="44" t="s">
        <v>176</v>
      </c>
      <c r="J175" s="44" t="s">
        <v>206</v>
      </c>
      <c r="K175" s="44" t="n">
        <v>1</v>
      </c>
      <c r="L175" s="46" t="n">
        <v>24.89</v>
      </c>
      <c r="M175" s="47" t="n">
        <v>0</v>
      </c>
      <c r="N175" s="46" t="n">
        <v>24.89</v>
      </c>
      <c r="O175" s="44" t="s">
        <v>309</v>
      </c>
      <c r="P175" s="44" t="s">
        <v>309</v>
      </c>
      <c r="Q175" s="44" t="s">
        <v>309</v>
      </c>
    </row>
    <row r="176" customFormat="false" ht="15" hidden="false" customHeight="false" outlineLevel="0" collapsed="false">
      <c r="A176" s="44" t="n">
        <v>175</v>
      </c>
      <c r="B176" s="45" t="n">
        <v>45653</v>
      </c>
      <c r="C176" s="44" t="n">
        <v>12</v>
      </c>
      <c r="D176" s="44" t="n">
        <v>2024</v>
      </c>
      <c r="E176" s="44" t="n">
        <v>27</v>
      </c>
      <c r="F176" s="44" t="s">
        <v>325</v>
      </c>
      <c r="G176" s="44" t="s">
        <v>437</v>
      </c>
      <c r="H176" s="44" t="s">
        <v>135</v>
      </c>
      <c r="I176" s="44" t="s">
        <v>173</v>
      </c>
      <c r="J176" s="44" t="s">
        <v>201</v>
      </c>
      <c r="K176" s="44" t="n">
        <v>1</v>
      </c>
      <c r="L176" s="46" t="n">
        <v>2.57</v>
      </c>
      <c r="M176" s="47" t="n">
        <v>0.13</v>
      </c>
      <c r="N176" s="46" t="n">
        <v>2.57</v>
      </c>
      <c r="O176" s="44" t="s">
        <v>309</v>
      </c>
      <c r="P176" s="44" t="s">
        <v>309</v>
      </c>
      <c r="Q176" s="44" t="s">
        <v>309</v>
      </c>
    </row>
    <row r="177" customFormat="false" ht="15" hidden="false" customHeight="false" outlineLevel="0" collapsed="false">
      <c r="A177" s="44" t="n">
        <v>176</v>
      </c>
      <c r="B177" s="45" t="n">
        <v>45533</v>
      </c>
      <c r="C177" s="44" t="n">
        <v>8</v>
      </c>
      <c r="D177" s="44" t="n">
        <v>2024</v>
      </c>
      <c r="E177" s="44" t="n">
        <v>29</v>
      </c>
      <c r="F177" s="44" t="s">
        <v>306</v>
      </c>
      <c r="G177" s="44" t="s">
        <v>448</v>
      </c>
      <c r="H177" s="44" t="s">
        <v>138</v>
      </c>
      <c r="I177" s="44" t="s">
        <v>172</v>
      </c>
      <c r="J177" s="44" t="s">
        <v>192</v>
      </c>
      <c r="K177" s="44" t="n">
        <v>2</v>
      </c>
      <c r="L177" s="46" t="n">
        <v>26.69</v>
      </c>
      <c r="M177" s="47" t="n">
        <v>1.905</v>
      </c>
      <c r="N177" s="46" t="n">
        <v>126.46</v>
      </c>
      <c r="O177" s="44" t="s">
        <v>308</v>
      </c>
      <c r="P177" s="44" t="s">
        <v>369</v>
      </c>
      <c r="Q177" s="44" t="s">
        <v>309</v>
      </c>
    </row>
    <row r="178" customFormat="false" ht="15" hidden="false" customHeight="false" outlineLevel="0" collapsed="false">
      <c r="A178" s="44" t="n">
        <v>177</v>
      </c>
      <c r="B178" s="45" t="n">
        <v>45335</v>
      </c>
      <c r="C178" s="44" t="n">
        <v>2</v>
      </c>
      <c r="D178" s="44" t="n">
        <v>2024</v>
      </c>
      <c r="E178" s="44" t="n">
        <v>13</v>
      </c>
      <c r="F178" s="44" t="s">
        <v>310</v>
      </c>
      <c r="G178" s="44" t="s">
        <v>449</v>
      </c>
      <c r="H178" s="44" t="s">
        <v>138</v>
      </c>
      <c r="I178" s="44" t="s">
        <v>174</v>
      </c>
      <c r="J178" s="44" t="s">
        <v>191</v>
      </c>
      <c r="K178" s="44" t="n">
        <v>2</v>
      </c>
      <c r="L178" s="46" t="n">
        <v>68.43</v>
      </c>
      <c r="M178" s="47" t="n">
        <v>1.9</v>
      </c>
      <c r="N178" s="46" t="n">
        <v>134.26</v>
      </c>
      <c r="O178" s="44" t="s">
        <v>309</v>
      </c>
      <c r="P178" s="44" t="s">
        <v>309</v>
      </c>
      <c r="Q178" s="44" t="s">
        <v>309</v>
      </c>
    </row>
    <row r="179" customFormat="false" ht="15" hidden="false" customHeight="false" outlineLevel="0" collapsed="false">
      <c r="A179" s="44" t="n">
        <v>178</v>
      </c>
      <c r="B179" s="45" t="n">
        <v>45566</v>
      </c>
      <c r="C179" s="44" t="n">
        <v>10</v>
      </c>
      <c r="D179" s="44" t="n">
        <v>2024</v>
      </c>
      <c r="E179" s="44" t="n">
        <v>1</v>
      </c>
      <c r="F179" s="44" t="s">
        <v>310</v>
      </c>
      <c r="G179" s="44" t="s">
        <v>433</v>
      </c>
      <c r="H179" s="44" t="s">
        <v>135</v>
      </c>
      <c r="I179" s="44" t="s">
        <v>176</v>
      </c>
      <c r="J179" s="44" t="s">
        <v>194</v>
      </c>
      <c r="K179" s="44" t="n">
        <v>1</v>
      </c>
      <c r="L179" s="46" t="n">
        <v>147.14</v>
      </c>
      <c r="M179" s="47" t="n">
        <v>0.15</v>
      </c>
      <c r="N179" s="46" t="n">
        <v>146.92</v>
      </c>
      <c r="O179" s="44" t="s">
        <v>309</v>
      </c>
      <c r="P179" s="44" t="s">
        <v>309</v>
      </c>
      <c r="Q179" s="44" t="s">
        <v>309</v>
      </c>
    </row>
    <row r="180" customFormat="false" ht="15" hidden="false" customHeight="false" outlineLevel="0" collapsed="false">
      <c r="A180" s="44" t="n">
        <v>179</v>
      </c>
      <c r="B180" s="45" t="n">
        <v>45375</v>
      </c>
      <c r="C180" s="44" t="n">
        <v>3</v>
      </c>
      <c r="D180" s="44" t="n">
        <v>2024</v>
      </c>
      <c r="E180" s="44" t="n">
        <v>24</v>
      </c>
      <c r="F180" s="44" t="s">
        <v>312</v>
      </c>
      <c r="G180" s="44" t="s">
        <v>450</v>
      </c>
      <c r="H180" s="44" t="s">
        <v>135</v>
      </c>
      <c r="I180" s="44" t="s">
        <v>176</v>
      </c>
      <c r="J180" s="44" t="s">
        <v>191</v>
      </c>
      <c r="K180" s="44" t="n">
        <v>4</v>
      </c>
      <c r="L180" s="46" t="n">
        <v>157.02</v>
      </c>
      <c r="M180" s="47" t="n">
        <v>4.27</v>
      </c>
      <c r="N180" s="46" t="n">
        <v>601.26</v>
      </c>
      <c r="O180" s="44" t="s">
        <v>309</v>
      </c>
      <c r="P180" s="44" t="s">
        <v>309</v>
      </c>
      <c r="Q180" s="44" t="s">
        <v>309</v>
      </c>
    </row>
    <row r="181" customFormat="false" ht="15" hidden="false" customHeight="false" outlineLevel="0" collapsed="false">
      <c r="A181" s="44" t="n">
        <v>180</v>
      </c>
      <c r="B181" s="45" t="n">
        <v>45368</v>
      </c>
      <c r="C181" s="44" t="n">
        <v>3</v>
      </c>
      <c r="D181" s="44" t="n">
        <v>2024</v>
      </c>
      <c r="E181" s="44" t="n">
        <v>17</v>
      </c>
      <c r="F181" s="44" t="s">
        <v>312</v>
      </c>
      <c r="G181" s="44" t="s">
        <v>451</v>
      </c>
      <c r="H181" s="44" t="s">
        <v>134</v>
      </c>
      <c r="I181" s="44" t="s">
        <v>175</v>
      </c>
      <c r="J181" s="44" t="s">
        <v>191</v>
      </c>
      <c r="K181" s="44" t="n">
        <v>2</v>
      </c>
      <c r="L181" s="46" t="n">
        <v>3.21</v>
      </c>
      <c r="M181" s="47" t="n">
        <v>0.55</v>
      </c>
      <c r="N181" s="46" t="n">
        <v>6.38</v>
      </c>
      <c r="O181" s="44" t="s">
        <v>309</v>
      </c>
      <c r="P181" s="44" t="s">
        <v>309</v>
      </c>
      <c r="Q181" s="44" t="s">
        <v>309</v>
      </c>
    </row>
    <row r="182" customFormat="false" ht="15" hidden="false" customHeight="false" outlineLevel="0" collapsed="false">
      <c r="A182" s="44" t="n">
        <v>181</v>
      </c>
      <c r="B182" s="45" t="n">
        <v>45379</v>
      </c>
      <c r="C182" s="44" t="n">
        <v>3</v>
      </c>
      <c r="D182" s="44" t="n">
        <v>2024</v>
      </c>
      <c r="E182" s="44" t="n">
        <v>28</v>
      </c>
      <c r="F182" s="44" t="s">
        <v>306</v>
      </c>
      <c r="G182" s="44" t="s">
        <v>335</v>
      </c>
      <c r="H182" s="44" t="s">
        <v>138</v>
      </c>
      <c r="I182" s="44" t="s">
        <v>172</v>
      </c>
      <c r="J182" s="44" t="s">
        <v>191</v>
      </c>
      <c r="K182" s="44" t="n">
        <v>3</v>
      </c>
      <c r="L182" s="46" t="n">
        <v>26.69</v>
      </c>
      <c r="M182" s="47" t="n">
        <v>3.37</v>
      </c>
      <c r="N182" s="46" t="n">
        <v>24.15</v>
      </c>
      <c r="O182" s="44" t="s">
        <v>308</v>
      </c>
      <c r="P182" s="44" t="s">
        <v>309</v>
      </c>
      <c r="Q182" s="44" t="s">
        <v>309</v>
      </c>
    </row>
    <row r="183" customFormat="false" ht="15" hidden="false" customHeight="false" outlineLevel="0" collapsed="false">
      <c r="A183" s="44" t="n">
        <v>182</v>
      </c>
      <c r="B183" s="45" t="n">
        <v>45547</v>
      </c>
      <c r="C183" s="44" t="n">
        <v>9</v>
      </c>
      <c r="D183" s="44" t="n">
        <v>2024</v>
      </c>
      <c r="E183" s="44" t="n">
        <v>12</v>
      </c>
      <c r="F183" s="44" t="s">
        <v>306</v>
      </c>
      <c r="G183" s="44" t="s">
        <v>452</v>
      </c>
      <c r="H183" s="44" t="s">
        <v>135</v>
      </c>
      <c r="I183" s="44" t="s">
        <v>174</v>
      </c>
      <c r="J183" s="44" t="s">
        <v>195</v>
      </c>
      <c r="K183" s="44" t="n">
        <v>1</v>
      </c>
      <c r="L183" s="46" t="n">
        <v>25.73</v>
      </c>
      <c r="M183" s="47" t="n">
        <v>0</v>
      </c>
      <c r="N183" s="46" t="n">
        <v>25.73</v>
      </c>
      <c r="O183" s="44" t="s">
        <v>309</v>
      </c>
      <c r="P183" s="44" t="s">
        <v>317</v>
      </c>
      <c r="Q183" s="44" t="s">
        <v>309</v>
      </c>
    </row>
    <row r="184" customFormat="false" ht="15" hidden="false" customHeight="false" outlineLevel="0" collapsed="false">
      <c r="A184" s="44" t="n">
        <v>183</v>
      </c>
      <c r="B184" s="45" t="n">
        <v>45323</v>
      </c>
      <c r="C184" s="44" t="n">
        <v>2</v>
      </c>
      <c r="D184" s="44" t="n">
        <v>2024</v>
      </c>
      <c r="E184" s="44" t="n">
        <v>1</v>
      </c>
      <c r="F184" s="44" t="s">
        <v>306</v>
      </c>
      <c r="G184" s="44" t="s">
        <v>430</v>
      </c>
      <c r="H184" s="44" t="s">
        <v>135</v>
      </c>
      <c r="I184" s="44" t="s">
        <v>176</v>
      </c>
      <c r="J184" s="44" t="s">
        <v>197</v>
      </c>
      <c r="K184" s="44" t="n">
        <v>2</v>
      </c>
      <c r="L184" s="46" t="n">
        <v>61.85</v>
      </c>
      <c r="M184" s="47" t="n">
        <v>0.97</v>
      </c>
      <c r="N184" s="46" t="n">
        <v>122.5</v>
      </c>
      <c r="O184" s="44" t="s">
        <v>309</v>
      </c>
      <c r="P184" s="44" t="s">
        <v>317</v>
      </c>
      <c r="Q184" s="44" t="s">
        <v>309</v>
      </c>
    </row>
    <row r="185" customFormat="false" ht="15" hidden="false" customHeight="false" outlineLevel="0" collapsed="false">
      <c r="A185" s="44" t="n">
        <v>184</v>
      </c>
      <c r="B185" s="45" t="n">
        <v>45335</v>
      </c>
      <c r="C185" s="44" t="n">
        <v>2</v>
      </c>
      <c r="D185" s="44" t="n">
        <v>2024</v>
      </c>
      <c r="E185" s="44" t="n">
        <v>13</v>
      </c>
      <c r="F185" s="44" t="s">
        <v>310</v>
      </c>
      <c r="G185" s="44" t="s">
        <v>386</v>
      </c>
      <c r="H185" s="44" t="s">
        <v>137</v>
      </c>
      <c r="I185" s="44" t="s">
        <v>176</v>
      </c>
      <c r="J185" s="44" t="s">
        <v>192</v>
      </c>
      <c r="K185" s="44" t="n">
        <v>3</v>
      </c>
      <c r="L185" s="46" t="n">
        <v>11.74</v>
      </c>
      <c r="M185" s="47" t="n">
        <v>1.95</v>
      </c>
      <c r="N185" s="46" t="n">
        <v>34.53</v>
      </c>
      <c r="O185" s="44" t="s">
        <v>309</v>
      </c>
      <c r="P185" s="44" t="s">
        <v>309</v>
      </c>
      <c r="Q185" s="44" t="s">
        <v>309</v>
      </c>
    </row>
    <row r="186" customFormat="false" ht="15" hidden="false" customHeight="false" outlineLevel="0" collapsed="false">
      <c r="A186" s="44" t="n">
        <v>185</v>
      </c>
      <c r="B186" s="45" t="n">
        <v>45519</v>
      </c>
      <c r="C186" s="44" t="n">
        <v>8</v>
      </c>
      <c r="D186" s="44" t="n">
        <v>2024</v>
      </c>
      <c r="E186" s="44" t="n">
        <v>15</v>
      </c>
      <c r="F186" s="44" t="s">
        <v>306</v>
      </c>
      <c r="G186" s="44" t="s">
        <v>453</v>
      </c>
      <c r="H186" s="44" t="s">
        <v>139</v>
      </c>
      <c r="I186" s="44" t="s">
        <v>173</v>
      </c>
      <c r="J186" s="44" t="s">
        <v>206</v>
      </c>
      <c r="K186" s="44" t="n">
        <v>1</v>
      </c>
      <c r="L186" s="46" t="n">
        <v>33.42</v>
      </c>
      <c r="M186" s="47" t="n">
        <v>0.69</v>
      </c>
      <c r="N186" s="46" t="n">
        <v>33.19</v>
      </c>
      <c r="O186" s="44" t="s">
        <v>309</v>
      </c>
      <c r="P186" s="44" t="s">
        <v>309</v>
      </c>
      <c r="Q186" s="44" t="s">
        <v>309</v>
      </c>
    </row>
    <row r="187" customFormat="false" ht="15" hidden="false" customHeight="false" outlineLevel="0" collapsed="false">
      <c r="A187" s="44" t="n">
        <v>186</v>
      </c>
      <c r="B187" s="45" t="n">
        <v>45325</v>
      </c>
      <c r="C187" s="44" t="n">
        <v>2</v>
      </c>
      <c r="D187" s="44" t="n">
        <v>2024</v>
      </c>
      <c r="E187" s="44" t="n">
        <v>3</v>
      </c>
      <c r="F187" s="44" t="s">
        <v>318</v>
      </c>
      <c r="G187" s="44" t="s">
        <v>396</v>
      </c>
      <c r="H187" s="44" t="s">
        <v>137</v>
      </c>
      <c r="I187" s="44" t="s">
        <v>176</v>
      </c>
      <c r="J187" s="44" t="s">
        <v>193</v>
      </c>
      <c r="K187" s="44" t="n">
        <v>3</v>
      </c>
      <c r="L187" s="46" t="n">
        <v>99.89</v>
      </c>
      <c r="M187" s="47" t="n">
        <v>2.15</v>
      </c>
      <c r="N187" s="46" t="n">
        <v>293.23</v>
      </c>
      <c r="O187" s="44" t="s">
        <v>309</v>
      </c>
      <c r="P187" s="44" t="s">
        <v>309</v>
      </c>
      <c r="Q187" s="44" t="s">
        <v>309</v>
      </c>
    </row>
    <row r="188" customFormat="false" ht="15" hidden="false" customHeight="false" outlineLevel="0" collapsed="false">
      <c r="A188" s="44" t="n">
        <v>187</v>
      </c>
      <c r="B188" s="45" t="n">
        <v>45294</v>
      </c>
      <c r="C188" s="44" t="n">
        <v>1</v>
      </c>
      <c r="D188" s="44" t="n">
        <v>2024</v>
      </c>
      <c r="E188" s="44" t="n">
        <v>3</v>
      </c>
      <c r="F188" s="44" t="s">
        <v>321</v>
      </c>
      <c r="G188" s="44" t="s">
        <v>374</v>
      </c>
      <c r="H188" s="44" t="s">
        <v>140</v>
      </c>
      <c r="I188" s="44" t="s">
        <v>172</v>
      </c>
      <c r="J188" s="44" t="s">
        <v>193</v>
      </c>
      <c r="K188" s="44" t="n">
        <v>5</v>
      </c>
      <c r="L188" s="46" t="n">
        <v>67.49</v>
      </c>
      <c r="M188" s="47" t="n">
        <v>7.97</v>
      </c>
      <c r="N188" s="46" t="n">
        <v>310.56</v>
      </c>
      <c r="O188" s="44" t="s">
        <v>309</v>
      </c>
      <c r="P188" s="44" t="s">
        <v>317</v>
      </c>
      <c r="Q188" s="44" t="s">
        <v>309</v>
      </c>
    </row>
    <row r="189" customFormat="false" ht="15" hidden="false" customHeight="false" outlineLevel="0" collapsed="false">
      <c r="A189" s="44" t="n">
        <v>188</v>
      </c>
      <c r="B189" s="45" t="n">
        <v>45605</v>
      </c>
      <c r="C189" s="44" t="n">
        <v>11</v>
      </c>
      <c r="D189" s="44" t="n">
        <v>2024</v>
      </c>
      <c r="E189" s="44" t="n">
        <v>9</v>
      </c>
      <c r="F189" s="44" t="s">
        <v>318</v>
      </c>
      <c r="G189" s="44" t="s">
        <v>355</v>
      </c>
      <c r="H189" s="44" t="s">
        <v>135</v>
      </c>
      <c r="I189" s="44" t="s">
        <v>176</v>
      </c>
      <c r="J189" s="44" t="s">
        <v>191</v>
      </c>
      <c r="K189" s="44" t="n">
        <v>2</v>
      </c>
      <c r="L189" s="46" t="n">
        <v>30.44</v>
      </c>
      <c r="M189" s="47" t="n">
        <v>1.24</v>
      </c>
      <c r="N189" s="46" t="n">
        <v>296.89</v>
      </c>
      <c r="O189" s="44" t="s">
        <v>308</v>
      </c>
      <c r="P189" s="44" t="s">
        <v>309</v>
      </c>
      <c r="Q189" s="44" t="s">
        <v>309</v>
      </c>
    </row>
    <row r="190" customFormat="false" ht="15" hidden="false" customHeight="false" outlineLevel="0" collapsed="false">
      <c r="A190" s="44" t="n">
        <v>189</v>
      </c>
      <c r="B190" s="45" t="n">
        <v>45415</v>
      </c>
      <c r="C190" s="44" t="n">
        <v>5</v>
      </c>
      <c r="D190" s="44" t="n">
        <v>2024</v>
      </c>
      <c r="E190" s="44" t="n">
        <v>3</v>
      </c>
      <c r="F190" s="44" t="s">
        <v>325</v>
      </c>
      <c r="G190" s="44" t="s">
        <v>454</v>
      </c>
      <c r="H190" s="44" t="s">
        <v>135</v>
      </c>
      <c r="I190" s="44" t="s">
        <v>174</v>
      </c>
      <c r="J190" s="44" t="s">
        <v>202</v>
      </c>
      <c r="K190" s="44" t="n">
        <v>1</v>
      </c>
      <c r="L190" s="46" t="n">
        <v>130.58</v>
      </c>
      <c r="M190" s="47" t="n">
        <v>0</v>
      </c>
      <c r="N190" s="46" t="n">
        <v>130.58</v>
      </c>
      <c r="O190" s="44" t="s">
        <v>309</v>
      </c>
      <c r="P190" s="44" t="s">
        <v>317</v>
      </c>
      <c r="Q190" s="44" t="s">
        <v>309</v>
      </c>
    </row>
    <row r="191" customFormat="false" ht="15" hidden="false" customHeight="false" outlineLevel="0" collapsed="false">
      <c r="A191" s="44" t="n">
        <v>190</v>
      </c>
      <c r="B191" s="45" t="n">
        <v>45569</v>
      </c>
      <c r="C191" s="44" t="n">
        <v>10</v>
      </c>
      <c r="D191" s="44" t="n">
        <v>2024</v>
      </c>
      <c r="E191" s="44" t="n">
        <v>4</v>
      </c>
      <c r="F191" s="44" t="s">
        <v>325</v>
      </c>
      <c r="G191" s="44" t="s">
        <v>388</v>
      </c>
      <c r="H191" s="44" t="s">
        <v>138</v>
      </c>
      <c r="I191" s="44" t="s">
        <v>173</v>
      </c>
      <c r="J191" s="44" t="s">
        <v>204</v>
      </c>
      <c r="K191" s="44" t="n">
        <v>1</v>
      </c>
      <c r="L191" s="46" t="n">
        <v>26.69</v>
      </c>
      <c r="M191" s="47" t="n">
        <v>0.81</v>
      </c>
      <c r="N191" s="46" t="n">
        <v>117.35</v>
      </c>
      <c r="O191" s="44" t="s">
        <v>308</v>
      </c>
      <c r="P191" s="44" t="s">
        <v>309</v>
      </c>
      <c r="Q191" s="44" t="s">
        <v>309</v>
      </c>
    </row>
    <row r="192" customFormat="false" ht="15" hidden="false" customHeight="false" outlineLevel="0" collapsed="false">
      <c r="A192" s="44" t="n">
        <v>191</v>
      </c>
      <c r="B192" s="45" t="n">
        <v>45378</v>
      </c>
      <c r="C192" s="44" t="n">
        <v>3</v>
      </c>
      <c r="D192" s="44" t="n">
        <v>2024</v>
      </c>
      <c r="E192" s="44" t="n">
        <v>27</v>
      </c>
      <c r="F192" s="44" t="s">
        <v>321</v>
      </c>
      <c r="G192" s="44" t="s">
        <v>455</v>
      </c>
      <c r="H192" s="44" t="s">
        <v>140</v>
      </c>
      <c r="I192" s="44" t="s">
        <v>174</v>
      </c>
      <c r="J192" s="44" t="s">
        <v>194</v>
      </c>
      <c r="K192" s="44" t="n">
        <v>2</v>
      </c>
      <c r="L192" s="46" t="n">
        <v>10.66</v>
      </c>
      <c r="M192" s="47" t="n">
        <v>2.85</v>
      </c>
      <c r="N192" s="46" t="n">
        <v>20.71</v>
      </c>
      <c r="O192" s="44" t="s">
        <v>309</v>
      </c>
      <c r="P192" s="44" t="s">
        <v>309</v>
      </c>
      <c r="Q192" s="44" t="s">
        <v>309</v>
      </c>
    </row>
    <row r="193" customFormat="false" ht="15" hidden="false" customHeight="false" outlineLevel="0" collapsed="false">
      <c r="A193" s="44" t="n">
        <v>192</v>
      </c>
      <c r="B193" s="45" t="n">
        <v>45644</v>
      </c>
      <c r="C193" s="44" t="n">
        <v>12</v>
      </c>
      <c r="D193" s="44" t="n">
        <v>2024</v>
      </c>
      <c r="E193" s="44" t="n">
        <v>18</v>
      </c>
      <c r="F193" s="44" t="s">
        <v>321</v>
      </c>
      <c r="G193" s="44" t="s">
        <v>380</v>
      </c>
      <c r="H193" s="44" t="s">
        <v>135</v>
      </c>
      <c r="I193" s="44" t="s">
        <v>174</v>
      </c>
      <c r="J193" s="44" t="s">
        <v>199</v>
      </c>
      <c r="K193" s="44" t="n">
        <v>2</v>
      </c>
      <c r="L193" s="46" t="n">
        <v>30.44</v>
      </c>
      <c r="M193" s="47" t="n">
        <v>2.21</v>
      </c>
      <c r="N193" s="46" t="n">
        <v>85.59</v>
      </c>
      <c r="O193" s="44" t="s">
        <v>308</v>
      </c>
      <c r="P193" s="44" t="s">
        <v>309</v>
      </c>
      <c r="Q193" s="44" t="s">
        <v>309</v>
      </c>
    </row>
    <row r="194" customFormat="false" ht="15" hidden="false" customHeight="false" outlineLevel="0" collapsed="false">
      <c r="A194" s="44" t="n">
        <v>193</v>
      </c>
      <c r="B194" s="45" t="n">
        <v>45424</v>
      </c>
      <c r="C194" s="44" t="n">
        <v>5</v>
      </c>
      <c r="D194" s="44" t="n">
        <v>2024</v>
      </c>
      <c r="E194" s="44" t="n">
        <v>12</v>
      </c>
      <c r="F194" s="44" t="s">
        <v>312</v>
      </c>
      <c r="G194" s="44" t="s">
        <v>456</v>
      </c>
      <c r="H194" s="44" t="s">
        <v>139</v>
      </c>
      <c r="I194" s="44" t="s">
        <v>172</v>
      </c>
      <c r="J194" s="44" t="s">
        <v>192</v>
      </c>
      <c r="K194" s="44" t="n">
        <v>1</v>
      </c>
      <c r="L194" s="46" t="n">
        <v>1.6</v>
      </c>
      <c r="M194" s="47" t="n">
        <v>0</v>
      </c>
      <c r="N194" s="46" t="n">
        <v>1.6</v>
      </c>
      <c r="O194" s="44" t="s">
        <v>309</v>
      </c>
      <c r="P194" s="44" t="s">
        <v>309</v>
      </c>
      <c r="Q194" s="44" t="s">
        <v>309</v>
      </c>
    </row>
    <row r="195" customFormat="false" ht="15" hidden="false" customHeight="false" outlineLevel="0" collapsed="false">
      <c r="A195" s="44" t="n">
        <v>194</v>
      </c>
      <c r="B195" s="45" t="n">
        <v>45588</v>
      </c>
      <c r="C195" s="44" t="n">
        <v>10</v>
      </c>
      <c r="D195" s="44" t="n">
        <v>2024</v>
      </c>
      <c r="E195" s="44" t="n">
        <v>23</v>
      </c>
      <c r="F195" s="44" t="s">
        <v>321</v>
      </c>
      <c r="G195" s="44" t="s">
        <v>393</v>
      </c>
      <c r="H195" s="44" t="s">
        <v>135</v>
      </c>
      <c r="I195" s="44" t="s">
        <v>173</v>
      </c>
      <c r="J195" s="44" t="s">
        <v>206</v>
      </c>
      <c r="K195" s="44" t="n">
        <v>1</v>
      </c>
      <c r="L195" s="46" t="n">
        <v>30.44</v>
      </c>
      <c r="M195" s="47" t="n">
        <v>1.03</v>
      </c>
      <c r="N195" s="46" t="n">
        <v>2.47</v>
      </c>
      <c r="O195" s="44" t="s">
        <v>308</v>
      </c>
      <c r="P195" s="44" t="s">
        <v>309</v>
      </c>
      <c r="Q195" s="44" t="s">
        <v>309</v>
      </c>
    </row>
    <row r="196" customFormat="false" ht="15" hidden="false" customHeight="false" outlineLevel="0" collapsed="false">
      <c r="A196" s="44" t="n">
        <v>195</v>
      </c>
      <c r="B196" s="45" t="n">
        <v>45379</v>
      </c>
      <c r="C196" s="44" t="n">
        <v>3</v>
      </c>
      <c r="D196" s="44" t="n">
        <v>2024</v>
      </c>
      <c r="E196" s="44" t="n">
        <v>28</v>
      </c>
      <c r="F196" s="44" t="s">
        <v>306</v>
      </c>
      <c r="G196" s="44" t="s">
        <v>457</v>
      </c>
      <c r="H196" s="44" t="s">
        <v>134</v>
      </c>
      <c r="I196" s="44" t="s">
        <v>172</v>
      </c>
      <c r="J196" s="44" t="s">
        <v>205</v>
      </c>
      <c r="K196" s="44" t="n">
        <v>2</v>
      </c>
      <c r="L196" s="46" t="n">
        <v>43.05</v>
      </c>
      <c r="M196" s="47" t="n">
        <v>2.31</v>
      </c>
      <c r="N196" s="46" t="n">
        <v>84.11</v>
      </c>
      <c r="O196" s="44" t="s">
        <v>309</v>
      </c>
      <c r="P196" s="44" t="s">
        <v>309</v>
      </c>
      <c r="Q196" s="44" t="s">
        <v>309</v>
      </c>
    </row>
    <row r="197" customFormat="false" ht="15" hidden="false" customHeight="false" outlineLevel="0" collapsed="false">
      <c r="A197" s="44" t="n">
        <v>196</v>
      </c>
      <c r="B197" s="45" t="n">
        <v>45432</v>
      </c>
      <c r="C197" s="44" t="n">
        <v>5</v>
      </c>
      <c r="D197" s="44" t="n">
        <v>2024</v>
      </c>
      <c r="E197" s="44" t="n">
        <v>20</v>
      </c>
      <c r="F197" s="44" t="s">
        <v>328</v>
      </c>
      <c r="G197" s="44" t="s">
        <v>315</v>
      </c>
      <c r="H197" s="44" t="s">
        <v>139</v>
      </c>
      <c r="I197" s="44" t="s">
        <v>173</v>
      </c>
      <c r="J197" s="44" t="s">
        <v>198</v>
      </c>
      <c r="K197" s="44" t="n">
        <v>3</v>
      </c>
      <c r="L197" s="46" t="n">
        <v>18.33</v>
      </c>
      <c r="M197" s="47" t="n">
        <v>1.65</v>
      </c>
      <c r="N197" s="46" t="n">
        <v>4.54</v>
      </c>
      <c r="O197" s="44" t="s">
        <v>308</v>
      </c>
      <c r="P197" s="44" t="s">
        <v>309</v>
      </c>
      <c r="Q197" s="44" t="s">
        <v>309</v>
      </c>
    </row>
    <row r="198" customFormat="false" ht="15" hidden="false" customHeight="false" outlineLevel="0" collapsed="false">
      <c r="A198" s="44" t="n">
        <v>197</v>
      </c>
      <c r="B198" s="45" t="n">
        <v>45628</v>
      </c>
      <c r="C198" s="44" t="n">
        <v>12</v>
      </c>
      <c r="D198" s="44" t="n">
        <v>2024</v>
      </c>
      <c r="E198" s="44" t="n">
        <v>2</v>
      </c>
      <c r="F198" s="44" t="s">
        <v>328</v>
      </c>
      <c r="G198" s="44" t="s">
        <v>357</v>
      </c>
      <c r="H198" s="44" t="s">
        <v>140</v>
      </c>
      <c r="I198" s="44" t="s">
        <v>172</v>
      </c>
      <c r="J198" s="44" t="s">
        <v>199</v>
      </c>
      <c r="K198" s="44" t="n">
        <v>2</v>
      </c>
      <c r="L198" s="46" t="n">
        <v>11.31</v>
      </c>
      <c r="M198" s="47" t="n">
        <v>2.67</v>
      </c>
      <c r="N198" s="46" t="n">
        <v>3.72</v>
      </c>
      <c r="O198" s="44" t="s">
        <v>308</v>
      </c>
      <c r="P198" s="44" t="s">
        <v>309</v>
      </c>
      <c r="Q198" s="44" t="s">
        <v>309</v>
      </c>
    </row>
    <row r="199" customFormat="false" ht="15" hidden="false" customHeight="false" outlineLevel="0" collapsed="false">
      <c r="A199" s="44" t="n">
        <v>198</v>
      </c>
      <c r="B199" s="45" t="n">
        <v>45316</v>
      </c>
      <c r="C199" s="44" t="n">
        <v>1</v>
      </c>
      <c r="D199" s="44" t="n">
        <v>2024</v>
      </c>
      <c r="E199" s="44" t="n">
        <v>25</v>
      </c>
      <c r="F199" s="44" t="s">
        <v>306</v>
      </c>
      <c r="G199" s="44" t="s">
        <v>458</v>
      </c>
      <c r="H199" s="44" t="s">
        <v>137</v>
      </c>
      <c r="I199" s="44" t="s">
        <v>172</v>
      </c>
      <c r="J199" s="44" t="s">
        <v>203</v>
      </c>
      <c r="K199" s="44" t="n">
        <v>8</v>
      </c>
      <c r="L199" s="46" t="n">
        <v>6.52</v>
      </c>
      <c r="M199" s="47" t="n">
        <v>12.23</v>
      </c>
      <c r="N199" s="46" t="n">
        <v>45.78</v>
      </c>
      <c r="O199" s="44" t="s">
        <v>309</v>
      </c>
      <c r="P199" s="44" t="s">
        <v>317</v>
      </c>
      <c r="Q199" s="44" t="s">
        <v>309</v>
      </c>
    </row>
    <row r="200" customFormat="false" ht="15" hidden="false" customHeight="false" outlineLevel="0" collapsed="false">
      <c r="A200" s="44" t="n">
        <v>199</v>
      </c>
      <c r="B200" s="45" t="n">
        <v>45522</v>
      </c>
      <c r="C200" s="44" t="n">
        <v>8</v>
      </c>
      <c r="D200" s="44" t="n">
        <v>2024</v>
      </c>
      <c r="E200" s="44" t="n">
        <v>18</v>
      </c>
      <c r="F200" s="44" t="s">
        <v>312</v>
      </c>
      <c r="G200" s="44" t="s">
        <v>459</v>
      </c>
      <c r="H200" s="44" t="s">
        <v>134</v>
      </c>
      <c r="I200" s="44" t="s">
        <v>176</v>
      </c>
      <c r="J200" s="44" t="s">
        <v>191</v>
      </c>
      <c r="K200" s="44" t="n">
        <v>4</v>
      </c>
      <c r="L200" s="46" t="n">
        <v>8.29</v>
      </c>
      <c r="M200" s="47" t="n">
        <v>5.72</v>
      </c>
      <c r="N200" s="46" t="n">
        <v>31.26</v>
      </c>
      <c r="O200" s="44" t="s">
        <v>309</v>
      </c>
      <c r="P200" s="44" t="s">
        <v>309</v>
      </c>
      <c r="Q200" s="44" t="s">
        <v>309</v>
      </c>
    </row>
    <row r="201" customFormat="false" ht="15" hidden="false" customHeight="false" outlineLevel="0" collapsed="false">
      <c r="A201" s="44" t="n">
        <v>200</v>
      </c>
      <c r="B201" s="45" t="n">
        <v>45535</v>
      </c>
      <c r="C201" s="44" t="n">
        <v>8</v>
      </c>
      <c r="D201" s="44" t="n">
        <v>2024</v>
      </c>
      <c r="E201" s="44" t="n">
        <v>31</v>
      </c>
      <c r="F201" s="44" t="s">
        <v>318</v>
      </c>
      <c r="G201" s="44" t="s">
        <v>364</v>
      </c>
      <c r="H201" s="44" t="s">
        <v>135</v>
      </c>
      <c r="I201" s="44" t="s">
        <v>174</v>
      </c>
      <c r="J201" s="44" t="s">
        <v>206</v>
      </c>
      <c r="K201" s="44" t="n">
        <v>4</v>
      </c>
      <c r="L201" s="46" t="n">
        <v>30.44</v>
      </c>
      <c r="M201" s="47" t="n">
        <v>6.24</v>
      </c>
      <c r="N201" s="46" t="n">
        <v>94.32</v>
      </c>
      <c r="O201" s="44" t="s">
        <v>308</v>
      </c>
      <c r="P201" s="44" t="s">
        <v>309</v>
      </c>
      <c r="Q201" s="44" t="s">
        <v>309</v>
      </c>
    </row>
    <row r="202" customFormat="false" ht="15" hidden="false" customHeight="false" outlineLevel="0" collapsed="false">
      <c r="A202" s="44" t="n">
        <v>201</v>
      </c>
      <c r="B202" s="45" t="n">
        <v>45504</v>
      </c>
      <c r="C202" s="44" t="n">
        <v>7</v>
      </c>
      <c r="D202" s="44" t="n">
        <v>2024</v>
      </c>
      <c r="E202" s="44" t="n">
        <v>31</v>
      </c>
      <c r="F202" s="44" t="s">
        <v>321</v>
      </c>
      <c r="G202" s="44" t="s">
        <v>316</v>
      </c>
      <c r="H202" s="44" t="s">
        <v>135</v>
      </c>
      <c r="I202" s="44" t="s">
        <v>172</v>
      </c>
      <c r="J202" s="44" t="s">
        <v>191</v>
      </c>
      <c r="K202" s="44" t="n">
        <v>6</v>
      </c>
      <c r="L202" s="46" t="n">
        <v>48.54</v>
      </c>
      <c r="M202" s="47" t="n">
        <v>7.54</v>
      </c>
      <c r="N202" s="46" t="n">
        <v>269.28</v>
      </c>
      <c r="O202" s="44" t="s">
        <v>309</v>
      </c>
      <c r="P202" s="44" t="s">
        <v>309</v>
      </c>
      <c r="Q202" s="44" t="s">
        <v>309</v>
      </c>
    </row>
    <row r="203" customFormat="false" ht="15" hidden="false" customHeight="false" outlineLevel="0" collapsed="false">
      <c r="A203" s="44" t="n">
        <v>202</v>
      </c>
      <c r="B203" s="45" t="n">
        <v>45521</v>
      </c>
      <c r="C203" s="44" t="n">
        <v>8</v>
      </c>
      <c r="D203" s="44" t="n">
        <v>2024</v>
      </c>
      <c r="E203" s="44" t="n">
        <v>17</v>
      </c>
      <c r="F203" s="44" t="s">
        <v>318</v>
      </c>
      <c r="G203" s="44" t="s">
        <v>460</v>
      </c>
      <c r="H203" s="44" t="s">
        <v>135</v>
      </c>
      <c r="I203" s="44" t="s">
        <v>172</v>
      </c>
      <c r="J203" s="44" t="s">
        <v>191</v>
      </c>
      <c r="K203" s="44" t="n">
        <v>1</v>
      </c>
      <c r="L203" s="46" t="n">
        <v>29.54</v>
      </c>
      <c r="M203" s="47" t="n">
        <v>1.19</v>
      </c>
      <c r="N203" s="46" t="n">
        <v>29.19</v>
      </c>
      <c r="O203" s="44" t="s">
        <v>309</v>
      </c>
      <c r="P203" s="44" t="s">
        <v>309</v>
      </c>
      <c r="Q203" s="44" t="s">
        <v>309</v>
      </c>
    </row>
    <row r="204" customFormat="false" ht="15" hidden="false" customHeight="false" outlineLevel="0" collapsed="false">
      <c r="A204" s="44" t="n">
        <v>203</v>
      </c>
      <c r="B204" s="45" t="n">
        <v>45349</v>
      </c>
      <c r="C204" s="44" t="n">
        <v>2</v>
      </c>
      <c r="D204" s="44" t="n">
        <v>2024</v>
      </c>
      <c r="E204" s="44" t="n">
        <v>27</v>
      </c>
      <c r="F204" s="44" t="s">
        <v>310</v>
      </c>
      <c r="G204" s="44" t="s">
        <v>332</v>
      </c>
      <c r="H204" s="44" t="s">
        <v>135</v>
      </c>
      <c r="I204" s="44" t="s">
        <v>174</v>
      </c>
      <c r="J204" s="44" t="s">
        <v>191</v>
      </c>
      <c r="K204" s="44" t="n">
        <v>1</v>
      </c>
      <c r="L204" s="46" t="n">
        <v>30.44</v>
      </c>
      <c r="M204" s="47" t="n">
        <v>1.905</v>
      </c>
      <c r="N204" s="46" t="n">
        <v>17.95</v>
      </c>
      <c r="O204" s="44" t="s">
        <v>308</v>
      </c>
      <c r="P204" s="44" t="s">
        <v>369</v>
      </c>
      <c r="Q204" s="44" t="s">
        <v>309</v>
      </c>
    </row>
    <row r="205" customFormat="false" ht="15" hidden="false" customHeight="false" outlineLevel="0" collapsed="false">
      <c r="A205" s="44" t="n">
        <v>204</v>
      </c>
      <c r="B205" s="45" t="n">
        <v>45556</v>
      </c>
      <c r="C205" s="44" t="n">
        <v>9</v>
      </c>
      <c r="D205" s="44" t="n">
        <v>2024</v>
      </c>
      <c r="E205" s="44" t="n">
        <v>21</v>
      </c>
      <c r="F205" s="44" t="s">
        <v>318</v>
      </c>
      <c r="G205" s="44" t="s">
        <v>461</v>
      </c>
      <c r="H205" s="44" t="s">
        <v>135</v>
      </c>
      <c r="I205" s="44" t="s">
        <v>176</v>
      </c>
      <c r="J205" s="44" t="s">
        <v>195</v>
      </c>
      <c r="K205" s="44" t="n">
        <v>1</v>
      </c>
      <c r="L205" s="46" t="n">
        <v>30.44</v>
      </c>
      <c r="M205" s="47" t="n">
        <v>1.905</v>
      </c>
      <c r="N205" s="46" t="n">
        <v>95.97</v>
      </c>
      <c r="O205" s="44" t="s">
        <v>308</v>
      </c>
      <c r="P205" s="44" t="s">
        <v>369</v>
      </c>
      <c r="Q205" s="44" t="s">
        <v>309</v>
      </c>
    </row>
    <row r="206" customFormat="false" ht="15" hidden="false" customHeight="false" outlineLevel="0" collapsed="false">
      <c r="A206" s="44" t="n">
        <v>205</v>
      </c>
      <c r="B206" s="45" t="n">
        <v>45425</v>
      </c>
      <c r="C206" s="44" t="n">
        <v>5</v>
      </c>
      <c r="D206" s="44" t="n">
        <v>2024</v>
      </c>
      <c r="E206" s="44" t="n">
        <v>13</v>
      </c>
      <c r="F206" s="44" t="s">
        <v>328</v>
      </c>
      <c r="G206" s="44" t="s">
        <v>462</v>
      </c>
      <c r="H206" s="44" t="s">
        <v>139</v>
      </c>
      <c r="I206" s="44" t="s">
        <v>172</v>
      </c>
      <c r="J206" s="44" t="s">
        <v>192</v>
      </c>
      <c r="K206" s="44" t="n">
        <v>2</v>
      </c>
      <c r="L206" s="46" t="n">
        <v>1.52</v>
      </c>
      <c r="M206" s="47" t="n">
        <v>1.54</v>
      </c>
      <c r="N206" s="46" t="n">
        <v>2.99</v>
      </c>
      <c r="O206" s="44" t="s">
        <v>309</v>
      </c>
      <c r="P206" s="44" t="s">
        <v>309</v>
      </c>
      <c r="Q206" s="44" t="s">
        <v>309</v>
      </c>
    </row>
    <row r="207" customFormat="false" ht="15" hidden="false" customHeight="false" outlineLevel="0" collapsed="false">
      <c r="A207" s="44" t="n">
        <v>206</v>
      </c>
      <c r="B207" s="45" t="n">
        <v>45652</v>
      </c>
      <c r="C207" s="44" t="n">
        <v>12</v>
      </c>
      <c r="D207" s="44" t="n">
        <v>2024</v>
      </c>
      <c r="E207" s="44" t="n">
        <v>26</v>
      </c>
      <c r="F207" s="44" t="s">
        <v>306</v>
      </c>
      <c r="G207" s="44" t="s">
        <v>343</v>
      </c>
      <c r="H207" s="44" t="s">
        <v>139</v>
      </c>
      <c r="I207" s="44" t="s">
        <v>174</v>
      </c>
      <c r="J207" s="44" t="s">
        <v>196</v>
      </c>
      <c r="K207" s="44" t="n">
        <v>6</v>
      </c>
      <c r="L207" s="46" t="n">
        <v>15.53</v>
      </c>
      <c r="M207" s="47" t="n">
        <v>9.56</v>
      </c>
      <c r="N207" s="46" t="n">
        <v>84.27</v>
      </c>
      <c r="O207" s="44" t="s">
        <v>309</v>
      </c>
      <c r="P207" s="44" t="s">
        <v>309</v>
      </c>
      <c r="Q207" s="44" t="s">
        <v>309</v>
      </c>
    </row>
    <row r="208" customFormat="false" ht="15" hidden="false" customHeight="false" outlineLevel="0" collapsed="false">
      <c r="A208" s="44" t="n">
        <v>207</v>
      </c>
      <c r="B208" s="45" t="n">
        <v>45622</v>
      </c>
      <c r="C208" s="44" t="n">
        <v>11</v>
      </c>
      <c r="D208" s="44" t="n">
        <v>2024</v>
      </c>
      <c r="E208" s="44" t="n">
        <v>26</v>
      </c>
      <c r="F208" s="44" t="s">
        <v>310</v>
      </c>
      <c r="G208" s="44" t="s">
        <v>379</v>
      </c>
      <c r="H208" s="44" t="s">
        <v>135</v>
      </c>
      <c r="I208" s="44" t="s">
        <v>172</v>
      </c>
      <c r="J208" s="44" t="s">
        <v>193</v>
      </c>
      <c r="K208" s="44" t="n">
        <v>2</v>
      </c>
      <c r="L208" s="46" t="n">
        <v>30.44</v>
      </c>
      <c r="M208" s="47" t="n">
        <v>1.905</v>
      </c>
      <c r="N208" s="46" t="n">
        <v>302.55</v>
      </c>
      <c r="O208" s="44" t="s">
        <v>308</v>
      </c>
      <c r="P208" s="44" t="s">
        <v>369</v>
      </c>
      <c r="Q208" s="44" t="s">
        <v>309</v>
      </c>
    </row>
    <row r="209" customFormat="false" ht="15" hidden="false" customHeight="false" outlineLevel="0" collapsed="false">
      <c r="A209" s="44" t="n">
        <v>208</v>
      </c>
      <c r="B209" s="45" t="n">
        <v>45479</v>
      </c>
      <c r="C209" s="44" t="n">
        <v>7</v>
      </c>
      <c r="D209" s="44" t="n">
        <v>2024</v>
      </c>
      <c r="E209" s="44" t="n">
        <v>6</v>
      </c>
      <c r="F209" s="44" t="s">
        <v>318</v>
      </c>
      <c r="G209" s="44" t="s">
        <v>398</v>
      </c>
      <c r="H209" s="44" t="s">
        <v>134</v>
      </c>
      <c r="I209" s="44" t="s">
        <v>174</v>
      </c>
      <c r="J209" s="44" t="s">
        <v>204</v>
      </c>
      <c r="K209" s="44" t="n">
        <v>1</v>
      </c>
      <c r="L209" s="46" t="n">
        <v>7.95</v>
      </c>
      <c r="M209" s="47" t="n">
        <v>0</v>
      </c>
      <c r="N209" s="46" t="n">
        <v>7.95</v>
      </c>
      <c r="O209" s="44" t="s">
        <v>309</v>
      </c>
      <c r="P209" s="44" t="s">
        <v>309</v>
      </c>
      <c r="Q209" s="44" t="s">
        <v>309</v>
      </c>
    </row>
    <row r="210" customFormat="false" ht="15" hidden="false" customHeight="false" outlineLevel="0" collapsed="false">
      <c r="A210" s="44" t="n">
        <v>209</v>
      </c>
      <c r="B210" s="45" t="n">
        <v>45553</v>
      </c>
      <c r="C210" s="44" t="n">
        <v>9</v>
      </c>
      <c r="D210" s="44" t="n">
        <v>2024</v>
      </c>
      <c r="E210" s="44" t="n">
        <v>18</v>
      </c>
      <c r="F210" s="44" t="s">
        <v>321</v>
      </c>
      <c r="G210" s="44" t="s">
        <v>371</v>
      </c>
      <c r="H210" s="44" t="s">
        <v>134</v>
      </c>
      <c r="I210" s="44" t="s">
        <v>176</v>
      </c>
      <c r="J210" s="44" t="s">
        <v>192</v>
      </c>
      <c r="K210" s="44" t="n">
        <v>6</v>
      </c>
      <c r="L210" s="46" t="n">
        <v>58.86</v>
      </c>
      <c r="M210" s="47" t="n">
        <v>7.7</v>
      </c>
      <c r="N210" s="46" t="n">
        <v>325.97</v>
      </c>
      <c r="O210" s="44" t="s">
        <v>309</v>
      </c>
      <c r="P210" s="44" t="s">
        <v>317</v>
      </c>
      <c r="Q210" s="44" t="s">
        <v>309</v>
      </c>
    </row>
    <row r="211" customFormat="false" ht="15" hidden="false" customHeight="false" outlineLevel="0" collapsed="false">
      <c r="A211" s="44" t="n">
        <v>210</v>
      </c>
      <c r="B211" s="45" t="n">
        <v>45408</v>
      </c>
      <c r="C211" s="44" t="n">
        <v>4</v>
      </c>
      <c r="D211" s="44" t="n">
        <v>2024</v>
      </c>
      <c r="E211" s="44" t="n">
        <v>26</v>
      </c>
      <c r="F211" s="44" t="s">
        <v>325</v>
      </c>
      <c r="G211" s="44" t="s">
        <v>393</v>
      </c>
      <c r="H211" s="44" t="s">
        <v>140</v>
      </c>
      <c r="I211" s="44" t="s">
        <v>174</v>
      </c>
      <c r="J211" s="44" t="s">
        <v>191</v>
      </c>
      <c r="K211" s="44" t="n">
        <v>5</v>
      </c>
      <c r="L211" s="46" t="n">
        <v>10</v>
      </c>
      <c r="M211" s="47" t="n">
        <v>6.81</v>
      </c>
      <c r="N211" s="46" t="n">
        <v>46.6</v>
      </c>
      <c r="O211" s="44" t="s">
        <v>309</v>
      </c>
      <c r="P211" s="44" t="s">
        <v>309</v>
      </c>
      <c r="Q211" s="44" t="s">
        <v>309</v>
      </c>
    </row>
    <row r="212" customFormat="false" ht="15" hidden="false" customHeight="false" outlineLevel="0" collapsed="false">
      <c r="A212" s="44" t="n">
        <v>211</v>
      </c>
      <c r="B212" s="45" t="n">
        <v>45621</v>
      </c>
      <c r="C212" s="44" t="n">
        <v>11</v>
      </c>
      <c r="D212" s="44" t="n">
        <v>2024</v>
      </c>
      <c r="E212" s="44" t="n">
        <v>25</v>
      </c>
      <c r="F212" s="44" t="s">
        <v>328</v>
      </c>
      <c r="G212" s="44" t="s">
        <v>463</v>
      </c>
      <c r="H212" s="44" t="s">
        <v>136</v>
      </c>
      <c r="I212" s="44" t="s">
        <v>173</v>
      </c>
      <c r="J212" s="44" t="s">
        <v>206</v>
      </c>
      <c r="K212" s="44" t="n">
        <v>3</v>
      </c>
      <c r="L212" s="46" t="n">
        <v>90.24</v>
      </c>
      <c r="M212" s="47" t="n">
        <v>2.87</v>
      </c>
      <c r="N212" s="46" t="n">
        <v>262.95</v>
      </c>
      <c r="O212" s="44" t="s">
        <v>309</v>
      </c>
      <c r="P212" s="44" t="s">
        <v>309</v>
      </c>
      <c r="Q212" s="44" t="s">
        <v>309</v>
      </c>
    </row>
    <row r="213" customFormat="false" ht="15" hidden="false" customHeight="false" outlineLevel="0" collapsed="false">
      <c r="A213" s="44" t="n">
        <v>212</v>
      </c>
      <c r="B213" s="45" t="n">
        <v>45390</v>
      </c>
      <c r="C213" s="44" t="n">
        <v>4</v>
      </c>
      <c r="D213" s="44" t="n">
        <v>2024</v>
      </c>
      <c r="E213" s="44" t="n">
        <v>8</v>
      </c>
      <c r="F213" s="44" t="s">
        <v>328</v>
      </c>
      <c r="G213" s="44" t="s">
        <v>464</v>
      </c>
      <c r="H213" s="44" t="s">
        <v>137</v>
      </c>
      <c r="I213" s="44" t="s">
        <v>172</v>
      </c>
      <c r="J213" s="44" t="s">
        <v>191</v>
      </c>
      <c r="K213" s="44" t="n">
        <v>3</v>
      </c>
      <c r="L213" s="46" t="n">
        <v>18.29</v>
      </c>
      <c r="M213" s="47" t="n">
        <v>3.88</v>
      </c>
      <c r="N213" s="46" t="n">
        <v>52.74</v>
      </c>
      <c r="O213" s="44" t="s">
        <v>309</v>
      </c>
      <c r="P213" s="44" t="s">
        <v>309</v>
      </c>
      <c r="Q213" s="44" t="s">
        <v>309</v>
      </c>
    </row>
    <row r="214" customFormat="false" ht="15" hidden="false" customHeight="false" outlineLevel="0" collapsed="false">
      <c r="A214" s="44" t="n">
        <v>213</v>
      </c>
      <c r="B214" s="45" t="n">
        <v>45440</v>
      </c>
      <c r="C214" s="44" t="n">
        <v>5</v>
      </c>
      <c r="D214" s="44" t="n">
        <v>2024</v>
      </c>
      <c r="E214" s="44" t="n">
        <v>28</v>
      </c>
      <c r="F214" s="44" t="s">
        <v>310</v>
      </c>
      <c r="G214" s="44" t="s">
        <v>378</v>
      </c>
      <c r="H214" s="44" t="s">
        <v>136</v>
      </c>
      <c r="I214" s="44" t="s">
        <v>172</v>
      </c>
      <c r="J214" s="44" t="s">
        <v>201</v>
      </c>
      <c r="K214" s="44" t="n">
        <v>1</v>
      </c>
      <c r="L214" s="46" t="n">
        <v>13.88</v>
      </c>
      <c r="M214" s="47" t="n">
        <v>0</v>
      </c>
      <c r="N214" s="46" t="n">
        <v>13.88</v>
      </c>
      <c r="O214" s="44" t="s">
        <v>309</v>
      </c>
      <c r="P214" s="44" t="s">
        <v>317</v>
      </c>
      <c r="Q214" s="44" t="s">
        <v>309</v>
      </c>
    </row>
    <row r="215" customFormat="false" ht="15" hidden="false" customHeight="false" outlineLevel="0" collapsed="false">
      <c r="A215" s="44" t="n">
        <v>214</v>
      </c>
      <c r="B215" s="45" t="n">
        <v>45591</v>
      </c>
      <c r="C215" s="44" t="n">
        <v>10</v>
      </c>
      <c r="D215" s="44" t="n">
        <v>2024</v>
      </c>
      <c r="E215" s="44" t="n">
        <v>26</v>
      </c>
      <c r="F215" s="44" t="s">
        <v>318</v>
      </c>
      <c r="G215" s="44" t="s">
        <v>421</v>
      </c>
      <c r="H215" s="44" t="s">
        <v>135</v>
      </c>
      <c r="I215" s="44" t="s">
        <v>174</v>
      </c>
      <c r="J215" s="44" t="s">
        <v>191</v>
      </c>
      <c r="K215" s="44" t="n">
        <v>3</v>
      </c>
      <c r="L215" s="46" t="n">
        <v>70.45</v>
      </c>
      <c r="M215" s="47" t="n">
        <v>2.11</v>
      </c>
      <c r="N215" s="46" t="n">
        <v>206.89</v>
      </c>
      <c r="O215" s="44" t="s">
        <v>309</v>
      </c>
      <c r="P215" s="44" t="s">
        <v>317</v>
      </c>
      <c r="Q215" s="44" t="s">
        <v>309</v>
      </c>
    </row>
    <row r="216" customFormat="false" ht="15" hidden="false" customHeight="false" outlineLevel="0" collapsed="false">
      <c r="A216" s="44" t="n">
        <v>215</v>
      </c>
      <c r="B216" s="45" t="n">
        <v>45313</v>
      </c>
      <c r="C216" s="44" t="n">
        <v>1</v>
      </c>
      <c r="D216" s="44" t="n">
        <v>2024</v>
      </c>
      <c r="E216" s="44" t="n">
        <v>22</v>
      </c>
      <c r="F216" s="44" t="s">
        <v>328</v>
      </c>
      <c r="G216" s="44" t="s">
        <v>448</v>
      </c>
      <c r="H216" s="44" t="s">
        <v>135</v>
      </c>
      <c r="I216" s="44" t="s">
        <v>172</v>
      </c>
      <c r="J216" s="44" t="s">
        <v>191</v>
      </c>
      <c r="K216" s="44" t="n">
        <v>5</v>
      </c>
      <c r="L216" s="46" t="n">
        <v>162.55</v>
      </c>
      <c r="M216" s="47" t="n">
        <v>4.8</v>
      </c>
      <c r="N216" s="46" t="n">
        <v>773.74</v>
      </c>
      <c r="O216" s="44" t="s">
        <v>309</v>
      </c>
      <c r="P216" s="44" t="s">
        <v>309</v>
      </c>
      <c r="Q216" s="44" t="s">
        <v>309</v>
      </c>
    </row>
    <row r="217" customFormat="false" ht="15" hidden="false" customHeight="false" outlineLevel="0" collapsed="false">
      <c r="A217" s="44" t="n">
        <v>216</v>
      </c>
      <c r="B217" s="45" t="n">
        <v>45654</v>
      </c>
      <c r="C217" s="44" t="n">
        <v>12</v>
      </c>
      <c r="D217" s="44" t="n">
        <v>2024</v>
      </c>
      <c r="E217" s="44" t="n">
        <v>28</v>
      </c>
      <c r="F217" s="44" t="s">
        <v>318</v>
      </c>
      <c r="G217" s="44" t="s">
        <v>406</v>
      </c>
      <c r="H217" s="44" t="s">
        <v>140</v>
      </c>
      <c r="I217" s="44" t="s">
        <v>176</v>
      </c>
      <c r="J217" s="44" t="s">
        <v>200</v>
      </c>
      <c r="K217" s="44" t="n">
        <v>2</v>
      </c>
      <c r="L217" s="46" t="n">
        <v>58.85</v>
      </c>
      <c r="M217" s="47" t="n">
        <v>2.25</v>
      </c>
      <c r="N217" s="46" t="n">
        <v>115.05</v>
      </c>
      <c r="O217" s="44" t="s">
        <v>309</v>
      </c>
      <c r="P217" s="44" t="s">
        <v>309</v>
      </c>
      <c r="Q217" s="44" t="s">
        <v>309</v>
      </c>
    </row>
    <row r="218" customFormat="false" ht="15" hidden="false" customHeight="false" outlineLevel="0" collapsed="false">
      <c r="A218" s="44" t="n">
        <v>217</v>
      </c>
      <c r="B218" s="45" t="n">
        <v>45359</v>
      </c>
      <c r="C218" s="44" t="n">
        <v>3</v>
      </c>
      <c r="D218" s="44" t="n">
        <v>2024</v>
      </c>
      <c r="E218" s="44" t="n">
        <v>8</v>
      </c>
      <c r="F218" s="44" t="s">
        <v>325</v>
      </c>
      <c r="G218" s="44" t="s">
        <v>465</v>
      </c>
      <c r="H218" s="44" t="s">
        <v>140</v>
      </c>
      <c r="I218" s="44" t="s">
        <v>172</v>
      </c>
      <c r="J218" s="44" t="s">
        <v>194</v>
      </c>
      <c r="K218" s="44" t="n">
        <v>2</v>
      </c>
      <c r="L218" s="46" t="n">
        <v>13.57</v>
      </c>
      <c r="M218" s="47" t="n">
        <v>0.78</v>
      </c>
      <c r="N218" s="46" t="n">
        <v>26.93</v>
      </c>
      <c r="O218" s="44" t="s">
        <v>309</v>
      </c>
      <c r="P218" s="44" t="s">
        <v>309</v>
      </c>
      <c r="Q218" s="44" t="s">
        <v>309</v>
      </c>
    </row>
    <row r="219" customFormat="false" ht="15" hidden="false" customHeight="false" outlineLevel="0" collapsed="false">
      <c r="A219" s="44" t="n">
        <v>218</v>
      </c>
      <c r="B219" s="45" t="n">
        <v>45442</v>
      </c>
      <c r="C219" s="44" t="n">
        <v>5</v>
      </c>
      <c r="D219" s="44" t="n">
        <v>2024</v>
      </c>
      <c r="E219" s="44" t="n">
        <v>30</v>
      </c>
      <c r="F219" s="44" t="s">
        <v>306</v>
      </c>
      <c r="G219" s="44" t="s">
        <v>397</v>
      </c>
      <c r="H219" s="44" t="s">
        <v>135</v>
      </c>
      <c r="I219" s="44" t="s">
        <v>174</v>
      </c>
      <c r="J219" s="44" t="s">
        <v>206</v>
      </c>
      <c r="K219" s="44" t="n">
        <v>3</v>
      </c>
      <c r="L219" s="46" t="n">
        <v>101.63</v>
      </c>
      <c r="M219" s="47" t="n">
        <v>3.72</v>
      </c>
      <c r="N219" s="46" t="n">
        <v>293.55</v>
      </c>
      <c r="O219" s="44" t="s">
        <v>309</v>
      </c>
      <c r="P219" s="44" t="s">
        <v>309</v>
      </c>
      <c r="Q219" s="44" t="s">
        <v>309</v>
      </c>
    </row>
    <row r="220" customFormat="false" ht="15" hidden="false" customHeight="false" outlineLevel="0" collapsed="false">
      <c r="A220" s="44" t="n">
        <v>219</v>
      </c>
      <c r="B220" s="45" t="n">
        <v>45495</v>
      </c>
      <c r="C220" s="44" t="n">
        <v>7</v>
      </c>
      <c r="D220" s="44" t="n">
        <v>2024</v>
      </c>
      <c r="E220" s="44" t="n">
        <v>22</v>
      </c>
      <c r="F220" s="44" t="s">
        <v>328</v>
      </c>
      <c r="G220" s="44" t="s">
        <v>315</v>
      </c>
      <c r="H220" s="44" t="s">
        <v>136</v>
      </c>
      <c r="I220" s="44" t="s">
        <v>172</v>
      </c>
      <c r="J220" s="44" t="s">
        <v>194</v>
      </c>
      <c r="K220" s="44" t="n">
        <v>1</v>
      </c>
      <c r="L220" s="46" t="n">
        <v>5.39</v>
      </c>
      <c r="M220" s="47" t="n">
        <v>0</v>
      </c>
      <c r="N220" s="46" t="n">
        <v>5.39</v>
      </c>
      <c r="O220" s="44" t="s">
        <v>309</v>
      </c>
      <c r="P220" s="44" t="s">
        <v>309</v>
      </c>
      <c r="Q220" s="44" t="s">
        <v>309</v>
      </c>
    </row>
    <row r="221" customFormat="false" ht="15" hidden="false" customHeight="false" outlineLevel="0" collapsed="false">
      <c r="A221" s="44" t="n">
        <v>220</v>
      </c>
      <c r="B221" s="45" t="n">
        <v>45331</v>
      </c>
      <c r="C221" s="44" t="n">
        <v>2</v>
      </c>
      <c r="D221" s="44" t="n">
        <v>2024</v>
      </c>
      <c r="E221" s="44" t="n">
        <v>9</v>
      </c>
      <c r="F221" s="44" t="s">
        <v>325</v>
      </c>
      <c r="G221" s="44" t="s">
        <v>466</v>
      </c>
      <c r="H221" s="44" t="s">
        <v>137</v>
      </c>
      <c r="I221" s="44" t="s">
        <v>176</v>
      </c>
      <c r="J221" s="44" t="s">
        <v>206</v>
      </c>
      <c r="K221" s="44" t="n">
        <v>3</v>
      </c>
      <c r="L221" s="46" t="n">
        <v>66.16</v>
      </c>
      <c r="M221" s="47" t="n">
        <v>4.61</v>
      </c>
      <c r="N221" s="46" t="n">
        <v>189.33</v>
      </c>
      <c r="O221" s="44" t="s">
        <v>309</v>
      </c>
      <c r="P221" s="44" t="s">
        <v>309</v>
      </c>
      <c r="Q221" s="44" t="s">
        <v>309</v>
      </c>
    </row>
    <row r="222" customFormat="false" ht="15" hidden="false" customHeight="false" outlineLevel="0" collapsed="false">
      <c r="A222" s="44" t="n">
        <v>221</v>
      </c>
      <c r="B222" s="45" t="n">
        <v>45333</v>
      </c>
      <c r="C222" s="44" t="n">
        <v>2</v>
      </c>
      <c r="D222" s="44" t="n">
        <v>2024</v>
      </c>
      <c r="E222" s="44" t="n">
        <v>11</v>
      </c>
      <c r="F222" s="44" t="s">
        <v>312</v>
      </c>
      <c r="G222" s="44" t="s">
        <v>330</v>
      </c>
      <c r="H222" s="44" t="s">
        <v>138</v>
      </c>
      <c r="I222" s="44" t="s">
        <v>174</v>
      </c>
      <c r="J222" s="44" t="s">
        <v>192</v>
      </c>
      <c r="K222" s="44" t="n">
        <v>1</v>
      </c>
      <c r="L222" s="46" t="n">
        <v>92.32</v>
      </c>
      <c r="M222" s="47" t="n">
        <v>0</v>
      </c>
      <c r="N222" s="46" t="n">
        <v>92.32</v>
      </c>
      <c r="O222" s="44" t="s">
        <v>309</v>
      </c>
      <c r="P222" s="44" t="s">
        <v>309</v>
      </c>
      <c r="Q222" s="44" t="s">
        <v>309</v>
      </c>
    </row>
    <row r="223" customFormat="false" ht="15" hidden="false" customHeight="false" outlineLevel="0" collapsed="false">
      <c r="A223" s="44" t="n">
        <v>222</v>
      </c>
      <c r="B223" s="45" t="n">
        <v>45536</v>
      </c>
      <c r="C223" s="44" t="n">
        <v>9</v>
      </c>
      <c r="D223" s="44" t="n">
        <v>2024</v>
      </c>
      <c r="E223" s="44" t="n">
        <v>1</v>
      </c>
      <c r="F223" s="44" t="s">
        <v>312</v>
      </c>
      <c r="G223" s="44" t="s">
        <v>467</v>
      </c>
      <c r="H223" s="44" t="s">
        <v>136</v>
      </c>
      <c r="I223" s="44" t="s">
        <v>172</v>
      </c>
      <c r="J223" s="44" t="s">
        <v>206</v>
      </c>
      <c r="K223" s="44" t="n">
        <v>2</v>
      </c>
      <c r="L223" s="46" t="n">
        <v>50.56</v>
      </c>
      <c r="M223" s="47" t="n">
        <v>0.04</v>
      </c>
      <c r="N223" s="46" t="n">
        <v>101.08</v>
      </c>
      <c r="O223" s="44" t="s">
        <v>309</v>
      </c>
      <c r="P223" s="44" t="s">
        <v>317</v>
      </c>
      <c r="Q223" s="44" t="s">
        <v>309</v>
      </c>
    </row>
    <row r="224" customFormat="false" ht="15" hidden="false" customHeight="false" outlineLevel="0" collapsed="false">
      <c r="A224" s="44" t="n">
        <v>223</v>
      </c>
      <c r="B224" s="45" t="n">
        <v>45362</v>
      </c>
      <c r="C224" s="44" t="n">
        <v>3</v>
      </c>
      <c r="D224" s="44" t="n">
        <v>2024</v>
      </c>
      <c r="E224" s="44" t="n">
        <v>11</v>
      </c>
      <c r="F224" s="44" t="s">
        <v>328</v>
      </c>
      <c r="G224" s="44" t="s">
        <v>468</v>
      </c>
      <c r="H224" s="44" t="s">
        <v>136</v>
      </c>
      <c r="I224" s="44" t="s">
        <v>172</v>
      </c>
      <c r="J224" s="44" t="s">
        <v>206</v>
      </c>
      <c r="K224" s="44" t="n">
        <v>1</v>
      </c>
      <c r="L224" s="46" t="n">
        <v>148.19</v>
      </c>
      <c r="M224" s="47" t="n">
        <v>0</v>
      </c>
      <c r="N224" s="46" t="n">
        <v>148.19</v>
      </c>
      <c r="O224" s="44" t="s">
        <v>309</v>
      </c>
      <c r="P224" s="44" t="s">
        <v>309</v>
      </c>
      <c r="Q224" s="44" t="s">
        <v>309</v>
      </c>
    </row>
    <row r="225" customFormat="false" ht="15" hidden="false" customHeight="false" outlineLevel="0" collapsed="false">
      <c r="A225" s="44" t="n">
        <v>224</v>
      </c>
      <c r="B225" s="45" t="n">
        <v>45536</v>
      </c>
      <c r="C225" s="44" t="n">
        <v>9</v>
      </c>
      <c r="D225" s="44" t="n">
        <v>2024</v>
      </c>
      <c r="E225" s="44" t="n">
        <v>1</v>
      </c>
      <c r="F225" s="44" t="s">
        <v>312</v>
      </c>
      <c r="G225" s="44" t="s">
        <v>388</v>
      </c>
      <c r="H225" s="44" t="s">
        <v>135</v>
      </c>
      <c r="I225" s="44" t="s">
        <v>176</v>
      </c>
      <c r="J225" s="44" t="s">
        <v>206</v>
      </c>
      <c r="K225" s="44" t="n">
        <v>3</v>
      </c>
      <c r="L225" s="46" t="n">
        <v>30.44</v>
      </c>
      <c r="M225" s="47" t="n">
        <v>2.76</v>
      </c>
      <c r="N225" s="46" t="n">
        <v>15.69</v>
      </c>
      <c r="O225" s="44" t="s">
        <v>308</v>
      </c>
      <c r="P225" s="44" t="s">
        <v>309</v>
      </c>
      <c r="Q225" s="44" t="s">
        <v>309</v>
      </c>
    </row>
    <row r="226" customFormat="false" ht="15" hidden="false" customHeight="false" outlineLevel="0" collapsed="false">
      <c r="A226" s="44" t="n">
        <v>225</v>
      </c>
      <c r="B226" s="45" t="n">
        <v>45423</v>
      </c>
      <c r="C226" s="44" t="n">
        <v>5</v>
      </c>
      <c r="D226" s="44" t="n">
        <v>2024</v>
      </c>
      <c r="E226" s="44" t="n">
        <v>11</v>
      </c>
      <c r="F226" s="44" t="s">
        <v>318</v>
      </c>
      <c r="G226" s="44" t="s">
        <v>469</v>
      </c>
      <c r="H226" s="44" t="s">
        <v>136</v>
      </c>
      <c r="I226" s="44" t="s">
        <v>172</v>
      </c>
      <c r="J226" s="44" t="s">
        <v>206</v>
      </c>
      <c r="K226" s="44" t="n">
        <v>1</v>
      </c>
      <c r="L226" s="46" t="n">
        <v>90.83</v>
      </c>
      <c r="M226" s="47" t="n">
        <v>0</v>
      </c>
      <c r="N226" s="46" t="n">
        <v>90.83</v>
      </c>
      <c r="O226" s="44" t="s">
        <v>309</v>
      </c>
      <c r="P226" s="44" t="s">
        <v>309</v>
      </c>
      <c r="Q226" s="44" t="s">
        <v>309</v>
      </c>
    </row>
    <row r="227" customFormat="false" ht="15" hidden="false" customHeight="false" outlineLevel="0" collapsed="false">
      <c r="A227" s="44" t="n">
        <v>226</v>
      </c>
      <c r="B227" s="45" t="n">
        <v>45399</v>
      </c>
      <c r="C227" s="44" t="n">
        <v>4</v>
      </c>
      <c r="D227" s="44" t="n">
        <v>2024</v>
      </c>
      <c r="E227" s="44" t="n">
        <v>17</v>
      </c>
      <c r="F227" s="44" t="s">
        <v>321</v>
      </c>
      <c r="G227" s="44" t="s">
        <v>361</v>
      </c>
      <c r="H227" s="44" t="s">
        <v>136</v>
      </c>
      <c r="I227" s="44" t="s">
        <v>176</v>
      </c>
      <c r="J227" s="44" t="s">
        <v>194</v>
      </c>
      <c r="K227" s="44" t="n">
        <v>1</v>
      </c>
      <c r="L227" s="46" t="n">
        <v>5.75</v>
      </c>
      <c r="M227" s="47" t="n">
        <v>1.48</v>
      </c>
      <c r="N227" s="46" t="n">
        <v>5.66</v>
      </c>
      <c r="O227" s="44" t="s">
        <v>309</v>
      </c>
      <c r="P227" s="44" t="s">
        <v>309</v>
      </c>
      <c r="Q227" s="44" t="s">
        <v>309</v>
      </c>
    </row>
    <row r="228" customFormat="false" ht="15" hidden="false" customHeight="false" outlineLevel="0" collapsed="false">
      <c r="A228" s="44" t="n">
        <v>227</v>
      </c>
      <c r="B228" s="45" t="n">
        <v>45426</v>
      </c>
      <c r="C228" s="44" t="n">
        <v>5</v>
      </c>
      <c r="D228" s="44" t="n">
        <v>2024</v>
      </c>
      <c r="E228" s="44" t="n">
        <v>14</v>
      </c>
      <c r="F228" s="44" t="s">
        <v>310</v>
      </c>
      <c r="G228" s="44" t="s">
        <v>389</v>
      </c>
      <c r="H228" s="44" t="s">
        <v>135</v>
      </c>
      <c r="I228" s="44" t="s">
        <v>176</v>
      </c>
      <c r="J228" s="44" t="s">
        <v>194</v>
      </c>
      <c r="K228" s="44" t="n">
        <v>4</v>
      </c>
      <c r="L228" s="46" t="n">
        <v>4.01</v>
      </c>
      <c r="M228" s="47" t="n">
        <v>3.74</v>
      </c>
      <c r="N228" s="46" t="n">
        <v>15.44</v>
      </c>
      <c r="O228" s="44" t="s">
        <v>309</v>
      </c>
      <c r="P228" s="44" t="s">
        <v>317</v>
      </c>
      <c r="Q228" s="44" t="s">
        <v>309</v>
      </c>
    </row>
    <row r="229" customFormat="false" ht="15" hidden="false" customHeight="false" outlineLevel="0" collapsed="false">
      <c r="A229" s="44" t="n">
        <v>228</v>
      </c>
      <c r="B229" s="45" t="n">
        <v>45453</v>
      </c>
      <c r="C229" s="44" t="n">
        <v>6</v>
      </c>
      <c r="D229" s="44" t="n">
        <v>2024</v>
      </c>
      <c r="E229" s="44" t="n">
        <v>10</v>
      </c>
      <c r="F229" s="44" t="s">
        <v>328</v>
      </c>
      <c r="G229" s="44" t="s">
        <v>470</v>
      </c>
      <c r="H229" s="44" t="s">
        <v>137</v>
      </c>
      <c r="I229" s="44" t="s">
        <v>173</v>
      </c>
      <c r="J229" s="44" t="s">
        <v>202</v>
      </c>
      <c r="K229" s="44" t="n">
        <v>2</v>
      </c>
      <c r="L229" s="46" t="n">
        <v>57.52</v>
      </c>
      <c r="M229" s="47" t="n">
        <v>2.16</v>
      </c>
      <c r="N229" s="46" t="n">
        <v>112.56</v>
      </c>
      <c r="O229" s="44" t="s">
        <v>309</v>
      </c>
      <c r="P229" s="44" t="s">
        <v>317</v>
      </c>
      <c r="Q229" s="44" t="s">
        <v>309</v>
      </c>
    </row>
    <row r="230" customFormat="false" ht="15" hidden="false" customHeight="false" outlineLevel="0" collapsed="false">
      <c r="A230" s="44" t="n">
        <v>229</v>
      </c>
      <c r="B230" s="45" t="n">
        <v>45515</v>
      </c>
      <c r="C230" s="44" t="n">
        <v>8</v>
      </c>
      <c r="D230" s="44" t="n">
        <v>2024</v>
      </c>
      <c r="E230" s="44" t="n">
        <v>11</v>
      </c>
      <c r="F230" s="44" t="s">
        <v>312</v>
      </c>
      <c r="G230" s="44" t="s">
        <v>388</v>
      </c>
      <c r="H230" s="44" t="s">
        <v>139</v>
      </c>
      <c r="I230" s="44" t="s">
        <v>176</v>
      </c>
      <c r="J230" s="44" t="s">
        <v>191</v>
      </c>
      <c r="K230" s="44" t="n">
        <v>6</v>
      </c>
      <c r="L230" s="46" t="n">
        <v>18.33</v>
      </c>
      <c r="M230" s="47" t="n">
        <v>7.6</v>
      </c>
      <c r="N230" s="46" t="n">
        <v>371.23</v>
      </c>
      <c r="O230" s="44" t="s">
        <v>308</v>
      </c>
      <c r="P230" s="44" t="s">
        <v>309</v>
      </c>
      <c r="Q230" s="44" t="s">
        <v>309</v>
      </c>
    </row>
    <row r="231" customFormat="false" ht="15" hidden="false" customHeight="false" outlineLevel="0" collapsed="false">
      <c r="A231" s="44" t="n">
        <v>230</v>
      </c>
      <c r="B231" s="45" t="n">
        <v>45394</v>
      </c>
      <c r="C231" s="44" t="n">
        <v>4</v>
      </c>
      <c r="D231" s="44" t="n">
        <v>2024</v>
      </c>
      <c r="E231" s="44" t="n">
        <v>12</v>
      </c>
      <c r="F231" s="44" t="s">
        <v>325</v>
      </c>
      <c r="G231" s="44" t="s">
        <v>402</v>
      </c>
      <c r="H231" s="44" t="s">
        <v>134</v>
      </c>
      <c r="I231" s="44" t="s">
        <v>172</v>
      </c>
      <c r="J231" s="44" t="s">
        <v>206</v>
      </c>
      <c r="K231" s="44" t="n">
        <v>2</v>
      </c>
      <c r="L231" s="46" t="n">
        <v>29.18</v>
      </c>
      <c r="M231" s="47" t="n">
        <v>1.45</v>
      </c>
      <c r="N231" s="46" t="n">
        <v>446.29</v>
      </c>
      <c r="O231" s="44" t="s">
        <v>308</v>
      </c>
      <c r="P231" s="44" t="s">
        <v>309</v>
      </c>
      <c r="Q231" s="44" t="s">
        <v>309</v>
      </c>
    </row>
    <row r="232" customFormat="false" ht="15" hidden="false" customHeight="false" outlineLevel="0" collapsed="false">
      <c r="A232" s="44" t="n">
        <v>231</v>
      </c>
      <c r="B232" s="45" t="n">
        <v>45366</v>
      </c>
      <c r="C232" s="44" t="n">
        <v>3</v>
      </c>
      <c r="D232" s="44" t="n">
        <v>2024</v>
      </c>
      <c r="E232" s="44" t="n">
        <v>15</v>
      </c>
      <c r="F232" s="44" t="s">
        <v>325</v>
      </c>
      <c r="G232" s="44" t="s">
        <v>401</v>
      </c>
      <c r="H232" s="44" t="s">
        <v>137</v>
      </c>
      <c r="I232" s="44" t="s">
        <v>173</v>
      </c>
      <c r="J232" s="44" t="s">
        <v>206</v>
      </c>
      <c r="K232" s="44" t="n">
        <v>4</v>
      </c>
      <c r="L232" s="46" t="n">
        <v>7.27</v>
      </c>
      <c r="M232" s="47" t="n">
        <v>5.12</v>
      </c>
      <c r="N232" s="46" t="n">
        <v>27.59</v>
      </c>
      <c r="O232" s="44" t="s">
        <v>309</v>
      </c>
      <c r="P232" s="44" t="s">
        <v>309</v>
      </c>
      <c r="Q232" s="44" t="s">
        <v>309</v>
      </c>
    </row>
    <row r="233" customFormat="false" ht="15" hidden="false" customHeight="false" outlineLevel="0" collapsed="false">
      <c r="A233" s="44" t="n">
        <v>232</v>
      </c>
      <c r="B233" s="45" t="n">
        <v>45450</v>
      </c>
      <c r="C233" s="44" t="n">
        <v>6</v>
      </c>
      <c r="D233" s="44" t="n">
        <v>2024</v>
      </c>
      <c r="E233" s="44" t="n">
        <v>7</v>
      </c>
      <c r="F233" s="44" t="s">
        <v>325</v>
      </c>
      <c r="G233" s="44" t="s">
        <v>334</v>
      </c>
      <c r="H233" s="44" t="s">
        <v>135</v>
      </c>
      <c r="I233" s="44" t="s">
        <v>172</v>
      </c>
      <c r="J233" s="44" t="s">
        <v>196</v>
      </c>
      <c r="K233" s="44" t="n">
        <v>1</v>
      </c>
      <c r="L233" s="46" t="n">
        <v>19.35</v>
      </c>
      <c r="M233" s="47" t="n">
        <v>0</v>
      </c>
      <c r="N233" s="46" t="n">
        <v>19.35</v>
      </c>
      <c r="O233" s="44" t="s">
        <v>309</v>
      </c>
      <c r="P233" s="44" t="s">
        <v>309</v>
      </c>
      <c r="Q233" s="44" t="s">
        <v>309</v>
      </c>
    </row>
    <row r="234" customFormat="false" ht="15" hidden="false" customHeight="false" outlineLevel="0" collapsed="false">
      <c r="A234" s="44" t="n">
        <v>233</v>
      </c>
      <c r="B234" s="45" t="n">
        <v>45541</v>
      </c>
      <c r="C234" s="44" t="n">
        <v>9</v>
      </c>
      <c r="D234" s="44" t="n">
        <v>2024</v>
      </c>
      <c r="E234" s="44" t="n">
        <v>6</v>
      </c>
      <c r="F234" s="44" t="s">
        <v>325</v>
      </c>
      <c r="G234" s="44" t="s">
        <v>416</v>
      </c>
      <c r="H234" s="44" t="s">
        <v>134</v>
      </c>
      <c r="I234" s="44" t="s">
        <v>176</v>
      </c>
      <c r="J234" s="44" t="s">
        <v>191</v>
      </c>
      <c r="K234" s="44" t="n">
        <v>1</v>
      </c>
      <c r="L234" s="46" t="n">
        <v>29.18</v>
      </c>
      <c r="M234" s="47" t="n">
        <v>1.905</v>
      </c>
      <c r="N234" s="46" t="n">
        <v>193.81</v>
      </c>
      <c r="O234" s="44" t="s">
        <v>308</v>
      </c>
      <c r="P234" s="44" t="s">
        <v>369</v>
      </c>
      <c r="Q234" s="44" t="s">
        <v>309</v>
      </c>
    </row>
    <row r="235" customFormat="false" ht="15" hidden="false" customHeight="false" outlineLevel="0" collapsed="false">
      <c r="A235" s="44" t="n">
        <v>234</v>
      </c>
      <c r="B235" s="45" t="n">
        <v>45575</v>
      </c>
      <c r="C235" s="44" t="n">
        <v>10</v>
      </c>
      <c r="D235" s="44" t="n">
        <v>2024</v>
      </c>
      <c r="E235" s="44" t="n">
        <v>10</v>
      </c>
      <c r="F235" s="44" t="s">
        <v>306</v>
      </c>
      <c r="G235" s="44" t="s">
        <v>439</v>
      </c>
      <c r="H235" s="44" t="s">
        <v>135</v>
      </c>
      <c r="I235" s="44" t="s">
        <v>173</v>
      </c>
      <c r="J235" s="44" t="s">
        <v>193</v>
      </c>
      <c r="K235" s="44" t="n">
        <v>8</v>
      </c>
      <c r="L235" s="46" t="n">
        <v>146.62</v>
      </c>
      <c r="M235" s="47" t="n">
        <v>11.89</v>
      </c>
      <c r="N235" s="46" t="n">
        <v>1033.5</v>
      </c>
      <c r="O235" s="44" t="s">
        <v>309</v>
      </c>
      <c r="P235" s="44" t="s">
        <v>309</v>
      </c>
      <c r="Q235" s="44" t="s">
        <v>309</v>
      </c>
    </row>
    <row r="236" customFormat="false" ht="15" hidden="false" customHeight="false" outlineLevel="0" collapsed="false">
      <c r="A236" s="44" t="n">
        <v>235</v>
      </c>
      <c r="B236" s="45" t="n">
        <v>45378</v>
      </c>
      <c r="C236" s="44" t="n">
        <v>3</v>
      </c>
      <c r="D236" s="44" t="n">
        <v>2024</v>
      </c>
      <c r="E236" s="44" t="n">
        <v>27</v>
      </c>
      <c r="F236" s="44" t="s">
        <v>321</v>
      </c>
      <c r="G236" s="44" t="s">
        <v>471</v>
      </c>
      <c r="H236" s="44" t="s">
        <v>136</v>
      </c>
      <c r="I236" s="44" t="s">
        <v>172</v>
      </c>
      <c r="J236" s="44" t="s">
        <v>197</v>
      </c>
      <c r="K236" s="44" t="n">
        <v>2</v>
      </c>
      <c r="L236" s="46" t="n">
        <v>21.67</v>
      </c>
      <c r="M236" s="47" t="n">
        <v>1.905</v>
      </c>
      <c r="N236" s="46" t="n">
        <v>12.64</v>
      </c>
      <c r="O236" s="44" t="s">
        <v>308</v>
      </c>
      <c r="P236" s="44" t="s">
        <v>369</v>
      </c>
      <c r="Q236" s="44" t="s">
        <v>309</v>
      </c>
    </row>
    <row r="237" customFormat="false" ht="15" hidden="false" customHeight="false" outlineLevel="0" collapsed="false">
      <c r="A237" s="44" t="n">
        <v>236</v>
      </c>
      <c r="B237" s="45" t="n">
        <v>45521</v>
      </c>
      <c r="C237" s="44" t="n">
        <v>8</v>
      </c>
      <c r="D237" s="44" t="n">
        <v>2024</v>
      </c>
      <c r="E237" s="44" t="n">
        <v>17</v>
      </c>
      <c r="F237" s="44" t="s">
        <v>318</v>
      </c>
      <c r="G237" s="44" t="s">
        <v>392</v>
      </c>
      <c r="H237" s="44" t="s">
        <v>135</v>
      </c>
      <c r="I237" s="44" t="s">
        <v>176</v>
      </c>
      <c r="J237" s="44" t="s">
        <v>193</v>
      </c>
      <c r="K237" s="44" t="n">
        <v>1</v>
      </c>
      <c r="L237" s="46" t="n">
        <v>50.92</v>
      </c>
      <c r="M237" s="47" t="n">
        <v>0.73</v>
      </c>
      <c r="N237" s="46" t="n">
        <v>50.55</v>
      </c>
      <c r="O237" s="44" t="s">
        <v>309</v>
      </c>
      <c r="P237" s="44" t="s">
        <v>317</v>
      </c>
      <c r="Q237" s="44" t="s">
        <v>309</v>
      </c>
    </row>
    <row r="238" customFormat="false" ht="15" hidden="false" customHeight="false" outlineLevel="0" collapsed="false">
      <c r="A238" s="44" t="n">
        <v>237</v>
      </c>
      <c r="B238" s="45" t="n">
        <v>45460</v>
      </c>
      <c r="C238" s="44" t="n">
        <v>6</v>
      </c>
      <c r="D238" s="44" t="n">
        <v>2024</v>
      </c>
      <c r="E238" s="44" t="n">
        <v>17</v>
      </c>
      <c r="F238" s="44" t="s">
        <v>328</v>
      </c>
      <c r="G238" s="44" t="s">
        <v>460</v>
      </c>
      <c r="H238" s="44" t="s">
        <v>136</v>
      </c>
      <c r="I238" s="44" t="s">
        <v>176</v>
      </c>
      <c r="J238" s="44" t="s">
        <v>193</v>
      </c>
      <c r="K238" s="44" t="n">
        <v>4</v>
      </c>
      <c r="L238" s="46" t="n">
        <v>148.4</v>
      </c>
      <c r="M238" s="47" t="n">
        <v>6.27</v>
      </c>
      <c r="N238" s="46" t="n">
        <v>556.38</v>
      </c>
      <c r="O238" s="44" t="s">
        <v>309</v>
      </c>
      <c r="P238" s="44" t="s">
        <v>309</v>
      </c>
      <c r="Q238" s="44" t="s">
        <v>309</v>
      </c>
    </row>
    <row r="239" customFormat="false" ht="15" hidden="false" customHeight="false" outlineLevel="0" collapsed="false">
      <c r="A239" s="44" t="n">
        <v>238</v>
      </c>
      <c r="B239" s="45" t="n">
        <v>45585</v>
      </c>
      <c r="C239" s="44" t="n">
        <v>10</v>
      </c>
      <c r="D239" s="44" t="n">
        <v>2024</v>
      </c>
      <c r="E239" s="44" t="n">
        <v>20</v>
      </c>
      <c r="F239" s="44" t="s">
        <v>312</v>
      </c>
      <c r="G239" s="44" t="s">
        <v>357</v>
      </c>
      <c r="H239" s="44" t="s">
        <v>134</v>
      </c>
      <c r="I239" s="44" t="s">
        <v>173</v>
      </c>
      <c r="J239" s="44" t="s">
        <v>191</v>
      </c>
      <c r="K239" s="44" t="n">
        <v>1</v>
      </c>
      <c r="L239" s="46" t="n">
        <v>42.68</v>
      </c>
      <c r="M239" s="47" t="n">
        <v>1.76</v>
      </c>
      <c r="N239" s="46" t="n">
        <v>41.93</v>
      </c>
      <c r="O239" s="44" t="s">
        <v>309</v>
      </c>
      <c r="P239" s="44" t="s">
        <v>317</v>
      </c>
      <c r="Q239" s="44" t="s">
        <v>309</v>
      </c>
    </row>
    <row r="240" customFormat="false" ht="15" hidden="false" customHeight="false" outlineLevel="0" collapsed="false">
      <c r="A240" s="44" t="n">
        <v>239</v>
      </c>
      <c r="B240" s="45" t="n">
        <v>45651</v>
      </c>
      <c r="C240" s="44" t="n">
        <v>12</v>
      </c>
      <c r="D240" s="44" t="n">
        <v>2024</v>
      </c>
      <c r="E240" s="44" t="n">
        <v>25</v>
      </c>
      <c r="F240" s="44" t="s">
        <v>321</v>
      </c>
      <c r="G240" s="44" t="s">
        <v>472</v>
      </c>
      <c r="H240" s="44" t="s">
        <v>136</v>
      </c>
      <c r="I240" s="44" t="s">
        <v>173</v>
      </c>
      <c r="J240" s="44" t="s">
        <v>191</v>
      </c>
      <c r="K240" s="44" t="n">
        <v>1</v>
      </c>
      <c r="L240" s="46" t="n">
        <v>65.46</v>
      </c>
      <c r="M240" s="47" t="n">
        <v>0</v>
      </c>
      <c r="N240" s="46" t="n">
        <v>65.46</v>
      </c>
      <c r="O240" s="44" t="s">
        <v>309</v>
      </c>
      <c r="P240" s="44" t="s">
        <v>309</v>
      </c>
      <c r="Q240" s="44" t="s">
        <v>309</v>
      </c>
    </row>
    <row r="241" customFormat="false" ht="15" hidden="false" customHeight="false" outlineLevel="0" collapsed="false">
      <c r="A241" s="44" t="n">
        <v>240</v>
      </c>
      <c r="B241" s="45" t="n">
        <v>45612</v>
      </c>
      <c r="C241" s="44" t="n">
        <v>11</v>
      </c>
      <c r="D241" s="44" t="n">
        <v>2024</v>
      </c>
      <c r="E241" s="44" t="n">
        <v>16</v>
      </c>
      <c r="F241" s="44" t="s">
        <v>318</v>
      </c>
      <c r="G241" s="44" t="s">
        <v>405</v>
      </c>
      <c r="H241" s="44" t="s">
        <v>136</v>
      </c>
      <c r="I241" s="44" t="s">
        <v>174</v>
      </c>
      <c r="J241" s="44" t="s">
        <v>195</v>
      </c>
      <c r="K241" s="44" t="n">
        <v>1</v>
      </c>
      <c r="L241" s="46" t="n">
        <v>12.89</v>
      </c>
      <c r="M241" s="47" t="n">
        <v>0</v>
      </c>
      <c r="N241" s="46" t="n">
        <v>12.89</v>
      </c>
      <c r="O241" s="44" t="s">
        <v>309</v>
      </c>
      <c r="P241" s="44" t="s">
        <v>317</v>
      </c>
      <c r="Q241" s="44" t="s">
        <v>309</v>
      </c>
    </row>
    <row r="242" customFormat="false" ht="15" hidden="false" customHeight="false" outlineLevel="0" collapsed="false">
      <c r="A242" s="44" t="n">
        <v>241</v>
      </c>
      <c r="B242" s="45" t="n">
        <v>45398</v>
      </c>
      <c r="C242" s="44" t="n">
        <v>4</v>
      </c>
      <c r="D242" s="44" t="n">
        <v>2024</v>
      </c>
      <c r="E242" s="44" t="n">
        <v>16</v>
      </c>
      <c r="F242" s="44" t="s">
        <v>310</v>
      </c>
      <c r="G242" s="44" t="s">
        <v>473</v>
      </c>
      <c r="H242" s="44" t="s">
        <v>140</v>
      </c>
      <c r="I242" s="44" t="s">
        <v>173</v>
      </c>
      <c r="J242" s="44" t="s">
        <v>192</v>
      </c>
      <c r="K242" s="44" t="n">
        <v>3</v>
      </c>
      <c r="L242" s="46" t="n">
        <v>1.9</v>
      </c>
      <c r="M242" s="47" t="n">
        <v>1.96</v>
      </c>
      <c r="N242" s="46" t="n">
        <v>5.59</v>
      </c>
      <c r="O242" s="44" t="s">
        <v>309</v>
      </c>
      <c r="P242" s="44" t="s">
        <v>309</v>
      </c>
      <c r="Q242" s="44" t="s">
        <v>309</v>
      </c>
    </row>
    <row r="243" customFormat="false" ht="15" hidden="false" customHeight="false" outlineLevel="0" collapsed="false">
      <c r="A243" s="44" t="n">
        <v>242</v>
      </c>
      <c r="B243" s="45" t="n">
        <v>45589</v>
      </c>
      <c r="C243" s="44" t="n">
        <v>10</v>
      </c>
      <c r="D243" s="44" t="n">
        <v>2024</v>
      </c>
      <c r="E243" s="44" t="n">
        <v>24</v>
      </c>
      <c r="F243" s="44" t="s">
        <v>306</v>
      </c>
      <c r="G243" s="44" t="s">
        <v>404</v>
      </c>
      <c r="H243" s="44" t="s">
        <v>136</v>
      </c>
      <c r="I243" s="44" t="s">
        <v>173</v>
      </c>
      <c r="J243" s="44" t="s">
        <v>204</v>
      </c>
      <c r="K243" s="44" t="n">
        <v>2</v>
      </c>
      <c r="L243" s="46" t="n">
        <v>155.87</v>
      </c>
      <c r="M243" s="47" t="n">
        <v>2.52</v>
      </c>
      <c r="N243" s="46" t="n">
        <v>303.88</v>
      </c>
      <c r="O243" s="44" t="s">
        <v>309</v>
      </c>
      <c r="P243" s="44" t="s">
        <v>309</v>
      </c>
      <c r="Q243" s="44" t="s">
        <v>309</v>
      </c>
    </row>
    <row r="244" customFormat="false" ht="15" hidden="false" customHeight="false" outlineLevel="0" collapsed="false">
      <c r="A244" s="44" t="n">
        <v>243</v>
      </c>
      <c r="B244" s="45" t="n">
        <v>45316</v>
      </c>
      <c r="C244" s="44" t="n">
        <v>1</v>
      </c>
      <c r="D244" s="44" t="n">
        <v>2024</v>
      </c>
      <c r="E244" s="44" t="n">
        <v>25</v>
      </c>
      <c r="F244" s="44" t="s">
        <v>306</v>
      </c>
      <c r="G244" s="44" t="s">
        <v>474</v>
      </c>
      <c r="H244" s="44" t="s">
        <v>138</v>
      </c>
      <c r="I244" s="44" t="s">
        <v>176</v>
      </c>
      <c r="J244" s="44" t="s">
        <v>206</v>
      </c>
      <c r="K244" s="44" t="n">
        <v>4</v>
      </c>
      <c r="L244" s="46" t="n">
        <v>4.03</v>
      </c>
      <c r="M244" s="47" t="n">
        <v>6.29</v>
      </c>
      <c r="N244" s="46" t="n">
        <v>15.11</v>
      </c>
      <c r="O244" s="44" t="s">
        <v>309</v>
      </c>
      <c r="P244" s="44" t="s">
        <v>309</v>
      </c>
      <c r="Q244" s="44" t="s">
        <v>309</v>
      </c>
    </row>
    <row r="245" customFormat="false" ht="15" hidden="false" customHeight="false" outlineLevel="0" collapsed="false">
      <c r="A245" s="44" t="n">
        <v>244</v>
      </c>
      <c r="B245" s="45" t="n">
        <v>45632</v>
      </c>
      <c r="C245" s="44" t="n">
        <v>12</v>
      </c>
      <c r="D245" s="44" t="n">
        <v>2024</v>
      </c>
      <c r="E245" s="44" t="n">
        <v>6</v>
      </c>
      <c r="F245" s="44" t="s">
        <v>325</v>
      </c>
      <c r="G245" s="44" t="s">
        <v>430</v>
      </c>
      <c r="H245" s="44" t="s">
        <v>139</v>
      </c>
      <c r="I245" s="44" t="s">
        <v>176</v>
      </c>
      <c r="J245" s="44" t="s">
        <v>196</v>
      </c>
      <c r="K245" s="44" t="n">
        <v>3</v>
      </c>
      <c r="L245" s="46" t="n">
        <v>13.79</v>
      </c>
      <c r="M245" s="47" t="n">
        <v>3.17</v>
      </c>
      <c r="N245" s="46" t="n">
        <v>40.06</v>
      </c>
      <c r="O245" s="44" t="s">
        <v>309</v>
      </c>
      <c r="P245" s="44" t="s">
        <v>317</v>
      </c>
      <c r="Q245" s="44" t="s">
        <v>309</v>
      </c>
    </row>
    <row r="246" customFormat="false" ht="15" hidden="false" customHeight="false" outlineLevel="0" collapsed="false">
      <c r="A246" s="44" t="n">
        <v>245</v>
      </c>
      <c r="B246" s="45" t="n">
        <v>45407</v>
      </c>
      <c r="C246" s="44" t="n">
        <v>4</v>
      </c>
      <c r="D246" s="44" t="n">
        <v>2024</v>
      </c>
      <c r="E246" s="44" t="n">
        <v>25</v>
      </c>
      <c r="F246" s="44" t="s">
        <v>306</v>
      </c>
      <c r="G246" s="44" t="s">
        <v>475</v>
      </c>
      <c r="H246" s="44" t="s">
        <v>135</v>
      </c>
      <c r="I246" s="44" t="s">
        <v>176</v>
      </c>
      <c r="J246" s="44" t="s">
        <v>191</v>
      </c>
      <c r="K246" s="44" t="n">
        <v>1</v>
      </c>
      <c r="L246" s="46" t="n">
        <v>30.44</v>
      </c>
      <c r="M246" s="47" t="n">
        <v>1.905</v>
      </c>
      <c r="N246" s="46" t="n">
        <v>163.04</v>
      </c>
      <c r="O246" s="44" t="s">
        <v>308</v>
      </c>
      <c r="P246" s="44" t="s">
        <v>369</v>
      </c>
      <c r="Q246" s="44" t="s">
        <v>309</v>
      </c>
    </row>
    <row r="247" customFormat="false" ht="15" hidden="false" customHeight="false" outlineLevel="0" collapsed="false">
      <c r="A247" s="44" t="n">
        <v>246</v>
      </c>
      <c r="B247" s="45" t="n">
        <v>45632</v>
      </c>
      <c r="C247" s="44" t="n">
        <v>12</v>
      </c>
      <c r="D247" s="44" t="n">
        <v>2024</v>
      </c>
      <c r="E247" s="44" t="n">
        <v>6</v>
      </c>
      <c r="F247" s="44" t="s">
        <v>325</v>
      </c>
      <c r="G247" s="44" t="s">
        <v>476</v>
      </c>
      <c r="H247" s="44" t="s">
        <v>137</v>
      </c>
      <c r="I247" s="44" t="s">
        <v>172</v>
      </c>
      <c r="J247" s="44" t="s">
        <v>194</v>
      </c>
      <c r="K247" s="44" t="n">
        <v>10</v>
      </c>
      <c r="L247" s="46" t="n">
        <v>9.13</v>
      </c>
      <c r="M247" s="47" t="n">
        <v>13.06</v>
      </c>
      <c r="N247" s="46" t="n">
        <v>79.38</v>
      </c>
      <c r="O247" s="44" t="s">
        <v>309</v>
      </c>
      <c r="P247" s="44" t="s">
        <v>317</v>
      </c>
      <c r="Q247" s="44" t="s">
        <v>309</v>
      </c>
    </row>
    <row r="248" customFormat="false" ht="15" hidden="false" customHeight="false" outlineLevel="0" collapsed="false">
      <c r="A248" s="44" t="n">
        <v>247</v>
      </c>
      <c r="B248" s="45" t="n">
        <v>45413</v>
      </c>
      <c r="C248" s="44" t="n">
        <v>5</v>
      </c>
      <c r="D248" s="44" t="n">
        <v>2024</v>
      </c>
      <c r="E248" s="44" t="n">
        <v>1</v>
      </c>
      <c r="F248" s="44" t="s">
        <v>321</v>
      </c>
      <c r="G248" s="44" t="s">
        <v>477</v>
      </c>
      <c r="H248" s="44" t="s">
        <v>135</v>
      </c>
      <c r="I248" s="44" t="s">
        <v>173</v>
      </c>
      <c r="J248" s="44" t="s">
        <v>193</v>
      </c>
      <c r="K248" s="44" t="n">
        <v>5</v>
      </c>
      <c r="L248" s="46" t="n">
        <v>30.44</v>
      </c>
      <c r="M248" s="47" t="n">
        <v>1.905</v>
      </c>
      <c r="N248" s="46" t="n">
        <v>11.8</v>
      </c>
      <c r="O248" s="44" t="s">
        <v>308</v>
      </c>
      <c r="P248" s="44" t="s">
        <v>369</v>
      </c>
      <c r="Q248" s="44" t="s">
        <v>309</v>
      </c>
    </row>
    <row r="249" customFormat="false" ht="15" hidden="false" customHeight="false" outlineLevel="0" collapsed="false">
      <c r="A249" s="44" t="n">
        <v>248</v>
      </c>
      <c r="B249" s="45" t="n">
        <v>45528</v>
      </c>
      <c r="C249" s="44" t="n">
        <v>8</v>
      </c>
      <c r="D249" s="44" t="n">
        <v>2024</v>
      </c>
      <c r="E249" s="44" t="n">
        <v>24</v>
      </c>
      <c r="F249" s="44" t="s">
        <v>318</v>
      </c>
      <c r="G249" s="44" t="s">
        <v>434</v>
      </c>
      <c r="H249" s="44" t="s">
        <v>136</v>
      </c>
      <c r="I249" s="44" t="s">
        <v>174</v>
      </c>
      <c r="J249" s="44" t="s">
        <v>206</v>
      </c>
      <c r="K249" s="44" t="n">
        <v>3</v>
      </c>
      <c r="L249" s="46" t="n">
        <v>21.67</v>
      </c>
      <c r="M249" s="47" t="n">
        <v>1.73</v>
      </c>
      <c r="N249" s="46" t="n">
        <v>166.13</v>
      </c>
      <c r="O249" s="44" t="s">
        <v>308</v>
      </c>
      <c r="P249" s="44" t="s">
        <v>309</v>
      </c>
      <c r="Q249" s="44" t="s">
        <v>309</v>
      </c>
    </row>
    <row r="250" customFormat="false" ht="15" hidden="false" customHeight="false" outlineLevel="0" collapsed="false">
      <c r="A250" s="44" t="n">
        <v>249</v>
      </c>
      <c r="B250" s="45" t="n">
        <v>45469</v>
      </c>
      <c r="C250" s="44" t="n">
        <v>6</v>
      </c>
      <c r="D250" s="44" t="n">
        <v>2024</v>
      </c>
      <c r="E250" s="44" t="n">
        <v>26</v>
      </c>
      <c r="F250" s="44" t="s">
        <v>321</v>
      </c>
      <c r="G250" s="44" t="s">
        <v>478</v>
      </c>
      <c r="H250" s="44" t="s">
        <v>140</v>
      </c>
      <c r="I250" s="44" t="s">
        <v>176</v>
      </c>
      <c r="J250" s="44" t="s">
        <v>206</v>
      </c>
      <c r="K250" s="44" t="n">
        <v>5</v>
      </c>
      <c r="L250" s="46" t="n">
        <v>64.59</v>
      </c>
      <c r="M250" s="47" t="n">
        <v>7.37</v>
      </c>
      <c r="N250" s="46" t="n">
        <v>299.15</v>
      </c>
      <c r="O250" s="44" t="s">
        <v>309</v>
      </c>
      <c r="P250" s="44" t="s">
        <v>309</v>
      </c>
      <c r="Q250" s="44" t="s">
        <v>309</v>
      </c>
    </row>
    <row r="251" customFormat="false" ht="15" hidden="false" customHeight="false" outlineLevel="0" collapsed="false">
      <c r="A251" s="44" t="n">
        <v>250</v>
      </c>
      <c r="B251" s="45" t="n">
        <v>45601</v>
      </c>
      <c r="C251" s="44" t="n">
        <v>11</v>
      </c>
      <c r="D251" s="44" t="n">
        <v>2024</v>
      </c>
      <c r="E251" s="44" t="n">
        <v>5</v>
      </c>
      <c r="F251" s="44" t="s">
        <v>310</v>
      </c>
      <c r="G251" s="44" t="s">
        <v>344</v>
      </c>
      <c r="H251" s="44" t="s">
        <v>135</v>
      </c>
      <c r="I251" s="44" t="s">
        <v>172</v>
      </c>
      <c r="J251" s="44" t="s">
        <v>199</v>
      </c>
      <c r="K251" s="44" t="n">
        <v>2</v>
      </c>
      <c r="L251" s="46" t="n">
        <v>30.44</v>
      </c>
      <c r="M251" s="47" t="n">
        <v>2.91</v>
      </c>
      <c r="N251" s="46" t="n">
        <v>101.42</v>
      </c>
      <c r="O251" s="44" t="s">
        <v>308</v>
      </c>
      <c r="P251" s="44" t="s">
        <v>309</v>
      </c>
      <c r="Q251" s="44" t="s">
        <v>309</v>
      </c>
    </row>
    <row r="252" customFormat="false" ht="15" hidden="false" customHeight="false" outlineLevel="0" collapsed="false">
      <c r="A252" s="44" t="n">
        <v>251</v>
      </c>
      <c r="B252" s="45" t="n">
        <v>45457</v>
      </c>
      <c r="C252" s="44" t="n">
        <v>6</v>
      </c>
      <c r="D252" s="44" t="n">
        <v>2024</v>
      </c>
      <c r="E252" s="44" t="n">
        <v>14</v>
      </c>
      <c r="F252" s="44" t="s">
        <v>325</v>
      </c>
      <c r="G252" s="44" t="s">
        <v>429</v>
      </c>
      <c r="H252" s="44" t="s">
        <v>135</v>
      </c>
      <c r="I252" s="44" t="s">
        <v>172</v>
      </c>
      <c r="J252" s="44" t="s">
        <v>191</v>
      </c>
      <c r="K252" s="44" t="n">
        <v>10</v>
      </c>
      <c r="L252" s="46" t="n">
        <v>3.75</v>
      </c>
      <c r="M252" s="47" t="n">
        <v>15.38</v>
      </c>
      <c r="N252" s="46" t="n">
        <v>31.73</v>
      </c>
      <c r="O252" s="44" t="s">
        <v>309</v>
      </c>
      <c r="P252" s="44" t="s">
        <v>309</v>
      </c>
      <c r="Q252" s="44" t="s">
        <v>309</v>
      </c>
    </row>
    <row r="253" customFormat="false" ht="15" hidden="false" customHeight="false" outlineLevel="0" collapsed="false">
      <c r="A253" s="44" t="n">
        <v>252</v>
      </c>
      <c r="B253" s="45" t="n">
        <v>45543</v>
      </c>
      <c r="C253" s="44" t="n">
        <v>9</v>
      </c>
      <c r="D253" s="44" t="n">
        <v>2024</v>
      </c>
      <c r="E253" s="44" t="n">
        <v>8</v>
      </c>
      <c r="F253" s="44" t="s">
        <v>312</v>
      </c>
      <c r="G253" s="44" t="s">
        <v>407</v>
      </c>
      <c r="H253" s="44" t="s">
        <v>137</v>
      </c>
      <c r="I253" s="44" t="s">
        <v>173</v>
      </c>
      <c r="J253" s="44" t="s">
        <v>191</v>
      </c>
      <c r="K253" s="44" t="n">
        <v>1</v>
      </c>
      <c r="L253" s="46" t="n">
        <v>10.81</v>
      </c>
      <c r="M253" s="47" t="n">
        <v>0</v>
      </c>
      <c r="N253" s="46" t="n">
        <v>10.81</v>
      </c>
      <c r="O253" s="44" t="s">
        <v>309</v>
      </c>
      <c r="P253" s="44" t="s">
        <v>309</v>
      </c>
      <c r="Q253" s="44" t="s">
        <v>309</v>
      </c>
    </row>
    <row r="254" customFormat="false" ht="15" hidden="false" customHeight="false" outlineLevel="0" collapsed="false">
      <c r="A254" s="44" t="n">
        <v>253</v>
      </c>
      <c r="B254" s="45" t="n">
        <v>45306</v>
      </c>
      <c r="C254" s="44" t="n">
        <v>1</v>
      </c>
      <c r="D254" s="44" t="n">
        <v>2024</v>
      </c>
      <c r="E254" s="44" t="n">
        <v>15</v>
      </c>
      <c r="F254" s="44" t="s">
        <v>328</v>
      </c>
      <c r="G254" s="44" t="s">
        <v>479</v>
      </c>
      <c r="H254" s="44" t="s">
        <v>137</v>
      </c>
      <c r="I254" s="44" t="s">
        <v>173</v>
      </c>
      <c r="J254" s="44" t="s">
        <v>191</v>
      </c>
      <c r="K254" s="44" t="n">
        <v>2</v>
      </c>
      <c r="L254" s="46" t="n">
        <v>16.25</v>
      </c>
      <c r="M254" s="47" t="n">
        <v>2.12</v>
      </c>
      <c r="N254" s="46" t="n">
        <v>31.81</v>
      </c>
      <c r="O254" s="44" t="s">
        <v>309</v>
      </c>
      <c r="P254" s="44" t="s">
        <v>317</v>
      </c>
      <c r="Q254" s="44" t="s">
        <v>309</v>
      </c>
    </row>
    <row r="255" customFormat="false" ht="15" hidden="false" customHeight="false" outlineLevel="0" collapsed="false">
      <c r="A255" s="44" t="n">
        <v>254</v>
      </c>
      <c r="B255" s="45" t="n">
        <v>45335</v>
      </c>
      <c r="C255" s="44" t="n">
        <v>2</v>
      </c>
      <c r="D255" s="44" t="n">
        <v>2024</v>
      </c>
      <c r="E255" s="44" t="n">
        <v>13</v>
      </c>
      <c r="F255" s="44" t="s">
        <v>310</v>
      </c>
      <c r="G255" s="44" t="s">
        <v>462</v>
      </c>
      <c r="H255" s="44" t="s">
        <v>135</v>
      </c>
      <c r="I255" s="44" t="s">
        <v>176</v>
      </c>
      <c r="J255" s="44" t="s">
        <v>191</v>
      </c>
      <c r="K255" s="44" t="n">
        <v>1</v>
      </c>
      <c r="L255" s="46" t="n">
        <v>2.73</v>
      </c>
      <c r="M255" s="47" t="n">
        <v>0</v>
      </c>
      <c r="N255" s="46" t="n">
        <v>2.73</v>
      </c>
      <c r="O255" s="44" t="s">
        <v>309</v>
      </c>
      <c r="P255" s="44" t="s">
        <v>309</v>
      </c>
      <c r="Q255" s="44" t="s">
        <v>309</v>
      </c>
    </row>
    <row r="256" customFormat="false" ht="15" hidden="false" customHeight="false" outlineLevel="0" collapsed="false">
      <c r="A256" s="44" t="n">
        <v>255</v>
      </c>
      <c r="B256" s="45" t="n">
        <v>45606</v>
      </c>
      <c r="C256" s="44" t="n">
        <v>11</v>
      </c>
      <c r="D256" s="44" t="n">
        <v>2024</v>
      </c>
      <c r="E256" s="44" t="n">
        <v>10</v>
      </c>
      <c r="F256" s="44" t="s">
        <v>312</v>
      </c>
      <c r="G256" s="44" t="s">
        <v>480</v>
      </c>
      <c r="H256" s="44" t="s">
        <v>134</v>
      </c>
      <c r="I256" s="44" t="s">
        <v>174</v>
      </c>
      <c r="J256" s="44" t="s">
        <v>193</v>
      </c>
      <c r="K256" s="44" t="n">
        <v>1</v>
      </c>
      <c r="L256" s="46" t="n">
        <v>3.17</v>
      </c>
      <c r="M256" s="47" t="n">
        <v>1.52</v>
      </c>
      <c r="N256" s="46" t="n">
        <v>3.12</v>
      </c>
      <c r="O256" s="44" t="s">
        <v>309</v>
      </c>
      <c r="P256" s="44" t="s">
        <v>309</v>
      </c>
      <c r="Q256" s="44" t="s">
        <v>309</v>
      </c>
    </row>
    <row r="257" customFormat="false" ht="15" hidden="false" customHeight="false" outlineLevel="0" collapsed="false">
      <c r="A257" s="44" t="n">
        <v>256</v>
      </c>
      <c r="B257" s="45" t="n">
        <v>45376</v>
      </c>
      <c r="C257" s="44" t="n">
        <v>3</v>
      </c>
      <c r="D257" s="44" t="n">
        <v>2024</v>
      </c>
      <c r="E257" s="44" t="n">
        <v>25</v>
      </c>
      <c r="F257" s="44" t="s">
        <v>328</v>
      </c>
      <c r="G257" s="44" t="s">
        <v>380</v>
      </c>
      <c r="H257" s="44" t="s">
        <v>137</v>
      </c>
      <c r="I257" s="44" t="s">
        <v>174</v>
      </c>
      <c r="J257" s="44" t="s">
        <v>206</v>
      </c>
      <c r="K257" s="44" t="n">
        <v>1</v>
      </c>
      <c r="L257" s="46" t="n">
        <v>28.2</v>
      </c>
      <c r="M257" s="47" t="n">
        <v>1.74</v>
      </c>
      <c r="N257" s="46" t="n">
        <v>8.32</v>
      </c>
      <c r="O257" s="44" t="s">
        <v>308</v>
      </c>
      <c r="P257" s="44" t="s">
        <v>309</v>
      </c>
      <c r="Q257" s="44" t="s">
        <v>309</v>
      </c>
    </row>
    <row r="258" customFormat="false" ht="15" hidden="false" customHeight="false" outlineLevel="0" collapsed="false">
      <c r="A258" s="44" t="n">
        <v>257</v>
      </c>
      <c r="B258" s="45" t="n">
        <v>45313</v>
      </c>
      <c r="C258" s="44" t="n">
        <v>1</v>
      </c>
      <c r="D258" s="44" t="n">
        <v>2024</v>
      </c>
      <c r="E258" s="44" t="n">
        <v>22</v>
      </c>
      <c r="F258" s="44" t="s">
        <v>328</v>
      </c>
      <c r="G258" s="44" t="s">
        <v>481</v>
      </c>
      <c r="H258" s="44" t="s">
        <v>134</v>
      </c>
      <c r="I258" s="44" t="s">
        <v>173</v>
      </c>
      <c r="J258" s="44" t="s">
        <v>205</v>
      </c>
      <c r="K258" s="44" t="n">
        <v>4</v>
      </c>
      <c r="L258" s="46" t="n">
        <v>39.5</v>
      </c>
      <c r="M258" s="47" t="n">
        <v>5.04</v>
      </c>
      <c r="N258" s="46" t="n">
        <v>150.04</v>
      </c>
      <c r="O258" s="44" t="s">
        <v>309</v>
      </c>
      <c r="P258" s="44" t="s">
        <v>309</v>
      </c>
      <c r="Q258" s="44" t="s">
        <v>309</v>
      </c>
    </row>
    <row r="259" customFormat="false" ht="15" hidden="false" customHeight="false" outlineLevel="0" collapsed="false">
      <c r="A259" s="44" t="n">
        <v>258</v>
      </c>
      <c r="B259" s="45" t="n">
        <v>45307</v>
      </c>
      <c r="C259" s="44" t="n">
        <v>1</v>
      </c>
      <c r="D259" s="44" t="n">
        <v>2024</v>
      </c>
      <c r="E259" s="44" t="n">
        <v>16</v>
      </c>
      <c r="F259" s="44" t="s">
        <v>310</v>
      </c>
      <c r="G259" s="44" t="s">
        <v>396</v>
      </c>
      <c r="H259" s="44" t="s">
        <v>138</v>
      </c>
      <c r="I259" s="44" t="s">
        <v>172</v>
      </c>
      <c r="J259" s="44" t="s">
        <v>206</v>
      </c>
      <c r="K259" s="44" t="n">
        <v>4</v>
      </c>
      <c r="L259" s="46" t="n">
        <v>51.97</v>
      </c>
      <c r="M259" s="47" t="n">
        <v>5.13</v>
      </c>
      <c r="N259" s="46" t="n">
        <v>197.22</v>
      </c>
      <c r="O259" s="44" t="s">
        <v>309</v>
      </c>
      <c r="P259" s="44" t="s">
        <v>317</v>
      </c>
      <c r="Q259" s="44" t="s">
        <v>309</v>
      </c>
    </row>
    <row r="260" customFormat="false" ht="15" hidden="false" customHeight="false" outlineLevel="0" collapsed="false">
      <c r="A260" s="44" t="n">
        <v>259</v>
      </c>
      <c r="B260" s="45" t="n">
        <v>45356</v>
      </c>
      <c r="C260" s="44" t="n">
        <v>3</v>
      </c>
      <c r="D260" s="44" t="n">
        <v>2024</v>
      </c>
      <c r="E260" s="44" t="n">
        <v>5</v>
      </c>
      <c r="F260" s="44" t="s">
        <v>310</v>
      </c>
      <c r="G260" s="44" t="s">
        <v>311</v>
      </c>
      <c r="H260" s="44" t="s">
        <v>140</v>
      </c>
      <c r="I260" s="44" t="s">
        <v>176</v>
      </c>
      <c r="J260" s="44" t="s">
        <v>194</v>
      </c>
      <c r="K260" s="44" t="n">
        <v>1</v>
      </c>
      <c r="L260" s="46" t="n">
        <v>1.91</v>
      </c>
      <c r="M260" s="47" t="n">
        <v>0</v>
      </c>
      <c r="N260" s="46" t="n">
        <v>1.91</v>
      </c>
      <c r="O260" s="44" t="s">
        <v>309</v>
      </c>
      <c r="P260" s="44" t="s">
        <v>309</v>
      </c>
      <c r="Q260" s="44" t="s">
        <v>309</v>
      </c>
    </row>
    <row r="261" customFormat="false" ht="15" hidden="false" customHeight="false" outlineLevel="0" collapsed="false">
      <c r="A261" s="44" t="n">
        <v>260</v>
      </c>
      <c r="B261" s="45" t="n">
        <v>45473</v>
      </c>
      <c r="C261" s="44" t="n">
        <v>6</v>
      </c>
      <c r="D261" s="44" t="n">
        <v>2024</v>
      </c>
      <c r="E261" s="44" t="n">
        <v>30</v>
      </c>
      <c r="F261" s="44" t="s">
        <v>312</v>
      </c>
      <c r="G261" s="44" t="s">
        <v>331</v>
      </c>
      <c r="H261" s="44" t="s">
        <v>139</v>
      </c>
      <c r="I261" s="44" t="s">
        <v>172</v>
      </c>
      <c r="J261" s="44" t="s">
        <v>194</v>
      </c>
      <c r="K261" s="44" t="n">
        <v>1</v>
      </c>
      <c r="L261" s="46" t="n">
        <v>18.33</v>
      </c>
      <c r="M261" s="47" t="n">
        <v>1.905</v>
      </c>
      <c r="N261" s="46" t="n">
        <v>4.11</v>
      </c>
      <c r="O261" s="44" t="s">
        <v>308</v>
      </c>
      <c r="P261" s="44" t="s">
        <v>369</v>
      </c>
      <c r="Q261" s="44" t="s">
        <v>309</v>
      </c>
    </row>
    <row r="262" customFormat="false" ht="15" hidden="false" customHeight="false" outlineLevel="0" collapsed="false">
      <c r="A262" s="44" t="n">
        <v>261</v>
      </c>
      <c r="B262" s="45" t="n">
        <v>45566</v>
      </c>
      <c r="C262" s="44" t="n">
        <v>10</v>
      </c>
      <c r="D262" s="44" t="n">
        <v>2024</v>
      </c>
      <c r="E262" s="44" t="n">
        <v>1</v>
      </c>
      <c r="F262" s="44" t="s">
        <v>310</v>
      </c>
      <c r="G262" s="44" t="s">
        <v>387</v>
      </c>
      <c r="H262" s="44" t="s">
        <v>140</v>
      </c>
      <c r="I262" s="44" t="s">
        <v>174</v>
      </c>
      <c r="J262" s="44" t="s">
        <v>191</v>
      </c>
      <c r="K262" s="44" t="n">
        <v>3</v>
      </c>
      <c r="L262" s="46" t="n">
        <v>8.87</v>
      </c>
      <c r="M262" s="47" t="n">
        <v>2.26</v>
      </c>
      <c r="N262" s="46" t="n">
        <v>26.01</v>
      </c>
      <c r="O262" s="44" t="s">
        <v>309</v>
      </c>
      <c r="P262" s="44" t="s">
        <v>309</v>
      </c>
      <c r="Q262" s="44" t="s">
        <v>309</v>
      </c>
    </row>
    <row r="263" customFormat="false" ht="15" hidden="false" customHeight="false" outlineLevel="0" collapsed="false">
      <c r="A263" s="44" t="n">
        <v>262</v>
      </c>
      <c r="B263" s="45" t="n">
        <v>45361</v>
      </c>
      <c r="C263" s="44" t="n">
        <v>3</v>
      </c>
      <c r="D263" s="44" t="n">
        <v>2024</v>
      </c>
      <c r="E263" s="44" t="n">
        <v>10</v>
      </c>
      <c r="F263" s="44" t="s">
        <v>312</v>
      </c>
      <c r="G263" s="44" t="s">
        <v>354</v>
      </c>
      <c r="H263" s="44" t="s">
        <v>137</v>
      </c>
      <c r="I263" s="44" t="s">
        <v>176</v>
      </c>
      <c r="J263" s="44" t="s">
        <v>206</v>
      </c>
      <c r="K263" s="44" t="n">
        <v>3</v>
      </c>
      <c r="L263" s="46" t="n">
        <v>52.58</v>
      </c>
      <c r="M263" s="47" t="n">
        <v>1.5</v>
      </c>
      <c r="N263" s="46" t="n">
        <v>155.37</v>
      </c>
      <c r="O263" s="44" t="s">
        <v>309</v>
      </c>
      <c r="P263" s="44" t="s">
        <v>309</v>
      </c>
      <c r="Q263" s="44" t="s">
        <v>309</v>
      </c>
    </row>
    <row r="264" customFormat="false" ht="15" hidden="false" customHeight="false" outlineLevel="0" collapsed="false">
      <c r="A264" s="44" t="n">
        <v>263</v>
      </c>
      <c r="B264" s="45" t="n">
        <v>45633</v>
      </c>
      <c r="C264" s="44" t="n">
        <v>12</v>
      </c>
      <c r="D264" s="44" t="n">
        <v>2024</v>
      </c>
      <c r="E264" s="44" t="n">
        <v>7</v>
      </c>
      <c r="F264" s="44" t="s">
        <v>318</v>
      </c>
      <c r="G264" s="44" t="s">
        <v>407</v>
      </c>
      <c r="H264" s="44" t="s">
        <v>137</v>
      </c>
      <c r="I264" s="44" t="s">
        <v>173</v>
      </c>
      <c r="J264" s="44" t="s">
        <v>193</v>
      </c>
      <c r="K264" s="44" t="n">
        <v>2</v>
      </c>
      <c r="L264" s="46" t="n">
        <v>117.72</v>
      </c>
      <c r="M264" s="47" t="n">
        <v>0.56</v>
      </c>
      <c r="N264" s="46" t="n">
        <v>234.12</v>
      </c>
      <c r="O264" s="44" t="s">
        <v>309</v>
      </c>
      <c r="P264" s="44" t="s">
        <v>309</v>
      </c>
      <c r="Q264" s="44" t="s">
        <v>309</v>
      </c>
    </row>
    <row r="265" customFormat="false" ht="15" hidden="false" customHeight="false" outlineLevel="0" collapsed="false">
      <c r="A265" s="44" t="n">
        <v>264</v>
      </c>
      <c r="B265" s="45" t="n">
        <v>45626</v>
      </c>
      <c r="C265" s="44" t="n">
        <v>11</v>
      </c>
      <c r="D265" s="44" t="n">
        <v>2024</v>
      </c>
      <c r="E265" s="44" t="n">
        <v>30</v>
      </c>
      <c r="F265" s="44" t="s">
        <v>318</v>
      </c>
      <c r="G265" s="44" t="s">
        <v>348</v>
      </c>
      <c r="H265" s="44" t="s">
        <v>134</v>
      </c>
      <c r="I265" s="44" t="s">
        <v>175</v>
      </c>
      <c r="J265" s="44" t="s">
        <v>198</v>
      </c>
      <c r="K265" s="44" t="n">
        <v>4</v>
      </c>
      <c r="L265" s="46" t="n">
        <v>170.31</v>
      </c>
      <c r="M265" s="47" t="n">
        <v>4.88</v>
      </c>
      <c r="N265" s="46" t="n">
        <v>648</v>
      </c>
      <c r="O265" s="44" t="s">
        <v>309</v>
      </c>
      <c r="P265" s="44" t="s">
        <v>309</v>
      </c>
      <c r="Q265" s="44" t="s">
        <v>309</v>
      </c>
    </row>
    <row r="266" customFormat="false" ht="15" hidden="false" customHeight="false" outlineLevel="0" collapsed="false">
      <c r="A266" s="44" t="n">
        <v>265</v>
      </c>
      <c r="B266" s="45" t="n">
        <v>45363</v>
      </c>
      <c r="C266" s="44" t="n">
        <v>3</v>
      </c>
      <c r="D266" s="44" t="n">
        <v>2024</v>
      </c>
      <c r="E266" s="44" t="n">
        <v>12</v>
      </c>
      <c r="F266" s="44" t="s">
        <v>310</v>
      </c>
      <c r="G266" s="44" t="s">
        <v>482</v>
      </c>
      <c r="H266" s="44" t="s">
        <v>140</v>
      </c>
      <c r="I266" s="44" t="s">
        <v>174</v>
      </c>
      <c r="J266" s="44" t="s">
        <v>194</v>
      </c>
      <c r="K266" s="44" t="n">
        <v>4</v>
      </c>
      <c r="L266" s="46" t="n">
        <v>3.55</v>
      </c>
      <c r="M266" s="47" t="n">
        <v>4.42</v>
      </c>
      <c r="N266" s="46" t="n">
        <v>13.57</v>
      </c>
      <c r="O266" s="44" t="s">
        <v>309</v>
      </c>
      <c r="P266" s="44" t="s">
        <v>309</v>
      </c>
      <c r="Q266" s="44" t="s">
        <v>309</v>
      </c>
    </row>
    <row r="267" customFormat="false" ht="15" hidden="false" customHeight="false" outlineLevel="0" collapsed="false">
      <c r="A267" s="44" t="n">
        <v>266</v>
      </c>
      <c r="B267" s="45" t="n">
        <v>45552</v>
      </c>
      <c r="C267" s="44" t="n">
        <v>9</v>
      </c>
      <c r="D267" s="44" t="n">
        <v>2024</v>
      </c>
      <c r="E267" s="44" t="n">
        <v>17</v>
      </c>
      <c r="F267" s="44" t="s">
        <v>310</v>
      </c>
      <c r="G267" s="44" t="s">
        <v>483</v>
      </c>
      <c r="H267" s="44" t="s">
        <v>138</v>
      </c>
      <c r="I267" s="44" t="s">
        <v>174</v>
      </c>
      <c r="J267" s="44" t="s">
        <v>199</v>
      </c>
      <c r="K267" s="44" t="n">
        <v>3</v>
      </c>
      <c r="L267" s="46" t="n">
        <v>41.84</v>
      </c>
      <c r="M267" s="47" t="n">
        <v>3.81</v>
      </c>
      <c r="N267" s="46" t="n">
        <v>120.74</v>
      </c>
      <c r="O267" s="44" t="s">
        <v>309</v>
      </c>
      <c r="P267" s="44" t="s">
        <v>309</v>
      </c>
      <c r="Q267" s="44" t="s">
        <v>309</v>
      </c>
    </row>
    <row r="268" customFormat="false" ht="15" hidden="false" customHeight="false" outlineLevel="0" collapsed="false">
      <c r="A268" s="44" t="n">
        <v>267</v>
      </c>
      <c r="B268" s="45" t="n">
        <v>45542</v>
      </c>
      <c r="C268" s="44" t="n">
        <v>9</v>
      </c>
      <c r="D268" s="44" t="n">
        <v>2024</v>
      </c>
      <c r="E268" s="44" t="n">
        <v>7</v>
      </c>
      <c r="F268" s="44" t="s">
        <v>318</v>
      </c>
      <c r="G268" s="44" t="s">
        <v>484</v>
      </c>
      <c r="H268" s="44" t="s">
        <v>137</v>
      </c>
      <c r="I268" s="44" t="s">
        <v>172</v>
      </c>
      <c r="J268" s="44" t="s">
        <v>199</v>
      </c>
      <c r="K268" s="44" t="n">
        <v>3</v>
      </c>
      <c r="L268" s="46" t="n">
        <v>11.72</v>
      </c>
      <c r="M268" s="47" t="n">
        <v>3.98</v>
      </c>
      <c r="N268" s="46" t="n">
        <v>33.76</v>
      </c>
      <c r="O268" s="44" t="s">
        <v>309</v>
      </c>
      <c r="P268" s="44" t="s">
        <v>309</v>
      </c>
      <c r="Q268" s="44" t="s">
        <v>309</v>
      </c>
    </row>
    <row r="269" customFormat="false" ht="15" hidden="false" customHeight="false" outlineLevel="0" collapsed="false">
      <c r="A269" s="44" t="n">
        <v>268</v>
      </c>
      <c r="B269" s="45" t="n">
        <v>45577</v>
      </c>
      <c r="C269" s="44" t="n">
        <v>10</v>
      </c>
      <c r="D269" s="44" t="n">
        <v>2024</v>
      </c>
      <c r="E269" s="44" t="n">
        <v>12</v>
      </c>
      <c r="F269" s="44" t="s">
        <v>318</v>
      </c>
      <c r="G269" s="44" t="s">
        <v>485</v>
      </c>
      <c r="H269" s="44" t="s">
        <v>135</v>
      </c>
      <c r="I269" s="44" t="s">
        <v>176</v>
      </c>
      <c r="J269" s="44" t="s">
        <v>191</v>
      </c>
      <c r="K269" s="44" t="n">
        <v>1</v>
      </c>
      <c r="L269" s="46" t="n">
        <v>174.4</v>
      </c>
      <c r="M269" s="47" t="n">
        <v>0.71</v>
      </c>
      <c r="N269" s="46" t="n">
        <v>173.16</v>
      </c>
      <c r="O269" s="44" t="s">
        <v>309</v>
      </c>
      <c r="P269" s="44" t="s">
        <v>309</v>
      </c>
      <c r="Q269" s="44" t="s">
        <v>309</v>
      </c>
    </row>
    <row r="270" customFormat="false" ht="15" hidden="false" customHeight="false" outlineLevel="0" collapsed="false">
      <c r="A270" s="44" t="n">
        <v>269</v>
      </c>
      <c r="B270" s="45" t="n">
        <v>45626</v>
      </c>
      <c r="C270" s="44" t="n">
        <v>11</v>
      </c>
      <c r="D270" s="44" t="n">
        <v>2024</v>
      </c>
      <c r="E270" s="44" t="n">
        <v>30</v>
      </c>
      <c r="F270" s="44" t="s">
        <v>318</v>
      </c>
      <c r="G270" s="44" t="s">
        <v>327</v>
      </c>
      <c r="H270" s="44" t="s">
        <v>136</v>
      </c>
      <c r="I270" s="44" t="s">
        <v>172</v>
      </c>
      <c r="J270" s="44" t="s">
        <v>206</v>
      </c>
      <c r="K270" s="44" t="n">
        <v>1</v>
      </c>
      <c r="L270" s="46" t="n">
        <v>33.81</v>
      </c>
      <c r="M270" s="47" t="n">
        <v>1.31</v>
      </c>
      <c r="N270" s="46" t="n">
        <v>33.37</v>
      </c>
      <c r="O270" s="44" t="s">
        <v>309</v>
      </c>
      <c r="P270" s="44" t="s">
        <v>309</v>
      </c>
      <c r="Q270" s="44" t="s">
        <v>309</v>
      </c>
    </row>
    <row r="271" customFormat="false" ht="15" hidden="false" customHeight="false" outlineLevel="0" collapsed="false">
      <c r="A271" s="44" t="n">
        <v>270</v>
      </c>
      <c r="B271" s="45" t="n">
        <v>45647</v>
      </c>
      <c r="C271" s="44" t="n">
        <v>12</v>
      </c>
      <c r="D271" s="44" t="n">
        <v>2024</v>
      </c>
      <c r="E271" s="44" t="n">
        <v>21</v>
      </c>
      <c r="F271" s="44" t="s">
        <v>318</v>
      </c>
      <c r="G271" s="44" t="s">
        <v>486</v>
      </c>
      <c r="H271" s="44" t="s">
        <v>137</v>
      </c>
      <c r="I271" s="44" t="s">
        <v>173</v>
      </c>
      <c r="J271" s="44" t="s">
        <v>206</v>
      </c>
      <c r="K271" s="44" t="n">
        <v>2</v>
      </c>
      <c r="L271" s="46" t="n">
        <v>28.2</v>
      </c>
      <c r="M271" s="47" t="n">
        <v>0.22</v>
      </c>
      <c r="N271" s="46" t="n">
        <v>12.81</v>
      </c>
      <c r="O271" s="44" t="s">
        <v>308</v>
      </c>
      <c r="P271" s="44" t="s">
        <v>309</v>
      </c>
      <c r="Q271" s="44" t="s">
        <v>309</v>
      </c>
    </row>
    <row r="272" customFormat="false" ht="15" hidden="false" customHeight="false" outlineLevel="0" collapsed="false">
      <c r="A272" s="44" t="n">
        <v>271</v>
      </c>
      <c r="B272" s="45" t="n">
        <v>45593</v>
      </c>
      <c r="C272" s="44" t="n">
        <v>10</v>
      </c>
      <c r="D272" s="44" t="n">
        <v>2024</v>
      </c>
      <c r="E272" s="44" t="n">
        <v>28</v>
      </c>
      <c r="F272" s="44" t="s">
        <v>328</v>
      </c>
      <c r="G272" s="44" t="s">
        <v>487</v>
      </c>
      <c r="H272" s="44" t="s">
        <v>134</v>
      </c>
      <c r="I272" s="44" t="s">
        <v>173</v>
      </c>
      <c r="J272" s="44" t="s">
        <v>191</v>
      </c>
      <c r="K272" s="44" t="n">
        <v>3</v>
      </c>
      <c r="L272" s="46" t="n">
        <v>29.18</v>
      </c>
      <c r="M272" s="47" t="n">
        <v>3.96</v>
      </c>
      <c r="N272" s="46" t="n">
        <v>20.43</v>
      </c>
      <c r="O272" s="44" t="s">
        <v>308</v>
      </c>
      <c r="P272" s="44" t="s">
        <v>309</v>
      </c>
      <c r="Q272" s="44" t="s">
        <v>309</v>
      </c>
    </row>
    <row r="273" customFormat="false" ht="15" hidden="false" customHeight="false" outlineLevel="0" collapsed="false">
      <c r="A273" s="44" t="n">
        <v>272</v>
      </c>
      <c r="B273" s="45" t="n">
        <v>45510</v>
      </c>
      <c r="C273" s="44" t="n">
        <v>8</v>
      </c>
      <c r="D273" s="44" t="n">
        <v>2024</v>
      </c>
      <c r="E273" s="44" t="n">
        <v>6</v>
      </c>
      <c r="F273" s="44" t="s">
        <v>310</v>
      </c>
      <c r="G273" s="44" t="s">
        <v>327</v>
      </c>
      <c r="H273" s="44" t="s">
        <v>134</v>
      </c>
      <c r="I273" s="44" t="s">
        <v>176</v>
      </c>
      <c r="J273" s="44" t="s">
        <v>199</v>
      </c>
      <c r="K273" s="44" t="n">
        <v>4</v>
      </c>
      <c r="L273" s="46" t="n">
        <v>125.36</v>
      </c>
      <c r="M273" s="47" t="n">
        <v>4.26</v>
      </c>
      <c r="N273" s="46" t="n">
        <v>480.08</v>
      </c>
      <c r="O273" s="44" t="s">
        <v>309</v>
      </c>
      <c r="P273" s="44" t="s">
        <v>309</v>
      </c>
      <c r="Q273" s="44" t="s">
        <v>309</v>
      </c>
    </row>
    <row r="274" customFormat="false" ht="15" hidden="false" customHeight="false" outlineLevel="0" collapsed="false">
      <c r="A274" s="44" t="n">
        <v>273</v>
      </c>
      <c r="B274" s="45" t="n">
        <v>45384</v>
      </c>
      <c r="C274" s="44" t="n">
        <v>4</v>
      </c>
      <c r="D274" s="44" t="n">
        <v>2024</v>
      </c>
      <c r="E274" s="44" t="n">
        <v>2</v>
      </c>
      <c r="F274" s="44" t="s">
        <v>310</v>
      </c>
      <c r="G274" s="44" t="s">
        <v>476</v>
      </c>
      <c r="H274" s="44" t="s">
        <v>134</v>
      </c>
      <c r="I274" s="44" t="s">
        <v>172</v>
      </c>
      <c r="J274" s="44" t="s">
        <v>191</v>
      </c>
      <c r="K274" s="44" t="n">
        <v>2</v>
      </c>
      <c r="L274" s="46" t="n">
        <v>141.38</v>
      </c>
      <c r="M274" s="47" t="n">
        <v>1.38</v>
      </c>
      <c r="N274" s="46" t="n">
        <v>278.86</v>
      </c>
      <c r="O274" s="44" t="s">
        <v>309</v>
      </c>
      <c r="P274" s="44" t="s">
        <v>309</v>
      </c>
      <c r="Q274" s="44" t="s">
        <v>309</v>
      </c>
    </row>
    <row r="275" customFormat="false" ht="15" hidden="false" customHeight="false" outlineLevel="0" collapsed="false">
      <c r="A275" s="44" t="n">
        <v>274</v>
      </c>
      <c r="B275" s="45" t="n">
        <v>45302</v>
      </c>
      <c r="C275" s="44" t="n">
        <v>1</v>
      </c>
      <c r="D275" s="44" t="n">
        <v>2024</v>
      </c>
      <c r="E275" s="44" t="n">
        <v>11</v>
      </c>
      <c r="F275" s="44" t="s">
        <v>306</v>
      </c>
      <c r="G275" s="44" t="s">
        <v>408</v>
      </c>
      <c r="H275" s="44" t="s">
        <v>134</v>
      </c>
      <c r="I275" s="44" t="s">
        <v>172</v>
      </c>
      <c r="J275" s="44" t="s">
        <v>191</v>
      </c>
      <c r="K275" s="44" t="n">
        <v>1</v>
      </c>
      <c r="L275" s="46" t="n">
        <v>18.31</v>
      </c>
      <c r="M275" s="47" t="n">
        <v>1.05</v>
      </c>
      <c r="N275" s="46" t="n">
        <v>18.12</v>
      </c>
      <c r="O275" s="44" t="s">
        <v>309</v>
      </c>
      <c r="P275" s="44" t="s">
        <v>309</v>
      </c>
      <c r="Q275" s="44" t="s">
        <v>309</v>
      </c>
    </row>
    <row r="276" customFormat="false" ht="15" hidden="false" customHeight="false" outlineLevel="0" collapsed="false">
      <c r="A276" s="44" t="n">
        <v>275</v>
      </c>
      <c r="B276" s="45" t="n">
        <v>45322</v>
      </c>
      <c r="C276" s="44" t="n">
        <v>1</v>
      </c>
      <c r="D276" s="44" t="n">
        <v>2024</v>
      </c>
      <c r="E276" s="44" t="n">
        <v>31</v>
      </c>
      <c r="F276" s="44" t="s">
        <v>321</v>
      </c>
      <c r="G276" s="44" t="s">
        <v>447</v>
      </c>
      <c r="H276" s="44" t="s">
        <v>138</v>
      </c>
      <c r="I276" s="44" t="s">
        <v>174</v>
      </c>
      <c r="J276" s="44" t="s">
        <v>206</v>
      </c>
      <c r="K276" s="44" t="n">
        <v>1</v>
      </c>
      <c r="L276" s="46" t="n">
        <v>30.58</v>
      </c>
      <c r="M276" s="47" t="n">
        <v>1.26</v>
      </c>
      <c r="N276" s="46" t="n">
        <v>30.19</v>
      </c>
      <c r="O276" s="44" t="s">
        <v>309</v>
      </c>
      <c r="P276" s="44" t="s">
        <v>309</v>
      </c>
      <c r="Q276" s="44" t="s">
        <v>309</v>
      </c>
    </row>
    <row r="277" customFormat="false" ht="15" hidden="false" customHeight="false" outlineLevel="0" collapsed="false">
      <c r="A277" s="44" t="n">
        <v>276</v>
      </c>
      <c r="B277" s="45" t="n">
        <v>45565</v>
      </c>
      <c r="C277" s="44" t="n">
        <v>9</v>
      </c>
      <c r="D277" s="44" t="n">
        <v>2024</v>
      </c>
      <c r="E277" s="44" t="n">
        <v>30</v>
      </c>
      <c r="F277" s="44" t="s">
        <v>328</v>
      </c>
      <c r="G277" s="44" t="s">
        <v>488</v>
      </c>
      <c r="H277" s="44" t="s">
        <v>139</v>
      </c>
      <c r="I277" s="44" t="s">
        <v>172</v>
      </c>
      <c r="J277" s="44" t="s">
        <v>193</v>
      </c>
      <c r="K277" s="44" t="n">
        <v>3</v>
      </c>
      <c r="L277" s="46" t="n">
        <v>20.27</v>
      </c>
      <c r="M277" s="47" t="n">
        <v>2.81</v>
      </c>
      <c r="N277" s="46" t="n">
        <v>59.1</v>
      </c>
      <c r="O277" s="44" t="s">
        <v>309</v>
      </c>
      <c r="P277" s="44" t="s">
        <v>309</v>
      </c>
      <c r="Q277" s="44" t="s">
        <v>309</v>
      </c>
    </row>
    <row r="278" customFormat="false" ht="15" hidden="false" customHeight="false" outlineLevel="0" collapsed="false">
      <c r="A278" s="44" t="n">
        <v>277</v>
      </c>
      <c r="B278" s="45" t="n">
        <v>45546</v>
      </c>
      <c r="C278" s="44" t="n">
        <v>9</v>
      </c>
      <c r="D278" s="44" t="n">
        <v>2024</v>
      </c>
      <c r="E278" s="44" t="n">
        <v>11</v>
      </c>
      <c r="F278" s="44" t="s">
        <v>321</v>
      </c>
      <c r="G278" s="44" t="s">
        <v>489</v>
      </c>
      <c r="H278" s="44" t="s">
        <v>134</v>
      </c>
      <c r="I278" s="44" t="s">
        <v>175</v>
      </c>
      <c r="J278" s="44" t="s">
        <v>196</v>
      </c>
      <c r="K278" s="44" t="n">
        <v>6</v>
      </c>
      <c r="L278" s="46" t="n">
        <v>76.61</v>
      </c>
      <c r="M278" s="47" t="n">
        <v>6.72</v>
      </c>
      <c r="N278" s="46" t="n">
        <v>428.77</v>
      </c>
      <c r="O278" s="44" t="s">
        <v>309</v>
      </c>
      <c r="P278" s="44" t="s">
        <v>317</v>
      </c>
      <c r="Q278" s="44" t="s">
        <v>309</v>
      </c>
    </row>
    <row r="279" customFormat="false" ht="15" hidden="false" customHeight="false" outlineLevel="0" collapsed="false">
      <c r="A279" s="44" t="n">
        <v>278</v>
      </c>
      <c r="B279" s="45" t="n">
        <v>45302</v>
      </c>
      <c r="C279" s="44" t="n">
        <v>1</v>
      </c>
      <c r="D279" s="44" t="n">
        <v>2024</v>
      </c>
      <c r="E279" s="44" t="n">
        <v>11</v>
      </c>
      <c r="F279" s="44" t="s">
        <v>306</v>
      </c>
      <c r="G279" s="44" t="s">
        <v>490</v>
      </c>
      <c r="H279" s="44" t="s">
        <v>139</v>
      </c>
      <c r="I279" s="44" t="s">
        <v>175</v>
      </c>
      <c r="J279" s="44" t="s">
        <v>206</v>
      </c>
      <c r="K279" s="44" t="n">
        <v>3</v>
      </c>
      <c r="L279" s="46" t="n">
        <v>1.51</v>
      </c>
      <c r="M279" s="47" t="n">
        <v>3.96</v>
      </c>
      <c r="N279" s="46" t="n">
        <v>4.35</v>
      </c>
      <c r="O279" s="44" t="s">
        <v>309</v>
      </c>
      <c r="P279" s="44" t="s">
        <v>309</v>
      </c>
      <c r="Q279" s="44" t="s">
        <v>309</v>
      </c>
    </row>
    <row r="280" customFormat="false" ht="15" hidden="false" customHeight="false" outlineLevel="0" collapsed="false">
      <c r="A280" s="44" t="n">
        <v>279</v>
      </c>
      <c r="B280" s="45" t="n">
        <v>45446</v>
      </c>
      <c r="C280" s="44" t="n">
        <v>6</v>
      </c>
      <c r="D280" s="44" t="n">
        <v>2024</v>
      </c>
      <c r="E280" s="44" t="n">
        <v>3</v>
      </c>
      <c r="F280" s="44" t="s">
        <v>328</v>
      </c>
      <c r="G280" s="44" t="s">
        <v>375</v>
      </c>
      <c r="H280" s="44" t="s">
        <v>134</v>
      </c>
      <c r="I280" s="44" t="s">
        <v>173</v>
      </c>
      <c r="J280" s="44" t="s">
        <v>198</v>
      </c>
      <c r="K280" s="44" t="n">
        <v>2</v>
      </c>
      <c r="L280" s="46" t="n">
        <v>29.18</v>
      </c>
      <c r="M280" s="47" t="n">
        <v>1.28</v>
      </c>
      <c r="N280" s="46" t="n">
        <v>308.93</v>
      </c>
      <c r="O280" s="44" t="s">
        <v>308</v>
      </c>
      <c r="P280" s="44" t="s">
        <v>309</v>
      </c>
      <c r="Q280" s="44" t="s">
        <v>309</v>
      </c>
    </row>
    <row r="281" customFormat="false" ht="15" hidden="false" customHeight="false" outlineLevel="0" collapsed="false">
      <c r="A281" s="44" t="n">
        <v>280</v>
      </c>
      <c r="B281" s="45" t="n">
        <v>45388</v>
      </c>
      <c r="C281" s="44" t="n">
        <v>4</v>
      </c>
      <c r="D281" s="44" t="n">
        <v>2024</v>
      </c>
      <c r="E281" s="44" t="n">
        <v>6</v>
      </c>
      <c r="F281" s="44" t="s">
        <v>318</v>
      </c>
      <c r="G281" s="44" t="s">
        <v>491</v>
      </c>
      <c r="H281" s="44" t="s">
        <v>140</v>
      </c>
      <c r="I281" s="44" t="s">
        <v>173</v>
      </c>
      <c r="J281" s="44" t="s">
        <v>206</v>
      </c>
      <c r="K281" s="44" t="n">
        <v>3</v>
      </c>
      <c r="L281" s="46" t="n">
        <v>30.68</v>
      </c>
      <c r="M281" s="47" t="n">
        <v>4.53</v>
      </c>
      <c r="N281" s="46" t="n">
        <v>87.87</v>
      </c>
      <c r="O281" s="44" t="s">
        <v>309</v>
      </c>
      <c r="P281" s="44" t="s">
        <v>317</v>
      </c>
      <c r="Q281" s="44" t="s">
        <v>309</v>
      </c>
    </row>
    <row r="282" customFormat="false" ht="15" hidden="false" customHeight="false" outlineLevel="0" collapsed="false">
      <c r="A282" s="44" t="n">
        <v>281</v>
      </c>
      <c r="B282" s="45" t="n">
        <v>45527</v>
      </c>
      <c r="C282" s="44" t="n">
        <v>8</v>
      </c>
      <c r="D282" s="44" t="n">
        <v>2024</v>
      </c>
      <c r="E282" s="44" t="n">
        <v>23</v>
      </c>
      <c r="F282" s="44" t="s">
        <v>325</v>
      </c>
      <c r="G282" s="44" t="s">
        <v>315</v>
      </c>
      <c r="H282" s="44" t="s">
        <v>137</v>
      </c>
      <c r="I282" s="44" t="s">
        <v>172</v>
      </c>
      <c r="J282" s="44" t="s">
        <v>199</v>
      </c>
      <c r="K282" s="44" t="n">
        <v>1</v>
      </c>
      <c r="L282" s="46" t="n">
        <v>6.62</v>
      </c>
      <c r="M282" s="47" t="n">
        <v>0</v>
      </c>
      <c r="N282" s="46" t="n">
        <v>6.62</v>
      </c>
      <c r="O282" s="44" t="s">
        <v>309</v>
      </c>
      <c r="P282" s="44" t="s">
        <v>309</v>
      </c>
      <c r="Q282" s="44" t="s">
        <v>309</v>
      </c>
    </row>
    <row r="283" customFormat="false" ht="15" hidden="false" customHeight="false" outlineLevel="0" collapsed="false">
      <c r="A283" s="44" t="n">
        <v>282</v>
      </c>
      <c r="B283" s="45" t="n">
        <v>45320</v>
      </c>
      <c r="C283" s="44" t="n">
        <v>1</v>
      </c>
      <c r="D283" s="44" t="n">
        <v>2024</v>
      </c>
      <c r="E283" s="44" t="n">
        <v>29</v>
      </c>
      <c r="F283" s="44" t="s">
        <v>328</v>
      </c>
      <c r="G283" s="44" t="s">
        <v>492</v>
      </c>
      <c r="H283" s="44" t="s">
        <v>138</v>
      </c>
      <c r="I283" s="44" t="s">
        <v>173</v>
      </c>
      <c r="J283" s="44" t="s">
        <v>206</v>
      </c>
      <c r="K283" s="44" t="n">
        <v>1</v>
      </c>
      <c r="L283" s="46" t="n">
        <v>57.56</v>
      </c>
      <c r="M283" s="47" t="n">
        <v>0.14</v>
      </c>
      <c r="N283" s="46" t="n">
        <v>57.48</v>
      </c>
      <c r="O283" s="44" t="s">
        <v>309</v>
      </c>
      <c r="P283" s="44" t="s">
        <v>309</v>
      </c>
      <c r="Q283" s="44" t="s">
        <v>309</v>
      </c>
    </row>
    <row r="284" customFormat="false" ht="15" hidden="false" customHeight="false" outlineLevel="0" collapsed="false">
      <c r="A284" s="44" t="n">
        <v>283</v>
      </c>
      <c r="B284" s="45" t="n">
        <v>45370</v>
      </c>
      <c r="C284" s="44" t="n">
        <v>3</v>
      </c>
      <c r="D284" s="44" t="n">
        <v>2024</v>
      </c>
      <c r="E284" s="44" t="n">
        <v>19</v>
      </c>
      <c r="F284" s="44" t="s">
        <v>310</v>
      </c>
      <c r="G284" s="44" t="s">
        <v>493</v>
      </c>
      <c r="H284" s="44" t="s">
        <v>135</v>
      </c>
      <c r="I284" s="44" t="s">
        <v>172</v>
      </c>
      <c r="J284" s="44" t="s">
        <v>192</v>
      </c>
      <c r="K284" s="44" t="n">
        <v>3</v>
      </c>
      <c r="L284" s="46" t="n">
        <v>115.26</v>
      </c>
      <c r="M284" s="47" t="n">
        <v>2.56</v>
      </c>
      <c r="N284" s="46" t="n">
        <v>336.93</v>
      </c>
      <c r="O284" s="44" t="s">
        <v>309</v>
      </c>
      <c r="P284" s="44" t="s">
        <v>309</v>
      </c>
      <c r="Q284" s="44" t="s">
        <v>309</v>
      </c>
    </row>
    <row r="285" customFormat="false" ht="15" hidden="false" customHeight="false" outlineLevel="0" collapsed="false">
      <c r="A285" s="44" t="n">
        <v>284</v>
      </c>
      <c r="B285" s="45" t="n">
        <v>45444</v>
      </c>
      <c r="C285" s="44" t="n">
        <v>6</v>
      </c>
      <c r="D285" s="44" t="n">
        <v>2024</v>
      </c>
      <c r="E285" s="44" t="n">
        <v>1</v>
      </c>
      <c r="F285" s="44" t="s">
        <v>318</v>
      </c>
      <c r="G285" s="44" t="s">
        <v>362</v>
      </c>
      <c r="H285" s="44" t="s">
        <v>139</v>
      </c>
      <c r="I285" s="44" t="s">
        <v>176</v>
      </c>
      <c r="J285" s="44" t="s">
        <v>191</v>
      </c>
      <c r="K285" s="44" t="n">
        <v>1</v>
      </c>
      <c r="L285" s="46" t="n">
        <v>14.68</v>
      </c>
      <c r="M285" s="47" t="n">
        <v>0</v>
      </c>
      <c r="N285" s="46" t="n">
        <v>14.68</v>
      </c>
      <c r="O285" s="44" t="s">
        <v>309</v>
      </c>
      <c r="P285" s="44" t="s">
        <v>317</v>
      </c>
      <c r="Q285" s="44" t="s">
        <v>309</v>
      </c>
    </row>
    <row r="286" customFormat="false" ht="15" hidden="false" customHeight="false" outlineLevel="0" collapsed="false">
      <c r="A286" s="44" t="n">
        <v>285</v>
      </c>
      <c r="B286" s="45" t="n">
        <v>45359</v>
      </c>
      <c r="C286" s="44" t="n">
        <v>3</v>
      </c>
      <c r="D286" s="44" t="n">
        <v>2024</v>
      </c>
      <c r="E286" s="44" t="n">
        <v>8</v>
      </c>
      <c r="F286" s="44" t="s">
        <v>325</v>
      </c>
      <c r="G286" s="44" t="s">
        <v>449</v>
      </c>
      <c r="H286" s="44" t="s">
        <v>134</v>
      </c>
      <c r="I286" s="44" t="s">
        <v>174</v>
      </c>
      <c r="J286" s="44" t="s">
        <v>194</v>
      </c>
      <c r="K286" s="44" t="n">
        <v>2</v>
      </c>
      <c r="L286" s="46" t="n">
        <v>29.18</v>
      </c>
      <c r="M286" s="47" t="n">
        <v>1.905</v>
      </c>
      <c r="N286" s="46" t="n">
        <v>8.23</v>
      </c>
      <c r="O286" s="44" t="s">
        <v>308</v>
      </c>
      <c r="P286" s="44" t="s">
        <v>369</v>
      </c>
      <c r="Q286" s="44" t="s">
        <v>309</v>
      </c>
    </row>
    <row r="287" customFormat="false" ht="15" hidden="false" customHeight="false" outlineLevel="0" collapsed="false">
      <c r="A287" s="44" t="n">
        <v>286</v>
      </c>
      <c r="B287" s="45" t="n">
        <v>45328</v>
      </c>
      <c r="C287" s="44" t="n">
        <v>2</v>
      </c>
      <c r="D287" s="44" t="n">
        <v>2024</v>
      </c>
      <c r="E287" s="44" t="n">
        <v>6</v>
      </c>
      <c r="F287" s="44" t="s">
        <v>310</v>
      </c>
      <c r="G287" s="44" t="s">
        <v>494</v>
      </c>
      <c r="H287" s="44" t="s">
        <v>137</v>
      </c>
      <c r="I287" s="44" t="s">
        <v>172</v>
      </c>
      <c r="J287" s="44" t="s">
        <v>191</v>
      </c>
      <c r="K287" s="44" t="n">
        <v>1</v>
      </c>
      <c r="L287" s="46" t="n">
        <v>28.47</v>
      </c>
      <c r="M287" s="47" t="n">
        <v>0</v>
      </c>
      <c r="N287" s="46" t="n">
        <v>28.47</v>
      </c>
      <c r="O287" s="44" t="s">
        <v>309</v>
      </c>
      <c r="P287" s="44" t="s">
        <v>309</v>
      </c>
      <c r="Q287" s="44" t="s">
        <v>309</v>
      </c>
    </row>
    <row r="288" customFormat="false" ht="15" hidden="false" customHeight="false" outlineLevel="0" collapsed="false">
      <c r="A288" s="44" t="n">
        <v>287</v>
      </c>
      <c r="B288" s="45" t="n">
        <v>45593</v>
      </c>
      <c r="C288" s="44" t="n">
        <v>10</v>
      </c>
      <c r="D288" s="44" t="n">
        <v>2024</v>
      </c>
      <c r="E288" s="44" t="n">
        <v>28</v>
      </c>
      <c r="F288" s="44" t="s">
        <v>328</v>
      </c>
      <c r="G288" s="44" t="s">
        <v>495</v>
      </c>
      <c r="H288" s="44" t="s">
        <v>139</v>
      </c>
      <c r="I288" s="44" t="s">
        <v>174</v>
      </c>
      <c r="J288" s="44" t="s">
        <v>204</v>
      </c>
      <c r="K288" s="44" t="n">
        <v>1</v>
      </c>
      <c r="L288" s="46" t="n">
        <v>1.52</v>
      </c>
      <c r="M288" s="47" t="n">
        <v>0.66</v>
      </c>
      <c r="N288" s="46" t="n">
        <v>1.51</v>
      </c>
      <c r="O288" s="44" t="s">
        <v>309</v>
      </c>
      <c r="P288" s="44" t="s">
        <v>317</v>
      </c>
      <c r="Q288" s="44" t="s">
        <v>309</v>
      </c>
    </row>
    <row r="289" customFormat="false" ht="15" hidden="false" customHeight="false" outlineLevel="0" collapsed="false">
      <c r="A289" s="44" t="n">
        <v>288</v>
      </c>
      <c r="B289" s="45" t="n">
        <v>45369</v>
      </c>
      <c r="C289" s="44" t="n">
        <v>3</v>
      </c>
      <c r="D289" s="44" t="n">
        <v>2024</v>
      </c>
      <c r="E289" s="44" t="n">
        <v>18</v>
      </c>
      <c r="F289" s="44" t="s">
        <v>328</v>
      </c>
      <c r="G289" s="44" t="s">
        <v>370</v>
      </c>
      <c r="H289" s="44" t="s">
        <v>139</v>
      </c>
      <c r="I289" s="44" t="s">
        <v>174</v>
      </c>
      <c r="J289" s="44" t="s">
        <v>194</v>
      </c>
      <c r="K289" s="44" t="n">
        <v>5</v>
      </c>
      <c r="L289" s="46" t="n">
        <v>7.38</v>
      </c>
      <c r="M289" s="47" t="n">
        <v>7.29</v>
      </c>
      <c r="N289" s="46" t="n">
        <v>34.21</v>
      </c>
      <c r="O289" s="44" t="s">
        <v>309</v>
      </c>
      <c r="P289" s="44" t="s">
        <v>317</v>
      </c>
      <c r="Q289" s="44" t="s">
        <v>309</v>
      </c>
    </row>
    <row r="290" customFormat="false" ht="15" hidden="false" customHeight="false" outlineLevel="0" collapsed="false">
      <c r="A290" s="44" t="n">
        <v>289</v>
      </c>
      <c r="B290" s="45" t="n">
        <v>45484</v>
      </c>
      <c r="C290" s="44" t="n">
        <v>7</v>
      </c>
      <c r="D290" s="44" t="n">
        <v>2024</v>
      </c>
      <c r="E290" s="44" t="n">
        <v>11</v>
      </c>
      <c r="F290" s="44" t="s">
        <v>306</v>
      </c>
      <c r="G290" s="44" t="s">
        <v>496</v>
      </c>
      <c r="H290" s="44" t="s">
        <v>135</v>
      </c>
      <c r="I290" s="44" t="s">
        <v>176</v>
      </c>
      <c r="J290" s="44" t="s">
        <v>191</v>
      </c>
      <c r="K290" s="44" t="n">
        <v>4</v>
      </c>
      <c r="L290" s="46" t="n">
        <v>116.25</v>
      </c>
      <c r="M290" s="47" t="n">
        <v>6.54</v>
      </c>
      <c r="N290" s="46" t="n">
        <v>434.59</v>
      </c>
      <c r="O290" s="44" t="s">
        <v>309</v>
      </c>
      <c r="P290" s="44" t="s">
        <v>309</v>
      </c>
      <c r="Q290" s="44" t="s">
        <v>309</v>
      </c>
    </row>
    <row r="291" customFormat="false" ht="15" hidden="false" customHeight="false" outlineLevel="0" collapsed="false">
      <c r="A291" s="44" t="n">
        <v>290</v>
      </c>
      <c r="B291" s="45" t="n">
        <v>45427</v>
      </c>
      <c r="C291" s="44" t="n">
        <v>5</v>
      </c>
      <c r="D291" s="44" t="n">
        <v>2024</v>
      </c>
      <c r="E291" s="44" t="n">
        <v>15</v>
      </c>
      <c r="F291" s="44" t="s">
        <v>321</v>
      </c>
      <c r="G291" s="44" t="s">
        <v>497</v>
      </c>
      <c r="H291" s="44" t="s">
        <v>136</v>
      </c>
      <c r="I291" s="44" t="s">
        <v>173</v>
      </c>
      <c r="J291" s="44" t="s">
        <v>206</v>
      </c>
      <c r="K291" s="44" t="n">
        <v>5</v>
      </c>
      <c r="L291" s="46" t="n">
        <v>31.72</v>
      </c>
      <c r="M291" s="47" t="n">
        <v>5.05</v>
      </c>
      <c r="N291" s="46" t="n">
        <v>150.59</v>
      </c>
      <c r="O291" s="44" t="s">
        <v>309</v>
      </c>
      <c r="P291" s="44" t="s">
        <v>309</v>
      </c>
      <c r="Q291" s="44" t="s">
        <v>309</v>
      </c>
    </row>
    <row r="292" customFormat="false" ht="15" hidden="false" customHeight="false" outlineLevel="0" collapsed="false">
      <c r="A292" s="44" t="n">
        <v>291</v>
      </c>
      <c r="B292" s="45" t="n">
        <v>45309</v>
      </c>
      <c r="C292" s="44" t="n">
        <v>1</v>
      </c>
      <c r="D292" s="44" t="n">
        <v>2024</v>
      </c>
      <c r="E292" s="44" t="n">
        <v>18</v>
      </c>
      <c r="F292" s="44" t="s">
        <v>306</v>
      </c>
      <c r="G292" s="44" t="s">
        <v>349</v>
      </c>
      <c r="H292" s="44" t="s">
        <v>140</v>
      </c>
      <c r="I292" s="44" t="s">
        <v>174</v>
      </c>
      <c r="J292" s="44" t="s">
        <v>191</v>
      </c>
      <c r="K292" s="44" t="n">
        <v>3</v>
      </c>
      <c r="L292" s="46" t="n">
        <v>11.31</v>
      </c>
      <c r="M292" s="47" t="n">
        <v>4.37</v>
      </c>
      <c r="N292" s="46" t="n">
        <v>191.5</v>
      </c>
      <c r="O292" s="44" t="s">
        <v>308</v>
      </c>
      <c r="P292" s="44" t="s">
        <v>309</v>
      </c>
      <c r="Q292" s="44" t="s">
        <v>309</v>
      </c>
    </row>
    <row r="293" customFormat="false" ht="15" hidden="false" customHeight="false" outlineLevel="0" collapsed="false">
      <c r="A293" s="44" t="n">
        <v>292</v>
      </c>
      <c r="B293" s="45" t="n">
        <v>45423</v>
      </c>
      <c r="C293" s="44" t="n">
        <v>5</v>
      </c>
      <c r="D293" s="44" t="n">
        <v>2024</v>
      </c>
      <c r="E293" s="44" t="n">
        <v>11</v>
      </c>
      <c r="F293" s="44" t="s">
        <v>318</v>
      </c>
      <c r="G293" s="44" t="s">
        <v>498</v>
      </c>
      <c r="H293" s="44" t="s">
        <v>140</v>
      </c>
      <c r="I293" s="44" t="s">
        <v>172</v>
      </c>
      <c r="J293" s="44" t="s">
        <v>191</v>
      </c>
      <c r="K293" s="44" t="n">
        <v>2</v>
      </c>
      <c r="L293" s="46" t="n">
        <v>5.9</v>
      </c>
      <c r="M293" s="47" t="n">
        <v>2.42</v>
      </c>
      <c r="N293" s="46" t="n">
        <v>11.51</v>
      </c>
      <c r="O293" s="44" t="s">
        <v>309</v>
      </c>
      <c r="P293" s="44" t="s">
        <v>309</v>
      </c>
      <c r="Q293" s="44" t="s">
        <v>309</v>
      </c>
    </row>
    <row r="294" customFormat="false" ht="15" hidden="false" customHeight="false" outlineLevel="0" collapsed="false">
      <c r="A294" s="44" t="n">
        <v>293</v>
      </c>
      <c r="B294" s="45" t="n">
        <v>45439</v>
      </c>
      <c r="C294" s="44" t="n">
        <v>5</v>
      </c>
      <c r="D294" s="44" t="n">
        <v>2024</v>
      </c>
      <c r="E294" s="44" t="n">
        <v>27</v>
      </c>
      <c r="F294" s="44" t="s">
        <v>328</v>
      </c>
      <c r="G294" s="44" t="s">
        <v>499</v>
      </c>
      <c r="H294" s="44" t="s">
        <v>139</v>
      </c>
      <c r="I294" s="44" t="s">
        <v>172</v>
      </c>
      <c r="J294" s="44" t="s">
        <v>193</v>
      </c>
      <c r="K294" s="44" t="n">
        <v>2</v>
      </c>
      <c r="L294" s="46" t="n">
        <v>29.81</v>
      </c>
      <c r="M294" s="47" t="n">
        <v>1.66</v>
      </c>
      <c r="N294" s="46" t="n">
        <v>58.63</v>
      </c>
      <c r="O294" s="44" t="s">
        <v>309</v>
      </c>
      <c r="P294" s="44" t="s">
        <v>317</v>
      </c>
      <c r="Q294" s="44" t="s">
        <v>309</v>
      </c>
    </row>
    <row r="295" customFormat="false" ht="15" hidden="false" customHeight="false" outlineLevel="0" collapsed="false">
      <c r="A295" s="44" t="n">
        <v>294</v>
      </c>
      <c r="B295" s="45" t="n">
        <v>45380</v>
      </c>
      <c r="C295" s="44" t="n">
        <v>3</v>
      </c>
      <c r="D295" s="44" t="n">
        <v>2024</v>
      </c>
      <c r="E295" s="44" t="n">
        <v>29</v>
      </c>
      <c r="F295" s="44" t="s">
        <v>325</v>
      </c>
      <c r="G295" s="44" t="s">
        <v>324</v>
      </c>
      <c r="H295" s="44" t="s">
        <v>137</v>
      </c>
      <c r="I295" s="44" t="s">
        <v>173</v>
      </c>
      <c r="J295" s="44" t="s">
        <v>194</v>
      </c>
      <c r="K295" s="44" t="n">
        <v>4</v>
      </c>
      <c r="L295" s="46" t="n">
        <v>28.2</v>
      </c>
      <c r="M295" s="47" t="n">
        <v>6.05</v>
      </c>
      <c r="N295" s="46" t="n">
        <v>23.83</v>
      </c>
      <c r="O295" s="44" t="s">
        <v>308</v>
      </c>
      <c r="P295" s="44" t="s">
        <v>309</v>
      </c>
      <c r="Q295" s="44" t="s">
        <v>309</v>
      </c>
    </row>
    <row r="296" customFormat="false" ht="15" hidden="false" customHeight="false" outlineLevel="0" collapsed="false">
      <c r="A296" s="44" t="n">
        <v>295</v>
      </c>
      <c r="B296" s="45" t="n">
        <v>45308</v>
      </c>
      <c r="C296" s="44" t="n">
        <v>1</v>
      </c>
      <c r="D296" s="44" t="n">
        <v>2024</v>
      </c>
      <c r="E296" s="44" t="n">
        <v>17</v>
      </c>
      <c r="F296" s="44" t="s">
        <v>321</v>
      </c>
      <c r="G296" s="44" t="s">
        <v>500</v>
      </c>
      <c r="H296" s="44" t="s">
        <v>134</v>
      </c>
      <c r="I296" s="44" t="s">
        <v>173</v>
      </c>
      <c r="J296" s="44" t="s">
        <v>197</v>
      </c>
      <c r="K296" s="44" t="n">
        <v>6</v>
      </c>
      <c r="L296" s="46" t="n">
        <v>29.18</v>
      </c>
      <c r="M296" s="47" t="n">
        <v>7.21</v>
      </c>
      <c r="N296" s="46" t="n">
        <v>16.92</v>
      </c>
      <c r="O296" s="44" t="s">
        <v>308</v>
      </c>
      <c r="P296" s="44" t="s">
        <v>309</v>
      </c>
      <c r="Q296" s="44" t="s">
        <v>309</v>
      </c>
    </row>
    <row r="297" customFormat="false" ht="15" hidden="false" customHeight="false" outlineLevel="0" collapsed="false">
      <c r="A297" s="44" t="n">
        <v>296</v>
      </c>
      <c r="B297" s="45" t="n">
        <v>45645</v>
      </c>
      <c r="C297" s="44" t="n">
        <v>12</v>
      </c>
      <c r="D297" s="44" t="n">
        <v>2024</v>
      </c>
      <c r="E297" s="44" t="n">
        <v>19</v>
      </c>
      <c r="F297" s="44" t="s">
        <v>306</v>
      </c>
      <c r="G297" s="44" t="s">
        <v>431</v>
      </c>
      <c r="H297" s="44" t="s">
        <v>135</v>
      </c>
      <c r="I297" s="44" t="s">
        <v>176</v>
      </c>
      <c r="J297" s="44" t="s">
        <v>199</v>
      </c>
      <c r="K297" s="44" t="n">
        <v>1</v>
      </c>
      <c r="L297" s="46" t="n">
        <v>7.59</v>
      </c>
      <c r="M297" s="47" t="n">
        <v>0.74</v>
      </c>
      <c r="N297" s="46" t="n">
        <v>7.53</v>
      </c>
      <c r="O297" s="44" t="s">
        <v>309</v>
      </c>
      <c r="P297" s="44" t="s">
        <v>309</v>
      </c>
      <c r="Q297" s="44" t="s">
        <v>309</v>
      </c>
    </row>
    <row r="298" customFormat="false" ht="15" hidden="false" customHeight="false" outlineLevel="0" collapsed="false">
      <c r="A298" s="44" t="n">
        <v>297</v>
      </c>
      <c r="B298" s="45" t="n">
        <v>45456</v>
      </c>
      <c r="C298" s="44" t="n">
        <v>6</v>
      </c>
      <c r="D298" s="44" t="n">
        <v>2024</v>
      </c>
      <c r="E298" s="44" t="n">
        <v>13</v>
      </c>
      <c r="F298" s="44" t="s">
        <v>306</v>
      </c>
      <c r="G298" s="44" t="s">
        <v>489</v>
      </c>
      <c r="H298" s="44" t="s">
        <v>136</v>
      </c>
      <c r="I298" s="44" t="s">
        <v>172</v>
      </c>
      <c r="J298" s="44" t="s">
        <v>200</v>
      </c>
      <c r="K298" s="44" t="n">
        <v>3</v>
      </c>
      <c r="L298" s="46" t="n">
        <v>89.52</v>
      </c>
      <c r="M298" s="47" t="n">
        <v>4.64</v>
      </c>
      <c r="N298" s="46" t="n">
        <v>256.1</v>
      </c>
      <c r="O298" s="44" t="s">
        <v>309</v>
      </c>
      <c r="P298" s="44" t="s">
        <v>309</v>
      </c>
      <c r="Q298" s="44" t="s">
        <v>309</v>
      </c>
    </row>
    <row r="299" customFormat="false" ht="15" hidden="false" customHeight="false" outlineLevel="0" collapsed="false">
      <c r="A299" s="44" t="n">
        <v>298</v>
      </c>
      <c r="B299" s="45" t="n">
        <v>45341</v>
      </c>
      <c r="C299" s="44" t="n">
        <v>2</v>
      </c>
      <c r="D299" s="44" t="n">
        <v>2024</v>
      </c>
      <c r="E299" s="44" t="n">
        <v>19</v>
      </c>
      <c r="F299" s="44" t="s">
        <v>328</v>
      </c>
      <c r="G299" s="44" t="s">
        <v>463</v>
      </c>
      <c r="H299" s="44" t="s">
        <v>134</v>
      </c>
      <c r="I299" s="44" t="s">
        <v>173</v>
      </c>
      <c r="J299" s="44" t="s">
        <v>191</v>
      </c>
      <c r="K299" s="44" t="n">
        <v>1</v>
      </c>
      <c r="L299" s="46" t="n">
        <v>29.18</v>
      </c>
      <c r="M299" s="47" t="n">
        <v>1.905</v>
      </c>
      <c r="N299" s="46" t="n">
        <v>35.82</v>
      </c>
      <c r="O299" s="44" t="s">
        <v>308</v>
      </c>
      <c r="P299" s="44" t="s">
        <v>369</v>
      </c>
      <c r="Q299" s="44" t="s">
        <v>309</v>
      </c>
    </row>
    <row r="300" customFormat="false" ht="15" hidden="false" customHeight="false" outlineLevel="0" collapsed="false">
      <c r="A300" s="44" t="n">
        <v>299</v>
      </c>
      <c r="B300" s="45" t="n">
        <v>45501</v>
      </c>
      <c r="C300" s="44" t="n">
        <v>7</v>
      </c>
      <c r="D300" s="44" t="n">
        <v>2024</v>
      </c>
      <c r="E300" s="44" t="n">
        <v>28</v>
      </c>
      <c r="F300" s="44" t="s">
        <v>312</v>
      </c>
      <c r="G300" s="44" t="s">
        <v>382</v>
      </c>
      <c r="H300" s="44" t="s">
        <v>138</v>
      </c>
      <c r="I300" s="44" t="s">
        <v>172</v>
      </c>
      <c r="J300" s="44" t="s">
        <v>191</v>
      </c>
      <c r="K300" s="44" t="n">
        <v>3</v>
      </c>
      <c r="L300" s="46" t="n">
        <v>88.94</v>
      </c>
      <c r="M300" s="47" t="n">
        <v>2.6</v>
      </c>
      <c r="N300" s="46" t="n">
        <v>259.88</v>
      </c>
      <c r="O300" s="44" t="s">
        <v>309</v>
      </c>
      <c r="P300" s="44" t="s">
        <v>309</v>
      </c>
      <c r="Q300" s="44" t="s">
        <v>309</v>
      </c>
    </row>
    <row r="301" customFormat="false" ht="15" hidden="false" customHeight="false" outlineLevel="0" collapsed="false">
      <c r="A301" s="44" t="n">
        <v>300</v>
      </c>
      <c r="B301" s="45" t="n">
        <v>45398</v>
      </c>
      <c r="C301" s="44" t="n">
        <v>4</v>
      </c>
      <c r="D301" s="44" t="n">
        <v>2024</v>
      </c>
      <c r="E301" s="44" t="n">
        <v>16</v>
      </c>
      <c r="F301" s="44" t="s">
        <v>310</v>
      </c>
      <c r="G301" s="44" t="s">
        <v>336</v>
      </c>
      <c r="H301" s="44" t="s">
        <v>136</v>
      </c>
      <c r="I301" s="44" t="s">
        <v>173</v>
      </c>
      <c r="J301" s="44" t="s">
        <v>194</v>
      </c>
      <c r="K301" s="44" t="n">
        <v>10</v>
      </c>
      <c r="L301" s="46" t="n">
        <v>4.75</v>
      </c>
      <c r="M301" s="47" t="n">
        <v>12.96</v>
      </c>
      <c r="N301" s="46" t="n">
        <v>41.34</v>
      </c>
      <c r="O301" s="44" t="s">
        <v>309</v>
      </c>
      <c r="P301" s="44" t="s">
        <v>309</v>
      </c>
      <c r="Q301" s="44" t="s">
        <v>309</v>
      </c>
    </row>
    <row r="302" customFormat="false" ht="15" hidden="false" customHeight="false" outlineLevel="0" collapsed="false">
      <c r="A302" s="44" t="n">
        <v>301</v>
      </c>
      <c r="B302" s="45" t="n">
        <v>45546</v>
      </c>
      <c r="C302" s="44" t="n">
        <v>9</v>
      </c>
      <c r="D302" s="44" t="n">
        <v>2024</v>
      </c>
      <c r="E302" s="44" t="n">
        <v>11</v>
      </c>
      <c r="F302" s="44" t="s">
        <v>321</v>
      </c>
      <c r="G302" s="44" t="s">
        <v>501</v>
      </c>
      <c r="H302" s="44" t="s">
        <v>137</v>
      </c>
      <c r="I302" s="44" t="s">
        <v>172</v>
      </c>
      <c r="J302" s="44" t="s">
        <v>191</v>
      </c>
      <c r="K302" s="44" t="n">
        <v>4</v>
      </c>
      <c r="L302" s="46" t="n">
        <v>16.17</v>
      </c>
      <c r="M302" s="47" t="n">
        <v>4.11</v>
      </c>
      <c r="N302" s="46" t="n">
        <v>62.02</v>
      </c>
      <c r="O302" s="44" t="s">
        <v>309</v>
      </c>
      <c r="P302" s="44" t="s">
        <v>309</v>
      </c>
      <c r="Q302" s="44" t="s">
        <v>309</v>
      </c>
    </row>
    <row r="303" customFormat="false" ht="15" hidden="false" customHeight="false" outlineLevel="0" collapsed="false">
      <c r="A303" s="44" t="n">
        <v>302</v>
      </c>
      <c r="B303" s="45" t="n">
        <v>45434</v>
      </c>
      <c r="C303" s="44" t="n">
        <v>5</v>
      </c>
      <c r="D303" s="44" t="n">
        <v>2024</v>
      </c>
      <c r="E303" s="44" t="n">
        <v>22</v>
      </c>
      <c r="F303" s="44" t="s">
        <v>321</v>
      </c>
      <c r="G303" s="44" t="s">
        <v>336</v>
      </c>
      <c r="H303" s="44" t="s">
        <v>135</v>
      </c>
      <c r="I303" s="44" t="s">
        <v>173</v>
      </c>
      <c r="J303" s="44" t="s">
        <v>201</v>
      </c>
      <c r="K303" s="44" t="n">
        <v>2</v>
      </c>
      <c r="L303" s="46" t="n">
        <v>80.22</v>
      </c>
      <c r="M303" s="47" t="n">
        <v>1.82</v>
      </c>
      <c r="N303" s="46" t="n">
        <v>157.52</v>
      </c>
      <c r="O303" s="44" t="s">
        <v>309</v>
      </c>
      <c r="P303" s="44" t="s">
        <v>309</v>
      </c>
      <c r="Q303" s="44" t="s">
        <v>309</v>
      </c>
    </row>
    <row r="304" customFormat="false" ht="15" hidden="false" customHeight="false" outlineLevel="0" collapsed="false">
      <c r="A304" s="44" t="n">
        <v>303</v>
      </c>
      <c r="B304" s="45" t="n">
        <v>45619</v>
      </c>
      <c r="C304" s="44" t="n">
        <v>11</v>
      </c>
      <c r="D304" s="44" t="n">
        <v>2024</v>
      </c>
      <c r="E304" s="44" t="n">
        <v>23</v>
      </c>
      <c r="F304" s="44" t="s">
        <v>318</v>
      </c>
      <c r="G304" s="44" t="s">
        <v>502</v>
      </c>
      <c r="H304" s="44" t="s">
        <v>140</v>
      </c>
      <c r="I304" s="44" t="s">
        <v>172</v>
      </c>
      <c r="J304" s="44" t="s">
        <v>202</v>
      </c>
      <c r="K304" s="44" t="n">
        <v>2</v>
      </c>
      <c r="L304" s="46" t="n">
        <v>35.33</v>
      </c>
      <c r="M304" s="47" t="n">
        <v>2.67</v>
      </c>
      <c r="N304" s="46" t="n">
        <v>68.77</v>
      </c>
      <c r="O304" s="44" t="s">
        <v>309</v>
      </c>
      <c r="P304" s="44" t="s">
        <v>317</v>
      </c>
      <c r="Q304" s="44" t="s">
        <v>309</v>
      </c>
    </row>
    <row r="305" customFormat="false" ht="15" hidden="false" customHeight="false" outlineLevel="0" collapsed="false">
      <c r="A305" s="44" t="n">
        <v>304</v>
      </c>
      <c r="B305" s="45" t="n">
        <v>45381</v>
      </c>
      <c r="C305" s="44" t="n">
        <v>3</v>
      </c>
      <c r="D305" s="44" t="n">
        <v>2024</v>
      </c>
      <c r="E305" s="44" t="n">
        <v>30</v>
      </c>
      <c r="F305" s="44" t="s">
        <v>318</v>
      </c>
      <c r="G305" s="44" t="s">
        <v>489</v>
      </c>
      <c r="H305" s="44" t="s">
        <v>134</v>
      </c>
      <c r="I305" s="44" t="s">
        <v>174</v>
      </c>
      <c r="J305" s="44" t="s">
        <v>191</v>
      </c>
      <c r="K305" s="44" t="n">
        <v>2</v>
      </c>
      <c r="L305" s="46" t="n">
        <v>13.62</v>
      </c>
      <c r="M305" s="47" t="n">
        <v>0.79</v>
      </c>
      <c r="N305" s="46" t="n">
        <v>27.02</v>
      </c>
      <c r="O305" s="44" t="s">
        <v>309</v>
      </c>
      <c r="P305" s="44" t="s">
        <v>309</v>
      </c>
      <c r="Q305" s="44" t="s">
        <v>309</v>
      </c>
    </row>
    <row r="306" customFormat="false" ht="15" hidden="false" customHeight="false" outlineLevel="0" collapsed="false">
      <c r="A306" s="44" t="n">
        <v>305</v>
      </c>
      <c r="B306" s="45" t="n">
        <v>45440</v>
      </c>
      <c r="C306" s="44" t="n">
        <v>5</v>
      </c>
      <c r="D306" s="44" t="n">
        <v>2024</v>
      </c>
      <c r="E306" s="44" t="n">
        <v>28</v>
      </c>
      <c r="F306" s="44" t="s">
        <v>310</v>
      </c>
      <c r="G306" s="44" t="s">
        <v>337</v>
      </c>
      <c r="H306" s="44" t="s">
        <v>135</v>
      </c>
      <c r="I306" s="44" t="s">
        <v>172</v>
      </c>
      <c r="J306" s="44" t="s">
        <v>199</v>
      </c>
      <c r="K306" s="44" t="n">
        <v>3</v>
      </c>
      <c r="L306" s="46" t="n">
        <v>30.44</v>
      </c>
      <c r="M306" s="47" t="n">
        <v>3.76</v>
      </c>
      <c r="N306" s="46" t="n">
        <v>19.78</v>
      </c>
      <c r="O306" s="44" t="s">
        <v>308</v>
      </c>
      <c r="P306" s="44" t="s">
        <v>309</v>
      </c>
      <c r="Q306" s="44" t="s">
        <v>309</v>
      </c>
    </row>
    <row r="307" customFormat="false" ht="15" hidden="false" customHeight="false" outlineLevel="0" collapsed="false">
      <c r="A307" s="44" t="n">
        <v>306</v>
      </c>
      <c r="B307" s="45" t="n">
        <v>45515</v>
      </c>
      <c r="C307" s="44" t="n">
        <v>8</v>
      </c>
      <c r="D307" s="44" t="n">
        <v>2024</v>
      </c>
      <c r="E307" s="44" t="n">
        <v>11</v>
      </c>
      <c r="F307" s="44" t="s">
        <v>312</v>
      </c>
      <c r="G307" s="44" t="s">
        <v>477</v>
      </c>
      <c r="H307" s="44" t="s">
        <v>137</v>
      </c>
      <c r="I307" s="44" t="s">
        <v>173</v>
      </c>
      <c r="J307" s="44" t="s">
        <v>206</v>
      </c>
      <c r="K307" s="44" t="n">
        <v>1</v>
      </c>
      <c r="L307" s="46" t="n">
        <v>28.2</v>
      </c>
      <c r="M307" s="47" t="n">
        <v>0</v>
      </c>
      <c r="N307" s="46" t="n">
        <v>92.23</v>
      </c>
      <c r="O307" s="44" t="s">
        <v>308</v>
      </c>
      <c r="P307" s="44" t="s">
        <v>309</v>
      </c>
      <c r="Q307" s="44" t="s">
        <v>309</v>
      </c>
    </row>
    <row r="308" customFormat="false" ht="15" hidden="false" customHeight="false" outlineLevel="0" collapsed="false">
      <c r="A308" s="44" t="n">
        <v>307</v>
      </c>
      <c r="B308" s="45" t="n">
        <v>45596</v>
      </c>
      <c r="C308" s="44" t="n">
        <v>10</v>
      </c>
      <c r="D308" s="44" t="n">
        <v>2024</v>
      </c>
      <c r="E308" s="44" t="n">
        <v>31</v>
      </c>
      <c r="F308" s="44" t="s">
        <v>306</v>
      </c>
      <c r="G308" s="44" t="s">
        <v>454</v>
      </c>
      <c r="H308" s="44" t="s">
        <v>140</v>
      </c>
      <c r="I308" s="44" t="s">
        <v>173</v>
      </c>
      <c r="J308" s="44" t="s">
        <v>206</v>
      </c>
      <c r="K308" s="44" t="n">
        <v>1</v>
      </c>
      <c r="L308" s="46" t="n">
        <v>1.9</v>
      </c>
      <c r="M308" s="47" t="n">
        <v>0.28</v>
      </c>
      <c r="N308" s="46" t="n">
        <v>1.89</v>
      </c>
      <c r="O308" s="44" t="s">
        <v>309</v>
      </c>
      <c r="P308" s="44" t="s">
        <v>309</v>
      </c>
      <c r="Q308" s="44" t="s">
        <v>309</v>
      </c>
    </row>
    <row r="309" customFormat="false" ht="15" hidden="false" customHeight="false" outlineLevel="0" collapsed="false">
      <c r="A309" s="44" t="n">
        <v>308</v>
      </c>
      <c r="B309" s="45" t="n">
        <v>45638</v>
      </c>
      <c r="C309" s="44" t="n">
        <v>12</v>
      </c>
      <c r="D309" s="44" t="n">
        <v>2024</v>
      </c>
      <c r="E309" s="44" t="n">
        <v>12</v>
      </c>
      <c r="F309" s="44" t="s">
        <v>306</v>
      </c>
      <c r="G309" s="44" t="s">
        <v>503</v>
      </c>
      <c r="H309" s="44" t="s">
        <v>136</v>
      </c>
      <c r="I309" s="44" t="s">
        <v>173</v>
      </c>
      <c r="J309" s="44" t="s">
        <v>206</v>
      </c>
      <c r="K309" s="44" t="n">
        <v>2</v>
      </c>
      <c r="L309" s="46" t="n">
        <v>108.14</v>
      </c>
      <c r="M309" s="47" t="n">
        <v>0.86</v>
      </c>
      <c r="N309" s="46" t="n">
        <v>214.42</v>
      </c>
      <c r="O309" s="44" t="s">
        <v>309</v>
      </c>
      <c r="P309" s="44" t="s">
        <v>309</v>
      </c>
      <c r="Q309" s="44" t="s">
        <v>309</v>
      </c>
    </row>
    <row r="310" customFormat="false" ht="15" hidden="false" customHeight="false" outlineLevel="0" collapsed="false">
      <c r="A310" s="44" t="n">
        <v>309</v>
      </c>
      <c r="B310" s="45" t="n">
        <v>45588</v>
      </c>
      <c r="C310" s="44" t="n">
        <v>10</v>
      </c>
      <c r="D310" s="44" t="n">
        <v>2024</v>
      </c>
      <c r="E310" s="44" t="n">
        <v>23</v>
      </c>
      <c r="F310" s="44" t="s">
        <v>321</v>
      </c>
      <c r="G310" s="44" t="s">
        <v>458</v>
      </c>
      <c r="H310" s="44" t="s">
        <v>135</v>
      </c>
      <c r="I310" s="44" t="s">
        <v>176</v>
      </c>
      <c r="J310" s="44" t="s">
        <v>206</v>
      </c>
      <c r="K310" s="44" t="n">
        <v>5</v>
      </c>
      <c r="L310" s="46" t="n">
        <v>28.17</v>
      </c>
      <c r="M310" s="47" t="n">
        <v>7.64</v>
      </c>
      <c r="N310" s="46" t="n">
        <v>130.09</v>
      </c>
      <c r="O310" s="44" t="s">
        <v>309</v>
      </c>
      <c r="P310" s="44" t="s">
        <v>309</v>
      </c>
      <c r="Q310" s="44" t="s">
        <v>309</v>
      </c>
    </row>
    <row r="311" customFormat="false" ht="15" hidden="false" customHeight="false" outlineLevel="0" collapsed="false">
      <c r="A311" s="44" t="n">
        <v>310</v>
      </c>
      <c r="B311" s="45" t="n">
        <v>45322</v>
      </c>
      <c r="C311" s="44" t="n">
        <v>1</v>
      </c>
      <c r="D311" s="44" t="n">
        <v>2024</v>
      </c>
      <c r="E311" s="44" t="n">
        <v>31</v>
      </c>
      <c r="F311" s="44" t="s">
        <v>321</v>
      </c>
      <c r="G311" s="44" t="s">
        <v>349</v>
      </c>
      <c r="H311" s="44" t="s">
        <v>136</v>
      </c>
      <c r="I311" s="44" t="s">
        <v>175</v>
      </c>
      <c r="J311" s="44" t="s">
        <v>191</v>
      </c>
      <c r="K311" s="44" t="n">
        <v>1</v>
      </c>
      <c r="L311" s="46" t="n">
        <v>4.04</v>
      </c>
      <c r="M311" s="47" t="n">
        <v>0.74</v>
      </c>
      <c r="N311" s="46" t="n">
        <v>4.01</v>
      </c>
      <c r="O311" s="44" t="s">
        <v>309</v>
      </c>
      <c r="P311" s="44" t="s">
        <v>317</v>
      </c>
      <c r="Q311" s="44" t="s">
        <v>309</v>
      </c>
    </row>
    <row r="312" customFormat="false" ht="15" hidden="false" customHeight="false" outlineLevel="0" collapsed="false">
      <c r="A312" s="44" t="n">
        <v>311</v>
      </c>
      <c r="B312" s="45" t="n">
        <v>45622</v>
      </c>
      <c r="C312" s="44" t="n">
        <v>11</v>
      </c>
      <c r="D312" s="44" t="n">
        <v>2024</v>
      </c>
      <c r="E312" s="44" t="n">
        <v>26</v>
      </c>
      <c r="F312" s="44" t="s">
        <v>310</v>
      </c>
      <c r="G312" s="44" t="s">
        <v>382</v>
      </c>
      <c r="H312" s="44" t="s">
        <v>137</v>
      </c>
      <c r="I312" s="44" t="s">
        <v>173</v>
      </c>
      <c r="J312" s="44" t="s">
        <v>191</v>
      </c>
      <c r="K312" s="44" t="n">
        <v>1</v>
      </c>
      <c r="L312" s="46" t="n">
        <v>99.14</v>
      </c>
      <c r="M312" s="47" t="n">
        <v>0</v>
      </c>
      <c r="N312" s="46" t="n">
        <v>99.14</v>
      </c>
      <c r="O312" s="44" t="s">
        <v>309</v>
      </c>
      <c r="P312" s="44" t="s">
        <v>309</v>
      </c>
      <c r="Q312" s="44" t="s">
        <v>309</v>
      </c>
    </row>
    <row r="313" customFormat="false" ht="15" hidden="false" customHeight="false" outlineLevel="0" collapsed="false">
      <c r="A313" s="44" t="n">
        <v>312</v>
      </c>
      <c r="B313" s="45" t="n">
        <v>45612</v>
      </c>
      <c r="C313" s="44" t="n">
        <v>11</v>
      </c>
      <c r="D313" s="44" t="n">
        <v>2024</v>
      </c>
      <c r="E313" s="44" t="n">
        <v>16</v>
      </c>
      <c r="F313" s="44" t="s">
        <v>318</v>
      </c>
      <c r="G313" s="44" t="s">
        <v>451</v>
      </c>
      <c r="H313" s="44" t="s">
        <v>140</v>
      </c>
      <c r="I313" s="44" t="s">
        <v>172</v>
      </c>
      <c r="J313" s="44" t="s">
        <v>206</v>
      </c>
      <c r="K313" s="44" t="n">
        <v>2</v>
      </c>
      <c r="L313" s="46" t="n">
        <v>10.2</v>
      </c>
      <c r="M313" s="47" t="n">
        <v>0.54</v>
      </c>
      <c r="N313" s="46" t="n">
        <v>20.29</v>
      </c>
      <c r="O313" s="44" t="s">
        <v>309</v>
      </c>
      <c r="P313" s="44" t="s">
        <v>309</v>
      </c>
      <c r="Q313" s="44" t="s">
        <v>309</v>
      </c>
    </row>
    <row r="314" customFormat="false" ht="15" hidden="false" customHeight="false" outlineLevel="0" collapsed="false">
      <c r="A314" s="44" t="n">
        <v>313</v>
      </c>
      <c r="B314" s="45" t="n">
        <v>45573</v>
      </c>
      <c r="C314" s="44" t="n">
        <v>10</v>
      </c>
      <c r="D314" s="44" t="n">
        <v>2024</v>
      </c>
      <c r="E314" s="44" t="n">
        <v>8</v>
      </c>
      <c r="F314" s="44" t="s">
        <v>310</v>
      </c>
      <c r="G314" s="44" t="s">
        <v>504</v>
      </c>
      <c r="H314" s="44" t="s">
        <v>134</v>
      </c>
      <c r="I314" s="44" t="s">
        <v>172</v>
      </c>
      <c r="J314" s="44" t="s">
        <v>191</v>
      </c>
      <c r="K314" s="44" t="n">
        <v>1</v>
      </c>
      <c r="L314" s="46" t="n">
        <v>231.14</v>
      </c>
      <c r="M314" s="47" t="n">
        <v>0</v>
      </c>
      <c r="N314" s="46" t="n">
        <v>231.14</v>
      </c>
      <c r="O314" s="44" t="s">
        <v>309</v>
      </c>
      <c r="P314" s="44" t="s">
        <v>309</v>
      </c>
      <c r="Q314" s="44" t="s">
        <v>309</v>
      </c>
    </row>
    <row r="315" customFormat="false" ht="15" hidden="false" customHeight="false" outlineLevel="0" collapsed="false">
      <c r="A315" s="44" t="n">
        <v>314</v>
      </c>
      <c r="B315" s="45" t="n">
        <v>45590</v>
      </c>
      <c r="C315" s="44" t="n">
        <v>10</v>
      </c>
      <c r="D315" s="44" t="n">
        <v>2024</v>
      </c>
      <c r="E315" s="44" t="n">
        <v>25</v>
      </c>
      <c r="F315" s="44" t="s">
        <v>325</v>
      </c>
      <c r="G315" s="44" t="s">
        <v>488</v>
      </c>
      <c r="H315" s="44" t="s">
        <v>137</v>
      </c>
      <c r="I315" s="44" t="s">
        <v>174</v>
      </c>
      <c r="J315" s="44" t="s">
        <v>206</v>
      </c>
      <c r="K315" s="44" t="n">
        <v>1</v>
      </c>
      <c r="L315" s="46" t="n">
        <v>6</v>
      </c>
      <c r="M315" s="47" t="n">
        <v>1.57</v>
      </c>
      <c r="N315" s="46" t="n">
        <v>5.91</v>
      </c>
      <c r="O315" s="44" t="s">
        <v>309</v>
      </c>
      <c r="P315" s="44" t="s">
        <v>309</v>
      </c>
      <c r="Q315" s="44" t="s">
        <v>309</v>
      </c>
    </row>
    <row r="316" customFormat="false" ht="15" hidden="false" customHeight="false" outlineLevel="0" collapsed="false">
      <c r="A316" s="44" t="n">
        <v>315</v>
      </c>
      <c r="B316" s="45" t="n">
        <v>45331</v>
      </c>
      <c r="C316" s="44" t="n">
        <v>2</v>
      </c>
      <c r="D316" s="44" t="n">
        <v>2024</v>
      </c>
      <c r="E316" s="44" t="n">
        <v>9</v>
      </c>
      <c r="F316" s="44" t="s">
        <v>325</v>
      </c>
      <c r="G316" s="44" t="s">
        <v>357</v>
      </c>
      <c r="H316" s="44" t="s">
        <v>134</v>
      </c>
      <c r="I316" s="44" t="s">
        <v>174</v>
      </c>
      <c r="J316" s="44" t="s">
        <v>191</v>
      </c>
      <c r="K316" s="44" t="n">
        <v>2</v>
      </c>
      <c r="L316" s="46" t="n">
        <v>4.16</v>
      </c>
      <c r="M316" s="47" t="n">
        <v>0.66</v>
      </c>
      <c r="N316" s="46" t="n">
        <v>8.27</v>
      </c>
      <c r="O316" s="44" t="s">
        <v>309</v>
      </c>
      <c r="P316" s="44" t="s">
        <v>309</v>
      </c>
      <c r="Q316" s="44" t="s">
        <v>309</v>
      </c>
    </row>
    <row r="317" customFormat="false" ht="15" hidden="false" customHeight="false" outlineLevel="0" collapsed="false">
      <c r="A317" s="44" t="n">
        <v>316</v>
      </c>
      <c r="B317" s="45" t="n">
        <v>45536</v>
      </c>
      <c r="C317" s="44" t="n">
        <v>9</v>
      </c>
      <c r="D317" s="44" t="n">
        <v>2024</v>
      </c>
      <c r="E317" s="44" t="n">
        <v>1</v>
      </c>
      <c r="F317" s="44" t="s">
        <v>312</v>
      </c>
      <c r="G317" s="44" t="s">
        <v>465</v>
      </c>
      <c r="H317" s="44" t="s">
        <v>135</v>
      </c>
      <c r="I317" s="44" t="s">
        <v>176</v>
      </c>
      <c r="J317" s="44" t="s">
        <v>198</v>
      </c>
      <c r="K317" s="44" t="n">
        <v>1</v>
      </c>
      <c r="L317" s="46" t="n">
        <v>2.74</v>
      </c>
      <c r="M317" s="47" t="n">
        <v>0.07</v>
      </c>
      <c r="N317" s="46" t="n">
        <v>2.74</v>
      </c>
      <c r="O317" s="44" t="s">
        <v>309</v>
      </c>
      <c r="P317" s="44" t="s">
        <v>309</v>
      </c>
      <c r="Q317" s="44" t="s">
        <v>309</v>
      </c>
    </row>
    <row r="318" customFormat="false" ht="15" hidden="false" customHeight="false" outlineLevel="0" collapsed="false">
      <c r="A318" s="44" t="n">
        <v>317</v>
      </c>
      <c r="B318" s="45" t="n">
        <v>45345</v>
      </c>
      <c r="C318" s="44" t="n">
        <v>2</v>
      </c>
      <c r="D318" s="44" t="n">
        <v>2024</v>
      </c>
      <c r="E318" s="44" t="n">
        <v>23</v>
      </c>
      <c r="F318" s="44" t="s">
        <v>325</v>
      </c>
      <c r="G318" s="44" t="s">
        <v>505</v>
      </c>
      <c r="H318" s="44" t="s">
        <v>139</v>
      </c>
      <c r="I318" s="44" t="s">
        <v>174</v>
      </c>
      <c r="J318" s="44" t="s">
        <v>196</v>
      </c>
      <c r="K318" s="44" t="n">
        <v>1</v>
      </c>
      <c r="L318" s="46" t="n">
        <v>1.75</v>
      </c>
      <c r="M318" s="47" t="n">
        <v>1.04</v>
      </c>
      <c r="N318" s="46" t="n">
        <v>1.73</v>
      </c>
      <c r="O318" s="44" t="s">
        <v>309</v>
      </c>
      <c r="P318" s="44" t="s">
        <v>309</v>
      </c>
      <c r="Q318" s="44" t="s">
        <v>309</v>
      </c>
    </row>
    <row r="319" customFormat="false" ht="15" hidden="false" customHeight="false" outlineLevel="0" collapsed="false">
      <c r="A319" s="44" t="n">
        <v>318</v>
      </c>
      <c r="B319" s="45" t="n">
        <v>45591</v>
      </c>
      <c r="C319" s="44" t="n">
        <v>10</v>
      </c>
      <c r="D319" s="44" t="n">
        <v>2024</v>
      </c>
      <c r="E319" s="44" t="n">
        <v>26</v>
      </c>
      <c r="F319" s="44" t="s">
        <v>318</v>
      </c>
      <c r="G319" s="44" t="s">
        <v>506</v>
      </c>
      <c r="H319" s="44" t="s">
        <v>134</v>
      </c>
      <c r="I319" s="44" t="s">
        <v>172</v>
      </c>
      <c r="J319" s="44" t="s">
        <v>205</v>
      </c>
      <c r="K319" s="44" t="n">
        <v>1</v>
      </c>
      <c r="L319" s="46" t="n">
        <v>159.67</v>
      </c>
      <c r="M319" s="47" t="n">
        <v>0</v>
      </c>
      <c r="N319" s="46" t="n">
        <v>159.67</v>
      </c>
      <c r="O319" s="44" t="s">
        <v>309</v>
      </c>
      <c r="P319" s="44" t="s">
        <v>309</v>
      </c>
      <c r="Q319" s="44" t="s">
        <v>309</v>
      </c>
    </row>
    <row r="320" customFormat="false" ht="15" hidden="false" customHeight="false" outlineLevel="0" collapsed="false">
      <c r="A320" s="44" t="n">
        <v>319</v>
      </c>
      <c r="B320" s="45" t="n">
        <v>45655</v>
      </c>
      <c r="C320" s="44" t="n">
        <v>12</v>
      </c>
      <c r="D320" s="44" t="n">
        <v>2024</v>
      </c>
      <c r="E320" s="44" t="n">
        <v>29</v>
      </c>
      <c r="F320" s="44" t="s">
        <v>312</v>
      </c>
      <c r="G320" s="44" t="s">
        <v>461</v>
      </c>
      <c r="H320" s="44" t="s">
        <v>140</v>
      </c>
      <c r="I320" s="44" t="s">
        <v>176</v>
      </c>
      <c r="J320" s="44" t="s">
        <v>191</v>
      </c>
      <c r="K320" s="44" t="n">
        <v>1</v>
      </c>
      <c r="L320" s="46" t="n">
        <v>11.31</v>
      </c>
      <c r="M320" s="47" t="n">
        <v>0</v>
      </c>
      <c r="N320" s="46" t="n">
        <v>3.63</v>
      </c>
      <c r="O320" s="44" t="s">
        <v>308</v>
      </c>
      <c r="P320" s="44" t="s">
        <v>309</v>
      </c>
      <c r="Q320" s="44" t="s">
        <v>309</v>
      </c>
    </row>
    <row r="321" customFormat="false" ht="15" hidden="false" customHeight="false" outlineLevel="0" collapsed="false">
      <c r="A321" s="44" t="n">
        <v>320</v>
      </c>
      <c r="B321" s="45" t="n">
        <v>45645</v>
      </c>
      <c r="C321" s="44" t="n">
        <v>12</v>
      </c>
      <c r="D321" s="44" t="n">
        <v>2024</v>
      </c>
      <c r="E321" s="44" t="n">
        <v>19</v>
      </c>
      <c r="F321" s="44" t="s">
        <v>306</v>
      </c>
      <c r="G321" s="44" t="s">
        <v>347</v>
      </c>
      <c r="H321" s="44" t="s">
        <v>135</v>
      </c>
      <c r="I321" s="44" t="s">
        <v>172</v>
      </c>
      <c r="J321" s="44" t="s">
        <v>201</v>
      </c>
      <c r="K321" s="44" t="n">
        <v>4</v>
      </c>
      <c r="L321" s="46" t="n">
        <v>107.47</v>
      </c>
      <c r="M321" s="47" t="n">
        <v>3.52</v>
      </c>
      <c r="N321" s="46" t="n">
        <v>414.75</v>
      </c>
      <c r="O321" s="44" t="s">
        <v>309</v>
      </c>
      <c r="P321" s="44" t="s">
        <v>317</v>
      </c>
      <c r="Q321" s="44" t="s">
        <v>309</v>
      </c>
    </row>
    <row r="322" customFormat="false" ht="15" hidden="false" customHeight="false" outlineLevel="0" collapsed="false">
      <c r="A322" s="44" t="n">
        <v>321</v>
      </c>
      <c r="B322" s="45" t="n">
        <v>45530</v>
      </c>
      <c r="C322" s="44" t="n">
        <v>8</v>
      </c>
      <c r="D322" s="44" t="n">
        <v>2024</v>
      </c>
      <c r="E322" s="44" t="n">
        <v>26</v>
      </c>
      <c r="F322" s="44" t="s">
        <v>328</v>
      </c>
      <c r="G322" s="44" t="s">
        <v>348</v>
      </c>
      <c r="H322" s="44" t="s">
        <v>139</v>
      </c>
      <c r="I322" s="44" t="s">
        <v>176</v>
      </c>
      <c r="J322" s="44" t="s">
        <v>199</v>
      </c>
      <c r="K322" s="44" t="n">
        <v>2</v>
      </c>
      <c r="L322" s="46" t="n">
        <v>16.46</v>
      </c>
      <c r="M322" s="47" t="n">
        <v>1.91</v>
      </c>
      <c r="N322" s="46" t="n">
        <v>32.29</v>
      </c>
      <c r="O322" s="44" t="s">
        <v>309</v>
      </c>
      <c r="P322" s="44" t="s">
        <v>309</v>
      </c>
      <c r="Q322" s="44" t="s">
        <v>309</v>
      </c>
    </row>
    <row r="323" customFormat="false" ht="15" hidden="false" customHeight="false" outlineLevel="0" collapsed="false">
      <c r="A323" s="44" t="n">
        <v>322</v>
      </c>
      <c r="B323" s="45" t="n">
        <v>45338</v>
      </c>
      <c r="C323" s="44" t="n">
        <v>2</v>
      </c>
      <c r="D323" s="44" t="n">
        <v>2024</v>
      </c>
      <c r="E323" s="44" t="n">
        <v>16</v>
      </c>
      <c r="F323" s="44" t="s">
        <v>325</v>
      </c>
      <c r="G323" s="44" t="s">
        <v>507</v>
      </c>
      <c r="H323" s="44" t="s">
        <v>134</v>
      </c>
      <c r="I323" s="44" t="s">
        <v>173</v>
      </c>
      <c r="J323" s="44" t="s">
        <v>200</v>
      </c>
      <c r="K323" s="44" t="n">
        <v>1</v>
      </c>
      <c r="L323" s="46" t="n">
        <v>16.37</v>
      </c>
      <c r="M323" s="47" t="n">
        <v>1.69</v>
      </c>
      <c r="N323" s="46" t="n">
        <v>16.09</v>
      </c>
      <c r="O323" s="44" t="s">
        <v>309</v>
      </c>
      <c r="P323" s="44" t="s">
        <v>309</v>
      </c>
      <c r="Q323" s="44" t="s">
        <v>309</v>
      </c>
    </row>
    <row r="324" customFormat="false" ht="15" hidden="false" customHeight="false" outlineLevel="0" collapsed="false">
      <c r="A324" s="44" t="n">
        <v>323</v>
      </c>
      <c r="B324" s="45" t="n">
        <v>45320</v>
      </c>
      <c r="C324" s="44" t="n">
        <v>1</v>
      </c>
      <c r="D324" s="44" t="n">
        <v>2024</v>
      </c>
      <c r="E324" s="44" t="n">
        <v>29</v>
      </c>
      <c r="F324" s="44" t="s">
        <v>328</v>
      </c>
      <c r="G324" s="44" t="s">
        <v>450</v>
      </c>
      <c r="H324" s="44" t="s">
        <v>139</v>
      </c>
      <c r="I324" s="44" t="s">
        <v>172</v>
      </c>
      <c r="J324" s="44" t="s">
        <v>204</v>
      </c>
      <c r="K324" s="44" t="n">
        <v>1</v>
      </c>
      <c r="L324" s="46" t="n">
        <v>1.5</v>
      </c>
      <c r="M324" s="47" t="n">
        <v>0</v>
      </c>
      <c r="N324" s="46" t="n">
        <v>1.5</v>
      </c>
      <c r="O324" s="44" t="s">
        <v>309</v>
      </c>
      <c r="P324" s="44" t="s">
        <v>309</v>
      </c>
      <c r="Q324" s="44" t="s">
        <v>309</v>
      </c>
    </row>
    <row r="325" customFormat="false" ht="15" hidden="false" customHeight="false" outlineLevel="0" collapsed="false">
      <c r="A325" s="44" t="n">
        <v>324</v>
      </c>
      <c r="B325" s="45" t="n">
        <v>45657</v>
      </c>
      <c r="C325" s="44" t="n">
        <v>12</v>
      </c>
      <c r="D325" s="44" t="n">
        <v>2024</v>
      </c>
      <c r="E325" s="44" t="n">
        <v>31</v>
      </c>
      <c r="F325" s="44" t="s">
        <v>310</v>
      </c>
      <c r="G325" s="44" t="s">
        <v>461</v>
      </c>
      <c r="H325" s="44" t="s">
        <v>140</v>
      </c>
      <c r="I325" s="44" t="s">
        <v>173</v>
      </c>
      <c r="J325" s="44" t="s">
        <v>191</v>
      </c>
      <c r="K325" s="44" t="n">
        <v>4</v>
      </c>
      <c r="L325" s="46" t="n">
        <v>11.31</v>
      </c>
      <c r="M325" s="47" t="n">
        <v>3.95</v>
      </c>
      <c r="N325" s="46" t="n">
        <v>83.68</v>
      </c>
      <c r="O325" s="44" t="s">
        <v>308</v>
      </c>
      <c r="P325" s="44" t="s">
        <v>309</v>
      </c>
      <c r="Q325" s="44" t="s">
        <v>309</v>
      </c>
    </row>
    <row r="326" customFormat="false" ht="15" hidden="false" customHeight="false" outlineLevel="0" collapsed="false">
      <c r="A326" s="44" t="n">
        <v>325</v>
      </c>
      <c r="B326" s="45" t="n">
        <v>45515</v>
      </c>
      <c r="C326" s="44" t="n">
        <v>8</v>
      </c>
      <c r="D326" s="44" t="n">
        <v>2024</v>
      </c>
      <c r="E326" s="44" t="n">
        <v>11</v>
      </c>
      <c r="F326" s="44" t="s">
        <v>312</v>
      </c>
      <c r="G326" s="44" t="s">
        <v>457</v>
      </c>
      <c r="H326" s="44" t="s">
        <v>137</v>
      </c>
      <c r="I326" s="44" t="s">
        <v>174</v>
      </c>
      <c r="J326" s="44" t="s">
        <v>191</v>
      </c>
      <c r="K326" s="44" t="n">
        <v>1</v>
      </c>
      <c r="L326" s="46" t="n">
        <v>28.2</v>
      </c>
      <c r="M326" s="47" t="n">
        <v>0.06</v>
      </c>
      <c r="N326" s="46" t="n">
        <v>193.28</v>
      </c>
      <c r="O326" s="44" t="s">
        <v>308</v>
      </c>
      <c r="P326" s="44" t="s">
        <v>309</v>
      </c>
      <c r="Q326" s="44" t="s">
        <v>309</v>
      </c>
    </row>
    <row r="327" customFormat="false" ht="15" hidden="false" customHeight="false" outlineLevel="0" collapsed="false">
      <c r="A327" s="44" t="n">
        <v>326</v>
      </c>
      <c r="B327" s="45" t="n">
        <v>45554</v>
      </c>
      <c r="C327" s="44" t="n">
        <v>9</v>
      </c>
      <c r="D327" s="44" t="n">
        <v>2024</v>
      </c>
      <c r="E327" s="44" t="n">
        <v>19</v>
      </c>
      <c r="F327" s="44" t="s">
        <v>306</v>
      </c>
      <c r="G327" s="44" t="s">
        <v>423</v>
      </c>
      <c r="H327" s="44" t="s">
        <v>136</v>
      </c>
      <c r="I327" s="44" t="s">
        <v>174</v>
      </c>
      <c r="J327" s="44" t="s">
        <v>191</v>
      </c>
      <c r="K327" s="44" t="n">
        <v>1</v>
      </c>
      <c r="L327" s="46" t="n">
        <v>21.67</v>
      </c>
      <c r="M327" s="47" t="n">
        <v>1.79</v>
      </c>
      <c r="N327" s="46" t="n">
        <v>150.48</v>
      </c>
      <c r="O327" s="44" t="s">
        <v>308</v>
      </c>
      <c r="P327" s="44" t="s">
        <v>309</v>
      </c>
      <c r="Q327" s="44" t="s">
        <v>309</v>
      </c>
    </row>
    <row r="328" customFormat="false" ht="15" hidden="false" customHeight="false" outlineLevel="0" collapsed="false">
      <c r="A328" s="44" t="n">
        <v>327</v>
      </c>
      <c r="B328" s="45" t="n">
        <v>45435</v>
      </c>
      <c r="C328" s="44" t="n">
        <v>5</v>
      </c>
      <c r="D328" s="44" t="n">
        <v>2024</v>
      </c>
      <c r="E328" s="44" t="n">
        <v>23</v>
      </c>
      <c r="F328" s="44" t="s">
        <v>306</v>
      </c>
      <c r="G328" s="44" t="s">
        <v>348</v>
      </c>
      <c r="H328" s="44" t="s">
        <v>135</v>
      </c>
      <c r="I328" s="44" t="s">
        <v>176</v>
      </c>
      <c r="J328" s="44" t="s">
        <v>206</v>
      </c>
      <c r="K328" s="44" t="n">
        <v>1</v>
      </c>
      <c r="L328" s="46" t="n">
        <v>2.96</v>
      </c>
      <c r="M328" s="47" t="n">
        <v>0.51</v>
      </c>
      <c r="N328" s="46" t="n">
        <v>2.94</v>
      </c>
      <c r="O328" s="44" t="s">
        <v>309</v>
      </c>
      <c r="P328" s="44" t="s">
        <v>309</v>
      </c>
      <c r="Q328" s="44" t="s">
        <v>309</v>
      </c>
    </row>
    <row r="329" customFormat="false" ht="15" hidden="false" customHeight="false" outlineLevel="0" collapsed="false">
      <c r="A329" s="44" t="n">
        <v>328</v>
      </c>
      <c r="B329" s="45" t="n">
        <v>45371</v>
      </c>
      <c r="C329" s="44" t="n">
        <v>3</v>
      </c>
      <c r="D329" s="44" t="n">
        <v>2024</v>
      </c>
      <c r="E329" s="44" t="n">
        <v>20</v>
      </c>
      <c r="F329" s="44" t="s">
        <v>321</v>
      </c>
      <c r="G329" s="44" t="s">
        <v>342</v>
      </c>
      <c r="H329" s="44" t="s">
        <v>134</v>
      </c>
      <c r="I329" s="44" t="s">
        <v>176</v>
      </c>
      <c r="J329" s="44" t="s">
        <v>206</v>
      </c>
      <c r="K329" s="44" t="n">
        <v>2</v>
      </c>
      <c r="L329" s="46" t="n">
        <v>90.82</v>
      </c>
      <c r="M329" s="47" t="n">
        <v>2.27</v>
      </c>
      <c r="N329" s="46" t="n">
        <v>177.52</v>
      </c>
      <c r="O329" s="44" t="s">
        <v>309</v>
      </c>
      <c r="P329" s="44" t="s">
        <v>317</v>
      </c>
      <c r="Q329" s="44" t="s">
        <v>309</v>
      </c>
    </row>
    <row r="330" customFormat="false" ht="15" hidden="false" customHeight="false" outlineLevel="0" collapsed="false">
      <c r="A330" s="44" t="n">
        <v>329</v>
      </c>
      <c r="B330" s="45" t="n">
        <v>45649</v>
      </c>
      <c r="C330" s="44" t="n">
        <v>12</v>
      </c>
      <c r="D330" s="44" t="n">
        <v>2024</v>
      </c>
      <c r="E330" s="44" t="n">
        <v>23</v>
      </c>
      <c r="F330" s="44" t="s">
        <v>328</v>
      </c>
      <c r="G330" s="44" t="s">
        <v>508</v>
      </c>
      <c r="H330" s="44" t="s">
        <v>134</v>
      </c>
      <c r="I330" s="44" t="s">
        <v>174</v>
      </c>
      <c r="J330" s="44" t="s">
        <v>197</v>
      </c>
      <c r="K330" s="44" t="n">
        <v>2</v>
      </c>
      <c r="L330" s="46" t="n">
        <v>42.99</v>
      </c>
      <c r="M330" s="47" t="n">
        <v>0.21</v>
      </c>
      <c r="N330" s="46" t="n">
        <v>85.8</v>
      </c>
      <c r="O330" s="44" t="s">
        <v>309</v>
      </c>
      <c r="P330" s="44" t="s">
        <v>309</v>
      </c>
      <c r="Q330" s="44" t="s">
        <v>309</v>
      </c>
    </row>
    <row r="331" customFormat="false" ht="15" hidden="false" customHeight="false" outlineLevel="0" collapsed="false">
      <c r="A331" s="44" t="n">
        <v>330</v>
      </c>
      <c r="B331" s="45" t="n">
        <v>45612</v>
      </c>
      <c r="C331" s="44" t="n">
        <v>11</v>
      </c>
      <c r="D331" s="44" t="n">
        <v>2024</v>
      </c>
      <c r="E331" s="44" t="n">
        <v>16</v>
      </c>
      <c r="F331" s="44" t="s">
        <v>318</v>
      </c>
      <c r="G331" s="44" t="s">
        <v>509</v>
      </c>
      <c r="H331" s="44" t="s">
        <v>134</v>
      </c>
      <c r="I331" s="44" t="s">
        <v>173</v>
      </c>
      <c r="J331" s="44" t="s">
        <v>193</v>
      </c>
      <c r="K331" s="44" t="n">
        <v>2</v>
      </c>
      <c r="L331" s="46" t="n">
        <v>29.18</v>
      </c>
      <c r="M331" s="47" t="n">
        <v>1.905</v>
      </c>
      <c r="N331" s="46" t="n">
        <v>376.47</v>
      </c>
      <c r="O331" s="44" t="s">
        <v>308</v>
      </c>
      <c r="P331" s="44" t="s">
        <v>369</v>
      </c>
      <c r="Q331" s="44" t="s">
        <v>309</v>
      </c>
    </row>
    <row r="332" customFormat="false" ht="15" hidden="false" customHeight="false" outlineLevel="0" collapsed="false">
      <c r="A332" s="44" t="n">
        <v>331</v>
      </c>
      <c r="B332" s="45" t="n">
        <v>45414</v>
      </c>
      <c r="C332" s="44" t="n">
        <v>5</v>
      </c>
      <c r="D332" s="44" t="n">
        <v>2024</v>
      </c>
      <c r="E332" s="44" t="n">
        <v>2</v>
      </c>
      <c r="F332" s="44" t="s">
        <v>306</v>
      </c>
      <c r="G332" s="44" t="s">
        <v>418</v>
      </c>
      <c r="H332" s="44" t="s">
        <v>134</v>
      </c>
      <c r="I332" s="44" t="s">
        <v>173</v>
      </c>
      <c r="J332" s="44" t="s">
        <v>204</v>
      </c>
      <c r="K332" s="44" t="n">
        <v>2</v>
      </c>
      <c r="L332" s="46" t="n">
        <v>33.9</v>
      </c>
      <c r="M332" s="47" t="n">
        <v>0.91</v>
      </c>
      <c r="N332" s="46" t="n">
        <v>67.18</v>
      </c>
      <c r="O332" s="44" t="s">
        <v>309</v>
      </c>
      <c r="P332" s="44" t="s">
        <v>309</v>
      </c>
      <c r="Q332" s="44" t="s">
        <v>309</v>
      </c>
    </row>
    <row r="333" customFormat="false" ht="15" hidden="false" customHeight="false" outlineLevel="0" collapsed="false">
      <c r="A333" s="44" t="n">
        <v>332</v>
      </c>
      <c r="B333" s="45" t="n">
        <v>45639</v>
      </c>
      <c r="C333" s="44" t="n">
        <v>12</v>
      </c>
      <c r="D333" s="44" t="n">
        <v>2024</v>
      </c>
      <c r="E333" s="44" t="n">
        <v>13</v>
      </c>
      <c r="F333" s="44" t="s">
        <v>325</v>
      </c>
      <c r="G333" s="44" t="s">
        <v>360</v>
      </c>
      <c r="H333" s="44" t="s">
        <v>139</v>
      </c>
      <c r="I333" s="44" t="s">
        <v>174</v>
      </c>
      <c r="J333" s="44" t="s">
        <v>191</v>
      </c>
      <c r="K333" s="44" t="n">
        <v>2</v>
      </c>
      <c r="L333" s="46" t="n">
        <v>18.33</v>
      </c>
      <c r="M333" s="47" t="n">
        <v>0.75</v>
      </c>
      <c r="N333" s="46" t="n">
        <v>41.53</v>
      </c>
      <c r="O333" s="44" t="s">
        <v>308</v>
      </c>
      <c r="P333" s="44" t="s">
        <v>309</v>
      </c>
      <c r="Q333" s="44" t="s">
        <v>309</v>
      </c>
    </row>
    <row r="334" customFormat="false" ht="15" hidden="false" customHeight="false" outlineLevel="0" collapsed="false">
      <c r="A334" s="44" t="n">
        <v>333</v>
      </c>
      <c r="B334" s="45" t="n">
        <v>45308</v>
      </c>
      <c r="C334" s="44" t="n">
        <v>1</v>
      </c>
      <c r="D334" s="44" t="n">
        <v>2024</v>
      </c>
      <c r="E334" s="44" t="n">
        <v>17</v>
      </c>
      <c r="F334" s="44" t="s">
        <v>321</v>
      </c>
      <c r="G334" s="44" t="s">
        <v>510</v>
      </c>
      <c r="H334" s="44" t="s">
        <v>139</v>
      </c>
      <c r="I334" s="44" t="s">
        <v>172</v>
      </c>
      <c r="J334" s="44" t="s">
        <v>191</v>
      </c>
      <c r="K334" s="44" t="n">
        <v>2</v>
      </c>
      <c r="L334" s="46" t="n">
        <v>76.25</v>
      </c>
      <c r="M334" s="47" t="n">
        <v>2.93</v>
      </c>
      <c r="N334" s="46" t="n">
        <v>148.03</v>
      </c>
      <c r="O334" s="44" t="s">
        <v>309</v>
      </c>
      <c r="P334" s="44" t="s">
        <v>309</v>
      </c>
      <c r="Q334" s="44" t="s">
        <v>309</v>
      </c>
    </row>
    <row r="335" customFormat="false" ht="15" hidden="false" customHeight="false" outlineLevel="0" collapsed="false">
      <c r="A335" s="44" t="n">
        <v>334</v>
      </c>
      <c r="B335" s="45" t="n">
        <v>45617</v>
      </c>
      <c r="C335" s="44" t="n">
        <v>11</v>
      </c>
      <c r="D335" s="44" t="n">
        <v>2024</v>
      </c>
      <c r="E335" s="44" t="n">
        <v>21</v>
      </c>
      <c r="F335" s="44" t="s">
        <v>306</v>
      </c>
      <c r="G335" s="44" t="s">
        <v>364</v>
      </c>
      <c r="H335" s="44" t="s">
        <v>135</v>
      </c>
      <c r="I335" s="44" t="s">
        <v>172</v>
      </c>
      <c r="J335" s="44" t="s">
        <v>206</v>
      </c>
      <c r="K335" s="44" t="n">
        <v>2</v>
      </c>
      <c r="L335" s="46" t="n">
        <v>103.34</v>
      </c>
      <c r="M335" s="47" t="n">
        <v>3.36</v>
      </c>
      <c r="N335" s="46" t="n">
        <v>199.74</v>
      </c>
      <c r="O335" s="44" t="s">
        <v>309</v>
      </c>
      <c r="P335" s="44" t="s">
        <v>309</v>
      </c>
      <c r="Q335" s="44" t="s">
        <v>309</v>
      </c>
    </row>
    <row r="336" customFormat="false" ht="15" hidden="false" customHeight="false" outlineLevel="0" collapsed="false">
      <c r="A336" s="44" t="n">
        <v>335</v>
      </c>
      <c r="B336" s="45" t="n">
        <v>45654</v>
      </c>
      <c r="C336" s="44" t="n">
        <v>12</v>
      </c>
      <c r="D336" s="44" t="n">
        <v>2024</v>
      </c>
      <c r="E336" s="44" t="n">
        <v>28</v>
      </c>
      <c r="F336" s="44" t="s">
        <v>318</v>
      </c>
      <c r="G336" s="44" t="s">
        <v>383</v>
      </c>
      <c r="H336" s="44" t="s">
        <v>136</v>
      </c>
      <c r="I336" s="44" t="s">
        <v>173</v>
      </c>
      <c r="J336" s="44" t="s">
        <v>192</v>
      </c>
      <c r="K336" s="44" t="n">
        <v>1</v>
      </c>
      <c r="L336" s="46" t="n">
        <v>100.45</v>
      </c>
      <c r="M336" s="47" t="n">
        <v>1.18</v>
      </c>
      <c r="N336" s="46" t="n">
        <v>99.26</v>
      </c>
      <c r="O336" s="44" t="s">
        <v>309</v>
      </c>
      <c r="P336" s="44" t="s">
        <v>309</v>
      </c>
      <c r="Q336" s="44" t="s">
        <v>309</v>
      </c>
    </row>
    <row r="337" customFormat="false" ht="15" hidden="false" customHeight="false" outlineLevel="0" collapsed="false">
      <c r="A337" s="44" t="n">
        <v>336</v>
      </c>
      <c r="B337" s="45" t="n">
        <v>45292</v>
      </c>
      <c r="C337" s="44" t="n">
        <v>1</v>
      </c>
      <c r="D337" s="44" t="n">
        <v>2024</v>
      </c>
      <c r="E337" s="44" t="n">
        <v>1</v>
      </c>
      <c r="F337" s="44" t="s">
        <v>328</v>
      </c>
      <c r="G337" s="44" t="s">
        <v>368</v>
      </c>
      <c r="H337" s="44" t="s">
        <v>135</v>
      </c>
      <c r="I337" s="44" t="s">
        <v>176</v>
      </c>
      <c r="J337" s="44" t="s">
        <v>194</v>
      </c>
      <c r="K337" s="44" t="n">
        <v>3</v>
      </c>
      <c r="L337" s="46" t="n">
        <v>16.11</v>
      </c>
      <c r="M337" s="47" t="n">
        <v>4.18</v>
      </c>
      <c r="N337" s="46" t="n">
        <v>46.31</v>
      </c>
      <c r="O337" s="44" t="s">
        <v>309</v>
      </c>
      <c r="P337" s="44" t="s">
        <v>309</v>
      </c>
      <c r="Q337" s="44" t="s">
        <v>309</v>
      </c>
    </row>
    <row r="338" customFormat="false" ht="15" hidden="false" customHeight="false" outlineLevel="0" collapsed="false">
      <c r="A338" s="44" t="n">
        <v>337</v>
      </c>
      <c r="B338" s="45" t="n">
        <v>45335</v>
      </c>
      <c r="C338" s="44" t="n">
        <v>2</v>
      </c>
      <c r="D338" s="44" t="n">
        <v>2024</v>
      </c>
      <c r="E338" s="44" t="n">
        <v>13</v>
      </c>
      <c r="F338" s="44" t="s">
        <v>310</v>
      </c>
      <c r="G338" s="44" t="s">
        <v>511</v>
      </c>
      <c r="H338" s="44" t="s">
        <v>135</v>
      </c>
      <c r="I338" s="44" t="s">
        <v>172</v>
      </c>
      <c r="J338" s="44" t="s">
        <v>191</v>
      </c>
      <c r="K338" s="44" t="n">
        <v>5</v>
      </c>
      <c r="L338" s="46" t="n">
        <v>22.4</v>
      </c>
      <c r="M338" s="47" t="n">
        <v>5.83</v>
      </c>
      <c r="N338" s="46" t="n">
        <v>105.47</v>
      </c>
      <c r="O338" s="44" t="s">
        <v>309</v>
      </c>
      <c r="P338" s="44" t="s">
        <v>317</v>
      </c>
      <c r="Q338" s="44" t="s">
        <v>309</v>
      </c>
    </row>
    <row r="339" customFormat="false" ht="15" hidden="false" customHeight="false" outlineLevel="0" collapsed="false">
      <c r="A339" s="44" t="n">
        <v>338</v>
      </c>
      <c r="B339" s="45" t="n">
        <v>45383</v>
      </c>
      <c r="C339" s="44" t="n">
        <v>4</v>
      </c>
      <c r="D339" s="44" t="n">
        <v>2024</v>
      </c>
      <c r="E339" s="44" t="n">
        <v>1</v>
      </c>
      <c r="F339" s="44" t="s">
        <v>328</v>
      </c>
      <c r="G339" s="44" t="s">
        <v>492</v>
      </c>
      <c r="H339" s="44" t="s">
        <v>136</v>
      </c>
      <c r="I339" s="44" t="s">
        <v>176</v>
      </c>
      <c r="J339" s="44" t="s">
        <v>191</v>
      </c>
      <c r="K339" s="44" t="n">
        <v>4</v>
      </c>
      <c r="L339" s="46" t="n">
        <v>33.96</v>
      </c>
      <c r="M339" s="47" t="n">
        <v>4.3</v>
      </c>
      <c r="N339" s="46" t="n">
        <v>130</v>
      </c>
      <c r="O339" s="44" t="s">
        <v>309</v>
      </c>
      <c r="P339" s="44" t="s">
        <v>309</v>
      </c>
      <c r="Q339" s="44" t="s">
        <v>309</v>
      </c>
    </row>
    <row r="340" customFormat="false" ht="15" hidden="false" customHeight="false" outlineLevel="0" collapsed="false">
      <c r="A340" s="44" t="n">
        <v>339</v>
      </c>
      <c r="B340" s="45" t="n">
        <v>45317</v>
      </c>
      <c r="C340" s="44" t="n">
        <v>1</v>
      </c>
      <c r="D340" s="44" t="n">
        <v>2024</v>
      </c>
      <c r="E340" s="44" t="n">
        <v>26</v>
      </c>
      <c r="F340" s="44" t="s">
        <v>325</v>
      </c>
      <c r="G340" s="44" t="s">
        <v>324</v>
      </c>
      <c r="H340" s="44" t="s">
        <v>134</v>
      </c>
      <c r="I340" s="44" t="s">
        <v>176</v>
      </c>
      <c r="J340" s="44" t="s">
        <v>191</v>
      </c>
      <c r="K340" s="44" t="n">
        <v>4</v>
      </c>
      <c r="L340" s="46" t="n">
        <v>29.18</v>
      </c>
      <c r="M340" s="47" t="n">
        <v>6.33</v>
      </c>
      <c r="N340" s="46" t="n">
        <v>25.63</v>
      </c>
      <c r="O340" s="44" t="s">
        <v>308</v>
      </c>
      <c r="P340" s="44" t="s">
        <v>309</v>
      </c>
      <c r="Q340" s="44" t="s">
        <v>309</v>
      </c>
    </row>
    <row r="341" customFormat="false" ht="15" hidden="false" customHeight="false" outlineLevel="0" collapsed="false">
      <c r="A341" s="44" t="n">
        <v>340</v>
      </c>
      <c r="B341" s="45" t="n">
        <v>45522</v>
      </c>
      <c r="C341" s="44" t="n">
        <v>8</v>
      </c>
      <c r="D341" s="44" t="n">
        <v>2024</v>
      </c>
      <c r="E341" s="44" t="n">
        <v>18</v>
      </c>
      <c r="F341" s="44" t="s">
        <v>312</v>
      </c>
      <c r="G341" s="44" t="s">
        <v>506</v>
      </c>
      <c r="H341" s="44" t="s">
        <v>137</v>
      </c>
      <c r="I341" s="44" t="s">
        <v>176</v>
      </c>
      <c r="J341" s="44" t="s">
        <v>196</v>
      </c>
      <c r="K341" s="44" t="n">
        <v>4</v>
      </c>
      <c r="L341" s="46" t="n">
        <v>27.2</v>
      </c>
      <c r="M341" s="47" t="n">
        <v>3.59</v>
      </c>
      <c r="N341" s="46" t="n">
        <v>104.89</v>
      </c>
      <c r="O341" s="44" t="s">
        <v>309</v>
      </c>
      <c r="P341" s="44" t="s">
        <v>309</v>
      </c>
      <c r="Q341" s="44" t="s">
        <v>309</v>
      </c>
    </row>
    <row r="342" customFormat="false" ht="15" hidden="false" customHeight="false" outlineLevel="0" collapsed="false">
      <c r="A342" s="44" t="n">
        <v>341</v>
      </c>
      <c r="B342" s="45" t="n">
        <v>45340</v>
      </c>
      <c r="C342" s="44" t="n">
        <v>2</v>
      </c>
      <c r="D342" s="44" t="n">
        <v>2024</v>
      </c>
      <c r="E342" s="44" t="n">
        <v>18</v>
      </c>
      <c r="F342" s="44" t="s">
        <v>312</v>
      </c>
      <c r="G342" s="44" t="s">
        <v>433</v>
      </c>
      <c r="H342" s="44" t="s">
        <v>135</v>
      </c>
      <c r="I342" s="44" t="s">
        <v>173</v>
      </c>
      <c r="J342" s="44" t="s">
        <v>198</v>
      </c>
      <c r="K342" s="44" t="n">
        <v>2</v>
      </c>
      <c r="L342" s="46" t="n">
        <v>76.1</v>
      </c>
      <c r="M342" s="47" t="n">
        <v>0</v>
      </c>
      <c r="N342" s="46" t="n">
        <v>152.2</v>
      </c>
      <c r="O342" s="44" t="s">
        <v>309</v>
      </c>
      <c r="P342" s="44" t="s">
        <v>309</v>
      </c>
      <c r="Q342" s="44" t="s">
        <v>309</v>
      </c>
    </row>
    <row r="343" customFormat="false" ht="15" hidden="false" customHeight="false" outlineLevel="0" collapsed="false">
      <c r="A343" s="44" t="n">
        <v>342</v>
      </c>
      <c r="B343" s="45" t="n">
        <v>45514</v>
      </c>
      <c r="C343" s="44" t="n">
        <v>8</v>
      </c>
      <c r="D343" s="44" t="n">
        <v>2024</v>
      </c>
      <c r="E343" s="44" t="n">
        <v>10</v>
      </c>
      <c r="F343" s="44" t="s">
        <v>318</v>
      </c>
      <c r="G343" s="44" t="s">
        <v>319</v>
      </c>
      <c r="H343" s="44" t="s">
        <v>135</v>
      </c>
      <c r="I343" s="44" t="s">
        <v>172</v>
      </c>
      <c r="J343" s="44" t="s">
        <v>193</v>
      </c>
      <c r="K343" s="44" t="n">
        <v>1</v>
      </c>
      <c r="L343" s="46" t="n">
        <v>11.4</v>
      </c>
      <c r="M343" s="47" t="n">
        <v>1.23</v>
      </c>
      <c r="N343" s="46" t="n">
        <v>11.26</v>
      </c>
      <c r="O343" s="44" t="s">
        <v>309</v>
      </c>
      <c r="P343" s="44" t="s">
        <v>317</v>
      </c>
      <c r="Q343" s="44" t="s">
        <v>309</v>
      </c>
    </row>
    <row r="344" customFormat="false" ht="15" hidden="false" customHeight="false" outlineLevel="0" collapsed="false">
      <c r="A344" s="44" t="n">
        <v>343</v>
      </c>
      <c r="B344" s="45" t="n">
        <v>45514</v>
      </c>
      <c r="C344" s="44" t="n">
        <v>8</v>
      </c>
      <c r="D344" s="44" t="n">
        <v>2024</v>
      </c>
      <c r="E344" s="44" t="n">
        <v>10</v>
      </c>
      <c r="F344" s="44" t="s">
        <v>318</v>
      </c>
      <c r="G344" s="44" t="s">
        <v>512</v>
      </c>
      <c r="H344" s="44" t="s">
        <v>134</v>
      </c>
      <c r="I344" s="44" t="s">
        <v>172</v>
      </c>
      <c r="J344" s="44" t="s">
        <v>206</v>
      </c>
      <c r="K344" s="44" t="n">
        <v>4</v>
      </c>
      <c r="L344" s="46" t="n">
        <v>199.85</v>
      </c>
      <c r="M344" s="47" t="n">
        <v>5.76</v>
      </c>
      <c r="N344" s="46" t="n">
        <v>753.35</v>
      </c>
      <c r="O344" s="44" t="s">
        <v>309</v>
      </c>
      <c r="P344" s="44" t="s">
        <v>309</v>
      </c>
      <c r="Q344" s="44" t="s">
        <v>309</v>
      </c>
    </row>
    <row r="345" customFormat="false" ht="15" hidden="false" customHeight="false" outlineLevel="0" collapsed="false">
      <c r="A345" s="44" t="n">
        <v>344</v>
      </c>
      <c r="B345" s="45" t="n">
        <v>45537</v>
      </c>
      <c r="C345" s="44" t="n">
        <v>9</v>
      </c>
      <c r="D345" s="44" t="n">
        <v>2024</v>
      </c>
      <c r="E345" s="44" t="n">
        <v>2</v>
      </c>
      <c r="F345" s="44" t="s">
        <v>328</v>
      </c>
      <c r="G345" s="44" t="s">
        <v>510</v>
      </c>
      <c r="H345" s="44" t="s">
        <v>136</v>
      </c>
      <c r="I345" s="44" t="s">
        <v>172</v>
      </c>
      <c r="J345" s="44" t="s">
        <v>192</v>
      </c>
      <c r="K345" s="44" t="n">
        <v>4</v>
      </c>
      <c r="L345" s="46" t="n">
        <v>84</v>
      </c>
      <c r="M345" s="47" t="n">
        <v>5.87</v>
      </c>
      <c r="N345" s="46" t="n">
        <v>316.28</v>
      </c>
      <c r="O345" s="44" t="s">
        <v>309</v>
      </c>
      <c r="P345" s="44" t="s">
        <v>317</v>
      </c>
      <c r="Q345" s="44" t="s">
        <v>309</v>
      </c>
    </row>
    <row r="346" customFormat="false" ht="15" hidden="false" customHeight="false" outlineLevel="0" collapsed="false">
      <c r="A346" s="44" t="n">
        <v>345</v>
      </c>
      <c r="B346" s="45" t="n">
        <v>45499</v>
      </c>
      <c r="C346" s="44" t="n">
        <v>7</v>
      </c>
      <c r="D346" s="44" t="n">
        <v>2024</v>
      </c>
      <c r="E346" s="44" t="n">
        <v>26</v>
      </c>
      <c r="F346" s="44" t="s">
        <v>325</v>
      </c>
      <c r="G346" s="44" t="s">
        <v>513</v>
      </c>
      <c r="H346" s="44" t="s">
        <v>140</v>
      </c>
      <c r="I346" s="44" t="s">
        <v>173</v>
      </c>
      <c r="J346" s="44" t="s">
        <v>191</v>
      </c>
      <c r="K346" s="44" t="n">
        <v>2</v>
      </c>
      <c r="L346" s="46" t="n">
        <v>8.6</v>
      </c>
      <c r="M346" s="47" t="n">
        <v>1.99</v>
      </c>
      <c r="N346" s="46" t="n">
        <v>16.86</v>
      </c>
      <c r="O346" s="44" t="s">
        <v>309</v>
      </c>
      <c r="P346" s="44" t="s">
        <v>309</v>
      </c>
      <c r="Q346" s="44" t="s">
        <v>309</v>
      </c>
    </row>
    <row r="347" customFormat="false" ht="15" hidden="false" customHeight="false" outlineLevel="0" collapsed="false">
      <c r="A347" s="44" t="n">
        <v>346</v>
      </c>
      <c r="B347" s="45" t="n">
        <v>45516</v>
      </c>
      <c r="C347" s="44" t="n">
        <v>8</v>
      </c>
      <c r="D347" s="44" t="n">
        <v>2024</v>
      </c>
      <c r="E347" s="44" t="n">
        <v>12</v>
      </c>
      <c r="F347" s="44" t="s">
        <v>328</v>
      </c>
      <c r="G347" s="44" t="s">
        <v>460</v>
      </c>
      <c r="H347" s="44" t="s">
        <v>134</v>
      </c>
      <c r="I347" s="44" t="s">
        <v>173</v>
      </c>
      <c r="J347" s="44" t="s">
        <v>194</v>
      </c>
      <c r="K347" s="44" t="n">
        <v>2</v>
      </c>
      <c r="L347" s="46" t="n">
        <v>29.18</v>
      </c>
      <c r="M347" s="47" t="n">
        <v>1.39</v>
      </c>
      <c r="N347" s="46" t="n">
        <v>24.22</v>
      </c>
      <c r="O347" s="44" t="s">
        <v>308</v>
      </c>
      <c r="P347" s="44" t="s">
        <v>309</v>
      </c>
      <c r="Q347" s="44" t="s">
        <v>309</v>
      </c>
    </row>
    <row r="348" customFormat="false" ht="15" hidden="false" customHeight="false" outlineLevel="0" collapsed="false">
      <c r="A348" s="44" t="n">
        <v>347</v>
      </c>
      <c r="B348" s="45" t="n">
        <v>45446</v>
      </c>
      <c r="C348" s="44" t="n">
        <v>6</v>
      </c>
      <c r="D348" s="44" t="n">
        <v>2024</v>
      </c>
      <c r="E348" s="44" t="n">
        <v>3</v>
      </c>
      <c r="F348" s="44" t="s">
        <v>328</v>
      </c>
      <c r="G348" s="44" t="s">
        <v>327</v>
      </c>
      <c r="H348" s="44" t="s">
        <v>135</v>
      </c>
      <c r="I348" s="44" t="s">
        <v>172</v>
      </c>
      <c r="J348" s="44" t="s">
        <v>206</v>
      </c>
      <c r="K348" s="44" t="n">
        <v>2</v>
      </c>
      <c r="L348" s="46" t="n">
        <v>156.47</v>
      </c>
      <c r="M348" s="47" t="n">
        <v>0</v>
      </c>
      <c r="N348" s="46" t="n">
        <v>312.94</v>
      </c>
      <c r="O348" s="44" t="s">
        <v>309</v>
      </c>
      <c r="P348" s="44" t="s">
        <v>309</v>
      </c>
      <c r="Q348" s="44" t="s">
        <v>309</v>
      </c>
    </row>
    <row r="349" customFormat="false" ht="15" hidden="false" customHeight="false" outlineLevel="0" collapsed="false">
      <c r="A349" s="44" t="n">
        <v>348</v>
      </c>
      <c r="B349" s="45" t="n">
        <v>45574</v>
      </c>
      <c r="C349" s="44" t="n">
        <v>10</v>
      </c>
      <c r="D349" s="44" t="n">
        <v>2024</v>
      </c>
      <c r="E349" s="44" t="n">
        <v>9</v>
      </c>
      <c r="F349" s="44" t="s">
        <v>321</v>
      </c>
      <c r="G349" s="44" t="s">
        <v>331</v>
      </c>
      <c r="H349" s="44" t="s">
        <v>134</v>
      </c>
      <c r="I349" s="44" t="s">
        <v>174</v>
      </c>
      <c r="J349" s="44" t="s">
        <v>196</v>
      </c>
      <c r="K349" s="44" t="n">
        <v>8</v>
      </c>
      <c r="L349" s="46" t="n">
        <v>80.15</v>
      </c>
      <c r="M349" s="47" t="n">
        <v>12.04</v>
      </c>
      <c r="N349" s="46" t="n">
        <v>564</v>
      </c>
      <c r="O349" s="44" t="s">
        <v>309</v>
      </c>
      <c r="P349" s="44" t="s">
        <v>317</v>
      </c>
      <c r="Q349" s="44" t="s">
        <v>309</v>
      </c>
    </row>
    <row r="350" customFormat="false" ht="15" hidden="false" customHeight="false" outlineLevel="0" collapsed="false">
      <c r="A350" s="44" t="n">
        <v>349</v>
      </c>
      <c r="B350" s="45" t="n">
        <v>45383</v>
      </c>
      <c r="C350" s="44" t="n">
        <v>4</v>
      </c>
      <c r="D350" s="44" t="n">
        <v>2024</v>
      </c>
      <c r="E350" s="44" t="n">
        <v>1</v>
      </c>
      <c r="F350" s="44" t="s">
        <v>328</v>
      </c>
      <c r="G350" s="44" t="s">
        <v>466</v>
      </c>
      <c r="H350" s="44" t="s">
        <v>139</v>
      </c>
      <c r="I350" s="44" t="s">
        <v>172</v>
      </c>
      <c r="J350" s="44" t="s">
        <v>192</v>
      </c>
      <c r="K350" s="44" t="n">
        <v>2</v>
      </c>
      <c r="L350" s="46" t="n">
        <v>3.67</v>
      </c>
      <c r="M350" s="47" t="n">
        <v>3.27</v>
      </c>
      <c r="N350" s="46" t="n">
        <v>7.1</v>
      </c>
      <c r="O350" s="44" t="s">
        <v>309</v>
      </c>
      <c r="P350" s="44" t="s">
        <v>317</v>
      </c>
      <c r="Q350" s="44" t="s">
        <v>309</v>
      </c>
    </row>
    <row r="351" customFormat="false" ht="15" hidden="false" customHeight="false" outlineLevel="0" collapsed="false">
      <c r="A351" s="44" t="n">
        <v>350</v>
      </c>
      <c r="B351" s="45" t="n">
        <v>45312</v>
      </c>
      <c r="C351" s="44" t="n">
        <v>1</v>
      </c>
      <c r="D351" s="44" t="n">
        <v>2024</v>
      </c>
      <c r="E351" s="44" t="n">
        <v>21</v>
      </c>
      <c r="F351" s="44" t="s">
        <v>312</v>
      </c>
      <c r="G351" s="44" t="s">
        <v>384</v>
      </c>
      <c r="H351" s="44" t="s">
        <v>134</v>
      </c>
      <c r="I351" s="44" t="s">
        <v>172</v>
      </c>
      <c r="J351" s="44" t="s">
        <v>191</v>
      </c>
      <c r="K351" s="44" t="n">
        <v>4</v>
      </c>
      <c r="L351" s="46" t="n">
        <v>135.77</v>
      </c>
      <c r="M351" s="47" t="n">
        <v>5</v>
      </c>
      <c r="N351" s="46" t="n">
        <v>515.93</v>
      </c>
      <c r="O351" s="44" t="s">
        <v>309</v>
      </c>
      <c r="P351" s="44" t="s">
        <v>309</v>
      </c>
      <c r="Q351" s="44" t="s">
        <v>309</v>
      </c>
    </row>
    <row r="352" customFormat="false" ht="15" hidden="false" customHeight="false" outlineLevel="0" collapsed="false">
      <c r="A352" s="44" t="n">
        <v>351</v>
      </c>
      <c r="B352" s="45" t="n">
        <v>45542</v>
      </c>
      <c r="C352" s="44" t="n">
        <v>9</v>
      </c>
      <c r="D352" s="44" t="n">
        <v>2024</v>
      </c>
      <c r="E352" s="44" t="n">
        <v>7</v>
      </c>
      <c r="F352" s="44" t="s">
        <v>318</v>
      </c>
      <c r="G352" s="44" t="s">
        <v>435</v>
      </c>
      <c r="H352" s="44" t="s">
        <v>136</v>
      </c>
      <c r="I352" s="44" t="s">
        <v>176</v>
      </c>
      <c r="J352" s="44" t="s">
        <v>191</v>
      </c>
      <c r="K352" s="44" t="n">
        <v>8</v>
      </c>
      <c r="L352" s="46" t="n">
        <v>21.67</v>
      </c>
      <c r="M352" s="47" t="n">
        <v>11.33</v>
      </c>
      <c r="N352" s="46" t="n">
        <v>45.82</v>
      </c>
      <c r="O352" s="44" t="s">
        <v>308</v>
      </c>
      <c r="P352" s="44" t="s">
        <v>309</v>
      </c>
      <c r="Q352" s="44" t="s">
        <v>309</v>
      </c>
    </row>
    <row r="353" customFormat="false" ht="15" hidden="false" customHeight="false" outlineLevel="0" collapsed="false">
      <c r="A353" s="44" t="n">
        <v>352</v>
      </c>
      <c r="B353" s="45" t="n">
        <v>45472</v>
      </c>
      <c r="C353" s="44" t="n">
        <v>6</v>
      </c>
      <c r="D353" s="44" t="n">
        <v>2024</v>
      </c>
      <c r="E353" s="44" t="n">
        <v>29</v>
      </c>
      <c r="F353" s="44" t="s">
        <v>318</v>
      </c>
      <c r="G353" s="44" t="s">
        <v>449</v>
      </c>
      <c r="H353" s="44" t="s">
        <v>136</v>
      </c>
      <c r="I353" s="44" t="s">
        <v>176</v>
      </c>
      <c r="J353" s="44" t="s">
        <v>191</v>
      </c>
      <c r="K353" s="44" t="n">
        <v>4</v>
      </c>
      <c r="L353" s="46" t="n">
        <v>21.67</v>
      </c>
      <c r="M353" s="47" t="n">
        <v>5.97</v>
      </c>
      <c r="N353" s="46" t="n">
        <v>32.08</v>
      </c>
      <c r="O353" s="44" t="s">
        <v>308</v>
      </c>
      <c r="P353" s="44" t="s">
        <v>309</v>
      </c>
      <c r="Q353" s="44" t="s">
        <v>309</v>
      </c>
    </row>
    <row r="354" customFormat="false" ht="15" hidden="false" customHeight="false" outlineLevel="0" collapsed="false">
      <c r="A354" s="44" t="n">
        <v>353</v>
      </c>
      <c r="B354" s="45" t="n">
        <v>45301</v>
      </c>
      <c r="C354" s="44" t="n">
        <v>1</v>
      </c>
      <c r="D354" s="44" t="n">
        <v>2024</v>
      </c>
      <c r="E354" s="44" t="n">
        <v>10</v>
      </c>
      <c r="F354" s="44" t="s">
        <v>321</v>
      </c>
      <c r="G354" s="44" t="s">
        <v>460</v>
      </c>
      <c r="H354" s="44" t="s">
        <v>135</v>
      </c>
      <c r="I354" s="44" t="s">
        <v>173</v>
      </c>
      <c r="J354" s="44" t="s">
        <v>192</v>
      </c>
      <c r="K354" s="44" t="n">
        <v>2</v>
      </c>
      <c r="L354" s="46" t="n">
        <v>3.83</v>
      </c>
      <c r="M354" s="47" t="n">
        <v>0.09</v>
      </c>
      <c r="N354" s="46" t="n">
        <v>7.65</v>
      </c>
      <c r="O354" s="44" t="s">
        <v>309</v>
      </c>
      <c r="P354" s="44" t="s">
        <v>309</v>
      </c>
      <c r="Q354" s="44" t="s">
        <v>309</v>
      </c>
    </row>
    <row r="355" customFormat="false" ht="15" hidden="false" customHeight="false" outlineLevel="0" collapsed="false">
      <c r="A355" s="44" t="n">
        <v>354</v>
      </c>
      <c r="B355" s="45" t="n">
        <v>45307</v>
      </c>
      <c r="C355" s="44" t="n">
        <v>1</v>
      </c>
      <c r="D355" s="44" t="n">
        <v>2024</v>
      </c>
      <c r="E355" s="44" t="n">
        <v>16</v>
      </c>
      <c r="F355" s="44" t="s">
        <v>310</v>
      </c>
      <c r="G355" s="44" t="s">
        <v>501</v>
      </c>
      <c r="H355" s="44" t="s">
        <v>140</v>
      </c>
      <c r="I355" s="44" t="s">
        <v>174</v>
      </c>
      <c r="J355" s="44" t="s">
        <v>196</v>
      </c>
      <c r="K355" s="44" t="n">
        <v>1</v>
      </c>
      <c r="L355" s="46" t="n">
        <v>11.31</v>
      </c>
      <c r="M355" s="47" t="n">
        <v>1.63</v>
      </c>
      <c r="N355" s="46" t="n">
        <v>62.78</v>
      </c>
      <c r="O355" s="44" t="s">
        <v>308</v>
      </c>
      <c r="P355" s="44" t="s">
        <v>309</v>
      </c>
      <c r="Q355" s="44" t="s">
        <v>309</v>
      </c>
    </row>
    <row r="356" customFormat="false" ht="15" hidden="false" customHeight="false" outlineLevel="0" collapsed="false">
      <c r="A356" s="44" t="n">
        <v>355</v>
      </c>
      <c r="B356" s="45" t="n">
        <v>45483</v>
      </c>
      <c r="C356" s="44" t="n">
        <v>7</v>
      </c>
      <c r="D356" s="44" t="n">
        <v>2024</v>
      </c>
      <c r="E356" s="44" t="n">
        <v>10</v>
      </c>
      <c r="F356" s="44" t="s">
        <v>321</v>
      </c>
      <c r="G356" s="44" t="s">
        <v>483</v>
      </c>
      <c r="H356" s="44" t="s">
        <v>138</v>
      </c>
      <c r="I356" s="44" t="s">
        <v>176</v>
      </c>
      <c r="J356" s="44" t="s">
        <v>200</v>
      </c>
      <c r="K356" s="44" t="n">
        <v>2</v>
      </c>
      <c r="L356" s="46" t="n">
        <v>88.34</v>
      </c>
      <c r="M356" s="47" t="n">
        <v>1.92</v>
      </c>
      <c r="N356" s="46" t="n">
        <v>173.29</v>
      </c>
      <c r="O356" s="44" t="s">
        <v>309</v>
      </c>
      <c r="P356" s="44" t="s">
        <v>309</v>
      </c>
      <c r="Q356" s="44" t="s">
        <v>309</v>
      </c>
    </row>
    <row r="357" customFormat="false" ht="15" hidden="false" customHeight="false" outlineLevel="0" collapsed="false">
      <c r="A357" s="44" t="n">
        <v>356</v>
      </c>
      <c r="B357" s="45" t="n">
        <v>45645</v>
      </c>
      <c r="C357" s="44" t="n">
        <v>12</v>
      </c>
      <c r="D357" s="44" t="n">
        <v>2024</v>
      </c>
      <c r="E357" s="44" t="n">
        <v>19</v>
      </c>
      <c r="F357" s="44" t="s">
        <v>306</v>
      </c>
      <c r="G357" s="44" t="s">
        <v>426</v>
      </c>
      <c r="H357" s="44" t="s">
        <v>134</v>
      </c>
      <c r="I357" s="44" t="s">
        <v>175</v>
      </c>
      <c r="J357" s="44" t="s">
        <v>206</v>
      </c>
      <c r="K357" s="44" t="n">
        <v>1</v>
      </c>
      <c r="L357" s="46" t="n">
        <v>84.9</v>
      </c>
      <c r="M357" s="47" t="n">
        <v>1.48</v>
      </c>
      <c r="N357" s="46" t="n">
        <v>83.64</v>
      </c>
      <c r="O357" s="44" t="s">
        <v>309</v>
      </c>
      <c r="P357" s="44" t="s">
        <v>309</v>
      </c>
      <c r="Q357" s="44" t="s">
        <v>309</v>
      </c>
    </row>
    <row r="358" customFormat="false" ht="15" hidden="false" customHeight="false" outlineLevel="0" collapsed="false">
      <c r="A358" s="44" t="n">
        <v>357</v>
      </c>
      <c r="B358" s="45" t="n">
        <v>45603</v>
      </c>
      <c r="C358" s="44" t="n">
        <v>11</v>
      </c>
      <c r="D358" s="44" t="n">
        <v>2024</v>
      </c>
      <c r="E358" s="44" t="n">
        <v>7</v>
      </c>
      <c r="F358" s="44" t="s">
        <v>306</v>
      </c>
      <c r="G358" s="44" t="s">
        <v>476</v>
      </c>
      <c r="H358" s="44" t="s">
        <v>135</v>
      </c>
      <c r="I358" s="44" t="s">
        <v>176</v>
      </c>
      <c r="J358" s="44" t="s">
        <v>197</v>
      </c>
      <c r="K358" s="44" t="n">
        <v>1</v>
      </c>
      <c r="L358" s="46" t="n">
        <v>143.06</v>
      </c>
      <c r="M358" s="47" t="n">
        <v>0</v>
      </c>
      <c r="N358" s="46" t="n">
        <v>143.06</v>
      </c>
      <c r="O358" s="44" t="s">
        <v>309</v>
      </c>
      <c r="P358" s="44" t="s">
        <v>309</v>
      </c>
      <c r="Q358" s="44" t="s">
        <v>309</v>
      </c>
    </row>
    <row r="359" customFormat="false" ht="15" hidden="false" customHeight="false" outlineLevel="0" collapsed="false">
      <c r="A359" s="44" t="n">
        <v>358</v>
      </c>
      <c r="B359" s="45" t="n">
        <v>45318</v>
      </c>
      <c r="C359" s="44" t="n">
        <v>1</v>
      </c>
      <c r="D359" s="44" t="n">
        <v>2024</v>
      </c>
      <c r="E359" s="44" t="n">
        <v>27</v>
      </c>
      <c r="F359" s="44" t="s">
        <v>318</v>
      </c>
      <c r="G359" s="44" t="s">
        <v>382</v>
      </c>
      <c r="H359" s="44" t="s">
        <v>140</v>
      </c>
      <c r="I359" s="44" t="s">
        <v>172</v>
      </c>
      <c r="J359" s="44" t="s">
        <v>199</v>
      </c>
      <c r="K359" s="44" t="n">
        <v>8</v>
      </c>
      <c r="L359" s="46" t="n">
        <v>25.76</v>
      </c>
      <c r="M359" s="47" t="n">
        <v>11.07</v>
      </c>
      <c r="N359" s="46" t="n">
        <v>183.27</v>
      </c>
      <c r="O359" s="44" t="s">
        <v>309</v>
      </c>
      <c r="P359" s="44" t="s">
        <v>309</v>
      </c>
      <c r="Q359" s="44" t="s">
        <v>309</v>
      </c>
    </row>
    <row r="360" customFormat="false" ht="15" hidden="false" customHeight="false" outlineLevel="0" collapsed="false">
      <c r="A360" s="44" t="n">
        <v>359</v>
      </c>
      <c r="B360" s="45" t="n">
        <v>45427</v>
      </c>
      <c r="C360" s="44" t="n">
        <v>5</v>
      </c>
      <c r="D360" s="44" t="n">
        <v>2024</v>
      </c>
      <c r="E360" s="44" t="n">
        <v>15</v>
      </c>
      <c r="F360" s="44" t="s">
        <v>321</v>
      </c>
      <c r="G360" s="44" t="s">
        <v>399</v>
      </c>
      <c r="H360" s="44" t="s">
        <v>135</v>
      </c>
      <c r="I360" s="44" t="s">
        <v>173</v>
      </c>
      <c r="J360" s="44" t="s">
        <v>206</v>
      </c>
      <c r="K360" s="44" t="n">
        <v>3</v>
      </c>
      <c r="L360" s="46" t="n">
        <v>38.63</v>
      </c>
      <c r="M360" s="47" t="n">
        <v>2.25</v>
      </c>
      <c r="N360" s="46" t="n">
        <v>113.28</v>
      </c>
      <c r="O360" s="44" t="s">
        <v>309</v>
      </c>
      <c r="P360" s="44" t="s">
        <v>309</v>
      </c>
      <c r="Q360" s="44" t="s">
        <v>309</v>
      </c>
    </row>
    <row r="361" customFormat="false" ht="15" hidden="false" customHeight="false" outlineLevel="0" collapsed="false">
      <c r="A361" s="44" t="n">
        <v>360</v>
      </c>
      <c r="B361" s="45" t="n">
        <v>45528</v>
      </c>
      <c r="C361" s="44" t="n">
        <v>8</v>
      </c>
      <c r="D361" s="44" t="n">
        <v>2024</v>
      </c>
      <c r="E361" s="44" t="n">
        <v>24</v>
      </c>
      <c r="F361" s="44" t="s">
        <v>318</v>
      </c>
      <c r="G361" s="44" t="s">
        <v>514</v>
      </c>
      <c r="H361" s="44" t="s">
        <v>136</v>
      </c>
      <c r="I361" s="44" t="s">
        <v>174</v>
      </c>
      <c r="J361" s="44" t="s">
        <v>204</v>
      </c>
      <c r="K361" s="44" t="n">
        <v>1</v>
      </c>
      <c r="L361" s="46" t="n">
        <v>15.99</v>
      </c>
      <c r="M361" s="47" t="n">
        <v>0</v>
      </c>
      <c r="N361" s="46" t="n">
        <v>15.99</v>
      </c>
      <c r="O361" s="44" t="s">
        <v>309</v>
      </c>
      <c r="P361" s="44" t="s">
        <v>309</v>
      </c>
      <c r="Q361" s="44" t="s">
        <v>309</v>
      </c>
    </row>
    <row r="362" customFormat="false" ht="15" hidden="false" customHeight="false" outlineLevel="0" collapsed="false">
      <c r="A362" s="44" t="n">
        <v>361</v>
      </c>
      <c r="B362" s="45" t="n">
        <v>45381</v>
      </c>
      <c r="C362" s="44" t="n">
        <v>3</v>
      </c>
      <c r="D362" s="44" t="n">
        <v>2024</v>
      </c>
      <c r="E362" s="44" t="n">
        <v>30</v>
      </c>
      <c r="F362" s="44" t="s">
        <v>318</v>
      </c>
      <c r="G362" s="44" t="s">
        <v>515</v>
      </c>
      <c r="H362" s="44" t="s">
        <v>136</v>
      </c>
      <c r="I362" s="44" t="s">
        <v>176</v>
      </c>
      <c r="J362" s="44" t="s">
        <v>206</v>
      </c>
      <c r="K362" s="44" t="n">
        <v>2</v>
      </c>
      <c r="L362" s="46" t="n">
        <v>21.48</v>
      </c>
      <c r="M362" s="47" t="n">
        <v>1.1</v>
      </c>
      <c r="N362" s="46" t="n">
        <v>42.49</v>
      </c>
      <c r="O362" s="44" t="s">
        <v>309</v>
      </c>
      <c r="P362" s="44" t="s">
        <v>309</v>
      </c>
      <c r="Q362" s="44" t="s">
        <v>309</v>
      </c>
    </row>
    <row r="363" customFormat="false" ht="15" hidden="false" customHeight="false" outlineLevel="0" collapsed="false">
      <c r="A363" s="44" t="n">
        <v>362</v>
      </c>
      <c r="B363" s="45" t="n">
        <v>45408</v>
      </c>
      <c r="C363" s="44" t="n">
        <v>4</v>
      </c>
      <c r="D363" s="44" t="n">
        <v>2024</v>
      </c>
      <c r="E363" s="44" t="n">
        <v>26</v>
      </c>
      <c r="F363" s="44" t="s">
        <v>325</v>
      </c>
      <c r="G363" s="44" t="s">
        <v>356</v>
      </c>
      <c r="H363" s="44" t="s">
        <v>140</v>
      </c>
      <c r="I363" s="44" t="s">
        <v>176</v>
      </c>
      <c r="J363" s="44" t="s">
        <v>206</v>
      </c>
      <c r="K363" s="44" t="n">
        <v>4</v>
      </c>
      <c r="L363" s="46" t="n">
        <v>2.04</v>
      </c>
      <c r="M363" s="47" t="n">
        <v>5.27</v>
      </c>
      <c r="N363" s="46" t="n">
        <v>7.73</v>
      </c>
      <c r="O363" s="44" t="s">
        <v>309</v>
      </c>
      <c r="P363" s="44" t="s">
        <v>317</v>
      </c>
      <c r="Q363" s="44" t="s">
        <v>309</v>
      </c>
    </row>
    <row r="364" customFormat="false" ht="15" hidden="false" customHeight="false" outlineLevel="0" collapsed="false">
      <c r="A364" s="44" t="n">
        <v>363</v>
      </c>
      <c r="B364" s="45" t="n">
        <v>45515</v>
      </c>
      <c r="C364" s="44" t="n">
        <v>8</v>
      </c>
      <c r="D364" s="44" t="n">
        <v>2024</v>
      </c>
      <c r="E364" s="44" t="n">
        <v>11</v>
      </c>
      <c r="F364" s="44" t="s">
        <v>312</v>
      </c>
      <c r="G364" s="44" t="s">
        <v>326</v>
      </c>
      <c r="H364" s="44" t="s">
        <v>135</v>
      </c>
      <c r="I364" s="44" t="s">
        <v>172</v>
      </c>
      <c r="J364" s="44" t="s">
        <v>201</v>
      </c>
      <c r="K364" s="44" t="n">
        <v>2</v>
      </c>
      <c r="L364" s="46" t="n">
        <v>101.7</v>
      </c>
      <c r="M364" s="47" t="n">
        <v>1.36</v>
      </c>
      <c r="N364" s="46" t="n">
        <v>200.63</v>
      </c>
      <c r="O364" s="44" t="s">
        <v>309</v>
      </c>
      <c r="P364" s="44" t="s">
        <v>309</v>
      </c>
      <c r="Q364" s="44" t="s">
        <v>309</v>
      </c>
    </row>
    <row r="365" customFormat="false" ht="15" hidden="false" customHeight="false" outlineLevel="0" collapsed="false">
      <c r="A365" s="44" t="n">
        <v>364</v>
      </c>
      <c r="B365" s="45" t="n">
        <v>45457</v>
      </c>
      <c r="C365" s="44" t="n">
        <v>6</v>
      </c>
      <c r="D365" s="44" t="n">
        <v>2024</v>
      </c>
      <c r="E365" s="44" t="n">
        <v>14</v>
      </c>
      <c r="F365" s="44" t="s">
        <v>325</v>
      </c>
      <c r="G365" s="44" t="s">
        <v>515</v>
      </c>
      <c r="H365" s="44" t="s">
        <v>140</v>
      </c>
      <c r="I365" s="44" t="s">
        <v>175</v>
      </c>
      <c r="J365" s="44" t="s">
        <v>194</v>
      </c>
      <c r="K365" s="44" t="n">
        <v>2</v>
      </c>
      <c r="L365" s="46" t="n">
        <v>11.31</v>
      </c>
      <c r="M365" s="47" t="n">
        <v>1.36</v>
      </c>
      <c r="N365" s="46" t="n">
        <v>39.12</v>
      </c>
      <c r="O365" s="44" t="s">
        <v>308</v>
      </c>
      <c r="P365" s="44" t="s">
        <v>309</v>
      </c>
      <c r="Q365" s="44" t="s">
        <v>309</v>
      </c>
    </row>
    <row r="366" customFormat="false" ht="15" hidden="false" customHeight="false" outlineLevel="0" collapsed="false">
      <c r="A366" s="44" t="n">
        <v>365</v>
      </c>
      <c r="B366" s="45" t="n">
        <v>45485</v>
      </c>
      <c r="C366" s="44" t="n">
        <v>7</v>
      </c>
      <c r="D366" s="44" t="n">
        <v>2024</v>
      </c>
      <c r="E366" s="44" t="n">
        <v>12</v>
      </c>
      <c r="F366" s="44" t="s">
        <v>325</v>
      </c>
      <c r="G366" s="44" t="s">
        <v>363</v>
      </c>
      <c r="H366" s="44" t="s">
        <v>136</v>
      </c>
      <c r="I366" s="44" t="s">
        <v>172</v>
      </c>
      <c r="J366" s="44" t="s">
        <v>195</v>
      </c>
      <c r="K366" s="44" t="n">
        <v>1</v>
      </c>
      <c r="L366" s="46" t="n">
        <v>14.61</v>
      </c>
      <c r="M366" s="47" t="n">
        <v>0</v>
      </c>
      <c r="N366" s="46" t="n">
        <v>14.61</v>
      </c>
      <c r="O366" s="44" t="s">
        <v>309</v>
      </c>
      <c r="P366" s="44" t="s">
        <v>309</v>
      </c>
      <c r="Q366" s="44" t="s">
        <v>309</v>
      </c>
    </row>
    <row r="367" customFormat="false" ht="15" hidden="false" customHeight="false" outlineLevel="0" collapsed="false">
      <c r="A367" s="44" t="n">
        <v>366</v>
      </c>
      <c r="B367" s="45" t="n">
        <v>45364</v>
      </c>
      <c r="C367" s="44" t="n">
        <v>3</v>
      </c>
      <c r="D367" s="44" t="n">
        <v>2024</v>
      </c>
      <c r="E367" s="44" t="n">
        <v>13</v>
      </c>
      <c r="F367" s="44" t="s">
        <v>321</v>
      </c>
      <c r="G367" s="44" t="s">
        <v>377</v>
      </c>
      <c r="H367" s="44" t="s">
        <v>135</v>
      </c>
      <c r="I367" s="44" t="s">
        <v>172</v>
      </c>
      <c r="J367" s="44" t="s">
        <v>198</v>
      </c>
      <c r="K367" s="44" t="n">
        <v>1</v>
      </c>
      <c r="L367" s="46" t="n">
        <v>131.81</v>
      </c>
      <c r="M367" s="47" t="n">
        <v>0.8</v>
      </c>
      <c r="N367" s="46" t="n">
        <v>130.76</v>
      </c>
      <c r="O367" s="44" t="s">
        <v>309</v>
      </c>
      <c r="P367" s="44" t="s">
        <v>309</v>
      </c>
      <c r="Q367" s="44" t="s">
        <v>309</v>
      </c>
    </row>
    <row r="368" customFormat="false" ht="15" hidden="false" customHeight="false" outlineLevel="0" collapsed="false">
      <c r="A368" s="44" t="n">
        <v>367</v>
      </c>
      <c r="B368" s="45" t="n">
        <v>45639</v>
      </c>
      <c r="C368" s="44" t="n">
        <v>12</v>
      </c>
      <c r="D368" s="44" t="n">
        <v>2024</v>
      </c>
      <c r="E368" s="44" t="n">
        <v>13</v>
      </c>
      <c r="F368" s="44" t="s">
        <v>325</v>
      </c>
      <c r="G368" s="44" t="s">
        <v>432</v>
      </c>
      <c r="H368" s="44" t="s">
        <v>134</v>
      </c>
      <c r="I368" s="44" t="s">
        <v>172</v>
      </c>
      <c r="J368" s="44" t="s">
        <v>195</v>
      </c>
      <c r="K368" s="44" t="n">
        <v>1</v>
      </c>
      <c r="L368" s="46" t="n">
        <v>18.27</v>
      </c>
      <c r="M368" s="47" t="n">
        <v>1.15</v>
      </c>
      <c r="N368" s="46" t="n">
        <v>18.06</v>
      </c>
      <c r="O368" s="44" t="s">
        <v>309</v>
      </c>
      <c r="P368" s="44" t="s">
        <v>309</v>
      </c>
      <c r="Q368" s="44" t="s">
        <v>309</v>
      </c>
    </row>
    <row r="369" customFormat="false" ht="15" hidden="false" customHeight="false" outlineLevel="0" collapsed="false">
      <c r="A369" s="44" t="n">
        <v>368</v>
      </c>
      <c r="B369" s="45" t="n">
        <v>45306</v>
      </c>
      <c r="C369" s="44" t="n">
        <v>1</v>
      </c>
      <c r="D369" s="44" t="n">
        <v>2024</v>
      </c>
      <c r="E369" s="44" t="n">
        <v>15</v>
      </c>
      <c r="F369" s="44" t="s">
        <v>328</v>
      </c>
      <c r="G369" s="44" t="s">
        <v>413</v>
      </c>
      <c r="H369" s="44" t="s">
        <v>135</v>
      </c>
      <c r="I369" s="44" t="s">
        <v>173</v>
      </c>
      <c r="J369" s="44" t="s">
        <v>206</v>
      </c>
      <c r="K369" s="44" t="n">
        <v>3</v>
      </c>
      <c r="L369" s="46" t="n">
        <v>7.98</v>
      </c>
      <c r="M369" s="47" t="n">
        <v>3.26</v>
      </c>
      <c r="N369" s="46" t="n">
        <v>23.16</v>
      </c>
      <c r="O369" s="44" t="s">
        <v>309</v>
      </c>
      <c r="P369" s="44" t="s">
        <v>309</v>
      </c>
      <c r="Q369" s="44" t="s">
        <v>309</v>
      </c>
    </row>
    <row r="370" customFormat="false" ht="15" hidden="false" customHeight="false" outlineLevel="0" collapsed="false">
      <c r="A370" s="44" t="n">
        <v>369</v>
      </c>
      <c r="B370" s="45" t="n">
        <v>45523</v>
      </c>
      <c r="C370" s="44" t="n">
        <v>8</v>
      </c>
      <c r="D370" s="44" t="n">
        <v>2024</v>
      </c>
      <c r="E370" s="44" t="n">
        <v>19</v>
      </c>
      <c r="F370" s="44" t="s">
        <v>328</v>
      </c>
      <c r="G370" s="44" t="s">
        <v>498</v>
      </c>
      <c r="H370" s="44" t="s">
        <v>134</v>
      </c>
      <c r="I370" s="44" t="s">
        <v>175</v>
      </c>
      <c r="J370" s="44" t="s">
        <v>191</v>
      </c>
      <c r="K370" s="44" t="n">
        <v>2</v>
      </c>
      <c r="L370" s="46" t="n">
        <v>4.13</v>
      </c>
      <c r="M370" s="47" t="n">
        <v>3.15</v>
      </c>
      <c r="N370" s="46" t="n">
        <v>8</v>
      </c>
      <c r="O370" s="44" t="s">
        <v>309</v>
      </c>
      <c r="P370" s="44" t="s">
        <v>309</v>
      </c>
      <c r="Q370" s="44" t="s">
        <v>309</v>
      </c>
    </row>
    <row r="371" customFormat="false" ht="15" hidden="false" customHeight="false" outlineLevel="0" collapsed="false">
      <c r="A371" s="44" t="n">
        <v>370</v>
      </c>
      <c r="B371" s="45" t="n">
        <v>45608</v>
      </c>
      <c r="C371" s="44" t="n">
        <v>11</v>
      </c>
      <c r="D371" s="44" t="n">
        <v>2024</v>
      </c>
      <c r="E371" s="44" t="n">
        <v>12</v>
      </c>
      <c r="F371" s="44" t="s">
        <v>310</v>
      </c>
      <c r="G371" s="44" t="s">
        <v>348</v>
      </c>
      <c r="H371" s="44" t="s">
        <v>136</v>
      </c>
      <c r="I371" s="44" t="s">
        <v>175</v>
      </c>
      <c r="J371" s="44" t="s">
        <v>200</v>
      </c>
      <c r="K371" s="44" t="n">
        <v>4</v>
      </c>
      <c r="L371" s="46" t="n">
        <v>5.43</v>
      </c>
      <c r="M371" s="47" t="n">
        <v>5.45</v>
      </c>
      <c r="N371" s="46" t="n">
        <v>20.54</v>
      </c>
      <c r="O371" s="44" t="s">
        <v>309</v>
      </c>
      <c r="P371" s="44" t="s">
        <v>309</v>
      </c>
      <c r="Q371" s="44" t="s">
        <v>309</v>
      </c>
    </row>
    <row r="372" customFormat="false" ht="15" hidden="false" customHeight="false" outlineLevel="0" collapsed="false">
      <c r="A372" s="44" t="n">
        <v>371</v>
      </c>
      <c r="B372" s="45" t="n">
        <v>45657</v>
      </c>
      <c r="C372" s="44" t="n">
        <v>12</v>
      </c>
      <c r="D372" s="44" t="n">
        <v>2024</v>
      </c>
      <c r="E372" s="44" t="n">
        <v>31</v>
      </c>
      <c r="F372" s="44" t="s">
        <v>310</v>
      </c>
      <c r="G372" s="44" t="s">
        <v>516</v>
      </c>
      <c r="H372" s="44" t="s">
        <v>135</v>
      </c>
      <c r="I372" s="44" t="s">
        <v>173</v>
      </c>
      <c r="J372" s="44" t="s">
        <v>200</v>
      </c>
      <c r="K372" s="44" t="n">
        <v>2</v>
      </c>
      <c r="L372" s="46" t="n">
        <v>86.73</v>
      </c>
      <c r="M372" s="47" t="n">
        <v>1.18</v>
      </c>
      <c r="N372" s="46" t="n">
        <v>171.41</v>
      </c>
      <c r="O372" s="44" t="s">
        <v>309</v>
      </c>
      <c r="P372" s="44" t="s">
        <v>309</v>
      </c>
      <c r="Q372" s="44" t="s">
        <v>309</v>
      </c>
    </row>
    <row r="373" customFormat="false" ht="15" hidden="false" customHeight="false" outlineLevel="0" collapsed="false">
      <c r="A373" s="44" t="n">
        <v>372</v>
      </c>
      <c r="B373" s="45" t="n">
        <v>45458</v>
      </c>
      <c r="C373" s="44" t="n">
        <v>6</v>
      </c>
      <c r="D373" s="44" t="n">
        <v>2024</v>
      </c>
      <c r="E373" s="44" t="n">
        <v>15</v>
      </c>
      <c r="F373" s="44" t="s">
        <v>318</v>
      </c>
      <c r="G373" s="44" t="s">
        <v>322</v>
      </c>
      <c r="H373" s="44" t="s">
        <v>139</v>
      </c>
      <c r="I373" s="44" t="s">
        <v>172</v>
      </c>
      <c r="J373" s="44" t="s">
        <v>201</v>
      </c>
      <c r="K373" s="44" t="n">
        <v>1</v>
      </c>
      <c r="L373" s="46" t="n">
        <v>46.65</v>
      </c>
      <c r="M373" s="47" t="n">
        <v>0</v>
      </c>
      <c r="N373" s="46" t="n">
        <v>46.65</v>
      </c>
      <c r="O373" s="44" t="s">
        <v>309</v>
      </c>
      <c r="P373" s="44" t="s">
        <v>317</v>
      </c>
      <c r="Q373" s="44" t="s">
        <v>309</v>
      </c>
    </row>
    <row r="374" customFormat="false" ht="15" hidden="false" customHeight="false" outlineLevel="0" collapsed="false">
      <c r="A374" s="44" t="n">
        <v>373</v>
      </c>
      <c r="B374" s="45" t="n">
        <v>45416</v>
      </c>
      <c r="C374" s="44" t="n">
        <v>5</v>
      </c>
      <c r="D374" s="44" t="n">
        <v>2024</v>
      </c>
      <c r="E374" s="44" t="n">
        <v>4</v>
      </c>
      <c r="F374" s="44" t="s">
        <v>318</v>
      </c>
      <c r="G374" s="44" t="s">
        <v>373</v>
      </c>
      <c r="H374" s="44" t="s">
        <v>140</v>
      </c>
      <c r="I374" s="44" t="s">
        <v>172</v>
      </c>
      <c r="J374" s="44" t="s">
        <v>206</v>
      </c>
      <c r="K374" s="44" t="n">
        <v>1</v>
      </c>
      <c r="L374" s="46" t="n">
        <v>32.97</v>
      </c>
      <c r="M374" s="47" t="n">
        <v>0.12</v>
      </c>
      <c r="N374" s="46" t="n">
        <v>32.93</v>
      </c>
      <c r="O374" s="44" t="s">
        <v>309</v>
      </c>
      <c r="P374" s="44" t="s">
        <v>309</v>
      </c>
      <c r="Q374" s="44" t="s">
        <v>309</v>
      </c>
    </row>
    <row r="375" customFormat="false" ht="15" hidden="false" customHeight="false" outlineLevel="0" collapsed="false">
      <c r="A375" s="44" t="n">
        <v>374</v>
      </c>
      <c r="B375" s="45" t="n">
        <v>45367</v>
      </c>
      <c r="C375" s="44" t="n">
        <v>3</v>
      </c>
      <c r="D375" s="44" t="n">
        <v>2024</v>
      </c>
      <c r="E375" s="44" t="n">
        <v>16</v>
      </c>
      <c r="F375" s="44" t="s">
        <v>318</v>
      </c>
      <c r="G375" s="44" t="s">
        <v>479</v>
      </c>
      <c r="H375" s="44" t="s">
        <v>134</v>
      </c>
      <c r="I375" s="44" t="s">
        <v>172</v>
      </c>
      <c r="J375" s="44" t="s">
        <v>191</v>
      </c>
      <c r="K375" s="44" t="n">
        <v>1</v>
      </c>
      <c r="L375" s="46" t="n">
        <v>3.02</v>
      </c>
      <c r="M375" s="47" t="n">
        <v>0.83</v>
      </c>
      <c r="N375" s="46" t="n">
        <v>2.99</v>
      </c>
      <c r="O375" s="44" t="s">
        <v>309</v>
      </c>
      <c r="P375" s="44" t="s">
        <v>309</v>
      </c>
      <c r="Q375" s="44" t="s">
        <v>309</v>
      </c>
    </row>
    <row r="376" customFormat="false" ht="15" hidden="false" customHeight="false" outlineLevel="0" collapsed="false">
      <c r="A376" s="44" t="n">
        <v>375</v>
      </c>
      <c r="B376" s="45" t="n">
        <v>45588</v>
      </c>
      <c r="C376" s="44" t="n">
        <v>10</v>
      </c>
      <c r="D376" s="44" t="n">
        <v>2024</v>
      </c>
      <c r="E376" s="44" t="n">
        <v>23</v>
      </c>
      <c r="F376" s="44" t="s">
        <v>321</v>
      </c>
      <c r="G376" s="44" t="s">
        <v>407</v>
      </c>
      <c r="H376" s="44" t="s">
        <v>139</v>
      </c>
      <c r="I376" s="44" t="s">
        <v>172</v>
      </c>
      <c r="J376" s="44" t="s">
        <v>206</v>
      </c>
      <c r="K376" s="44" t="n">
        <v>4</v>
      </c>
      <c r="L376" s="46" t="n">
        <v>53.12</v>
      </c>
      <c r="M376" s="47" t="n">
        <v>4.03</v>
      </c>
      <c r="N376" s="46" t="n">
        <v>203.92</v>
      </c>
      <c r="O376" s="44" t="s">
        <v>309</v>
      </c>
      <c r="P376" s="44" t="s">
        <v>309</v>
      </c>
      <c r="Q376" s="44" t="s">
        <v>309</v>
      </c>
    </row>
    <row r="377" customFormat="false" ht="15" hidden="false" customHeight="false" outlineLevel="0" collapsed="false">
      <c r="A377" s="44" t="n">
        <v>376</v>
      </c>
      <c r="B377" s="45" t="n">
        <v>45336</v>
      </c>
      <c r="C377" s="44" t="n">
        <v>2</v>
      </c>
      <c r="D377" s="44" t="n">
        <v>2024</v>
      </c>
      <c r="E377" s="44" t="n">
        <v>14</v>
      </c>
      <c r="F377" s="44" t="s">
        <v>321</v>
      </c>
      <c r="G377" s="44" t="s">
        <v>496</v>
      </c>
      <c r="H377" s="44" t="s">
        <v>136</v>
      </c>
      <c r="I377" s="44" t="s">
        <v>173</v>
      </c>
      <c r="J377" s="44" t="s">
        <v>206</v>
      </c>
      <c r="K377" s="44" t="n">
        <v>3</v>
      </c>
      <c r="L377" s="46" t="n">
        <v>16.55</v>
      </c>
      <c r="M377" s="47" t="n">
        <v>2.37</v>
      </c>
      <c r="N377" s="46" t="n">
        <v>48.47</v>
      </c>
      <c r="O377" s="44" t="s">
        <v>309</v>
      </c>
      <c r="P377" s="44" t="s">
        <v>309</v>
      </c>
      <c r="Q377" s="44" t="s">
        <v>309</v>
      </c>
    </row>
    <row r="378" customFormat="false" ht="15" hidden="false" customHeight="false" outlineLevel="0" collapsed="false">
      <c r="A378" s="44" t="n">
        <v>377</v>
      </c>
      <c r="B378" s="45" t="n">
        <v>45313</v>
      </c>
      <c r="C378" s="44" t="n">
        <v>1</v>
      </c>
      <c r="D378" s="44" t="n">
        <v>2024</v>
      </c>
      <c r="E378" s="44" t="n">
        <v>22</v>
      </c>
      <c r="F378" s="44" t="s">
        <v>328</v>
      </c>
      <c r="G378" s="44" t="s">
        <v>487</v>
      </c>
      <c r="H378" s="44" t="s">
        <v>137</v>
      </c>
      <c r="I378" s="44" t="s">
        <v>174</v>
      </c>
      <c r="J378" s="44" t="s">
        <v>192</v>
      </c>
      <c r="K378" s="44" t="n">
        <v>4</v>
      </c>
      <c r="L378" s="46" t="n">
        <v>28.2</v>
      </c>
      <c r="M378" s="47" t="n">
        <v>6.3</v>
      </c>
      <c r="N378" s="46" t="n">
        <v>32.65</v>
      </c>
      <c r="O378" s="44" t="s">
        <v>308</v>
      </c>
      <c r="P378" s="44" t="s">
        <v>309</v>
      </c>
      <c r="Q378" s="44" t="s">
        <v>309</v>
      </c>
    </row>
    <row r="379" customFormat="false" ht="15" hidden="false" customHeight="false" outlineLevel="0" collapsed="false">
      <c r="A379" s="44" t="n">
        <v>378</v>
      </c>
      <c r="B379" s="45" t="n">
        <v>45376</v>
      </c>
      <c r="C379" s="44" t="n">
        <v>3</v>
      </c>
      <c r="D379" s="44" t="n">
        <v>2024</v>
      </c>
      <c r="E379" s="44" t="n">
        <v>25</v>
      </c>
      <c r="F379" s="44" t="s">
        <v>328</v>
      </c>
      <c r="G379" s="44" t="s">
        <v>464</v>
      </c>
      <c r="H379" s="44" t="s">
        <v>134</v>
      </c>
      <c r="I379" s="44" t="s">
        <v>176</v>
      </c>
      <c r="J379" s="44" t="s">
        <v>193</v>
      </c>
      <c r="K379" s="44" t="n">
        <v>2</v>
      </c>
      <c r="L379" s="46" t="n">
        <v>122.36</v>
      </c>
      <c r="M379" s="47" t="n">
        <v>0.84</v>
      </c>
      <c r="N379" s="46" t="n">
        <v>242.66</v>
      </c>
      <c r="O379" s="44" t="s">
        <v>309</v>
      </c>
      <c r="P379" s="44" t="s">
        <v>309</v>
      </c>
      <c r="Q379" s="44" t="s">
        <v>309</v>
      </c>
    </row>
    <row r="380" customFormat="false" ht="15" hidden="false" customHeight="false" outlineLevel="0" collapsed="false">
      <c r="A380" s="44" t="n">
        <v>379</v>
      </c>
      <c r="B380" s="45" t="n">
        <v>45386</v>
      </c>
      <c r="C380" s="44" t="n">
        <v>4</v>
      </c>
      <c r="D380" s="44" t="n">
        <v>2024</v>
      </c>
      <c r="E380" s="44" t="n">
        <v>4</v>
      </c>
      <c r="F380" s="44" t="s">
        <v>306</v>
      </c>
      <c r="G380" s="44" t="s">
        <v>409</v>
      </c>
      <c r="H380" s="44" t="s">
        <v>139</v>
      </c>
      <c r="I380" s="44" t="s">
        <v>174</v>
      </c>
      <c r="J380" s="44" t="s">
        <v>206</v>
      </c>
      <c r="K380" s="44" t="n">
        <v>2</v>
      </c>
      <c r="L380" s="46" t="n">
        <v>21.42</v>
      </c>
      <c r="M380" s="47" t="n">
        <v>1.01</v>
      </c>
      <c r="N380" s="46" t="n">
        <v>42.41</v>
      </c>
      <c r="O380" s="44" t="s">
        <v>309</v>
      </c>
      <c r="P380" s="44" t="s">
        <v>309</v>
      </c>
      <c r="Q380" s="44" t="s">
        <v>309</v>
      </c>
    </row>
    <row r="381" customFormat="false" ht="15" hidden="false" customHeight="false" outlineLevel="0" collapsed="false">
      <c r="A381" s="44" t="n">
        <v>380</v>
      </c>
      <c r="B381" s="45" t="n">
        <v>45428</v>
      </c>
      <c r="C381" s="44" t="n">
        <v>5</v>
      </c>
      <c r="D381" s="44" t="n">
        <v>2024</v>
      </c>
      <c r="E381" s="44" t="n">
        <v>16</v>
      </c>
      <c r="F381" s="44" t="s">
        <v>306</v>
      </c>
      <c r="G381" s="44" t="s">
        <v>417</v>
      </c>
      <c r="H381" s="44" t="s">
        <v>136</v>
      </c>
      <c r="I381" s="44" t="s">
        <v>174</v>
      </c>
      <c r="J381" s="44" t="s">
        <v>191</v>
      </c>
      <c r="K381" s="44" t="n">
        <v>2</v>
      </c>
      <c r="L381" s="46" t="n">
        <v>25.16</v>
      </c>
      <c r="M381" s="47" t="n">
        <v>1.09</v>
      </c>
      <c r="N381" s="46" t="n">
        <v>49.77</v>
      </c>
      <c r="O381" s="44" t="s">
        <v>309</v>
      </c>
      <c r="P381" s="44" t="s">
        <v>309</v>
      </c>
      <c r="Q381" s="44" t="s">
        <v>309</v>
      </c>
    </row>
    <row r="382" customFormat="false" ht="15" hidden="false" customHeight="false" outlineLevel="0" collapsed="false">
      <c r="A382" s="44" t="n">
        <v>381</v>
      </c>
      <c r="B382" s="45" t="n">
        <v>45301</v>
      </c>
      <c r="C382" s="44" t="n">
        <v>1</v>
      </c>
      <c r="D382" s="44" t="n">
        <v>2024</v>
      </c>
      <c r="E382" s="44" t="n">
        <v>10</v>
      </c>
      <c r="F382" s="44" t="s">
        <v>321</v>
      </c>
      <c r="G382" s="44" t="s">
        <v>348</v>
      </c>
      <c r="H382" s="44" t="s">
        <v>140</v>
      </c>
      <c r="I382" s="44" t="s">
        <v>174</v>
      </c>
      <c r="J382" s="44" t="s">
        <v>197</v>
      </c>
      <c r="K382" s="44" t="n">
        <v>1</v>
      </c>
      <c r="L382" s="46" t="n">
        <v>11.31</v>
      </c>
      <c r="M382" s="47" t="n">
        <v>0</v>
      </c>
      <c r="N382" s="46" t="n">
        <v>2.54</v>
      </c>
      <c r="O382" s="44" t="s">
        <v>308</v>
      </c>
      <c r="P382" s="44" t="s">
        <v>309</v>
      </c>
      <c r="Q382" s="44" t="s">
        <v>309</v>
      </c>
    </row>
    <row r="383" customFormat="false" ht="15" hidden="false" customHeight="false" outlineLevel="0" collapsed="false">
      <c r="A383" s="44" t="n">
        <v>382</v>
      </c>
      <c r="B383" s="45" t="n">
        <v>45633</v>
      </c>
      <c r="C383" s="44" t="n">
        <v>12</v>
      </c>
      <c r="D383" s="44" t="n">
        <v>2024</v>
      </c>
      <c r="E383" s="44" t="n">
        <v>7</v>
      </c>
      <c r="F383" s="44" t="s">
        <v>318</v>
      </c>
      <c r="G383" s="44" t="s">
        <v>391</v>
      </c>
      <c r="H383" s="44" t="s">
        <v>138</v>
      </c>
      <c r="I383" s="44" t="s">
        <v>176</v>
      </c>
      <c r="J383" s="44" t="s">
        <v>206</v>
      </c>
      <c r="K383" s="44" t="n">
        <v>1</v>
      </c>
      <c r="L383" s="46" t="n">
        <v>26.69</v>
      </c>
      <c r="M383" s="47" t="n">
        <v>0</v>
      </c>
      <c r="N383" s="46" t="n">
        <v>115.08</v>
      </c>
      <c r="O383" s="44" t="s">
        <v>308</v>
      </c>
      <c r="P383" s="44" t="s">
        <v>309</v>
      </c>
      <c r="Q383" s="44" t="s">
        <v>309</v>
      </c>
    </row>
    <row r="384" customFormat="false" ht="15" hidden="false" customHeight="false" outlineLevel="0" collapsed="false">
      <c r="A384" s="44" t="n">
        <v>383</v>
      </c>
      <c r="B384" s="45" t="n">
        <v>45435</v>
      </c>
      <c r="C384" s="44" t="n">
        <v>5</v>
      </c>
      <c r="D384" s="44" t="n">
        <v>2024</v>
      </c>
      <c r="E384" s="44" t="n">
        <v>23</v>
      </c>
      <c r="F384" s="44" t="s">
        <v>306</v>
      </c>
      <c r="G384" s="44" t="s">
        <v>517</v>
      </c>
      <c r="H384" s="44" t="s">
        <v>136</v>
      </c>
      <c r="I384" s="44" t="s">
        <v>176</v>
      </c>
      <c r="J384" s="44" t="s">
        <v>191</v>
      </c>
      <c r="K384" s="44" t="n">
        <v>1</v>
      </c>
      <c r="L384" s="46" t="n">
        <v>58.93</v>
      </c>
      <c r="M384" s="47" t="n">
        <v>0</v>
      </c>
      <c r="N384" s="46" t="n">
        <v>58.93</v>
      </c>
      <c r="O384" s="44" t="s">
        <v>309</v>
      </c>
      <c r="P384" s="44" t="s">
        <v>317</v>
      </c>
      <c r="Q384" s="44" t="s">
        <v>309</v>
      </c>
    </row>
    <row r="385" customFormat="false" ht="15" hidden="false" customHeight="false" outlineLevel="0" collapsed="false">
      <c r="A385" s="44" t="n">
        <v>384</v>
      </c>
      <c r="B385" s="45" t="n">
        <v>45301</v>
      </c>
      <c r="C385" s="44" t="n">
        <v>1</v>
      </c>
      <c r="D385" s="44" t="n">
        <v>2024</v>
      </c>
      <c r="E385" s="44" t="n">
        <v>10</v>
      </c>
      <c r="F385" s="44" t="s">
        <v>321</v>
      </c>
      <c r="G385" s="44" t="s">
        <v>518</v>
      </c>
      <c r="H385" s="44" t="s">
        <v>138</v>
      </c>
      <c r="I385" s="44" t="s">
        <v>172</v>
      </c>
      <c r="J385" s="44" t="s">
        <v>200</v>
      </c>
      <c r="K385" s="44" t="n">
        <v>3</v>
      </c>
      <c r="L385" s="46" t="n">
        <v>3.5</v>
      </c>
      <c r="M385" s="47" t="n">
        <v>4.86</v>
      </c>
      <c r="N385" s="46" t="n">
        <v>9.99</v>
      </c>
      <c r="O385" s="44" t="s">
        <v>309</v>
      </c>
      <c r="P385" s="44" t="s">
        <v>309</v>
      </c>
      <c r="Q385" s="44" t="s">
        <v>309</v>
      </c>
    </row>
    <row r="386" customFormat="false" ht="15" hidden="false" customHeight="false" outlineLevel="0" collapsed="false">
      <c r="A386" s="44" t="n">
        <v>385</v>
      </c>
      <c r="B386" s="45" t="n">
        <v>45594</v>
      </c>
      <c r="C386" s="44" t="n">
        <v>10</v>
      </c>
      <c r="D386" s="44" t="n">
        <v>2024</v>
      </c>
      <c r="E386" s="44" t="n">
        <v>29</v>
      </c>
      <c r="F386" s="44" t="s">
        <v>310</v>
      </c>
      <c r="G386" s="44" t="s">
        <v>437</v>
      </c>
      <c r="H386" s="44" t="s">
        <v>139</v>
      </c>
      <c r="I386" s="44" t="s">
        <v>176</v>
      </c>
      <c r="J386" s="44" t="s">
        <v>200</v>
      </c>
      <c r="K386" s="44" t="n">
        <v>1</v>
      </c>
      <c r="L386" s="46" t="n">
        <v>18.33</v>
      </c>
      <c r="M386" s="47" t="n">
        <v>0.82</v>
      </c>
      <c r="N386" s="46" t="n">
        <v>7.01</v>
      </c>
      <c r="O386" s="44" t="s">
        <v>308</v>
      </c>
      <c r="P386" s="44" t="s">
        <v>309</v>
      </c>
      <c r="Q386" s="44" t="s">
        <v>309</v>
      </c>
    </row>
    <row r="387" customFormat="false" ht="15" hidden="false" customHeight="false" outlineLevel="0" collapsed="false">
      <c r="A387" s="44" t="n">
        <v>386</v>
      </c>
      <c r="B387" s="45" t="n">
        <v>45328</v>
      </c>
      <c r="C387" s="44" t="n">
        <v>2</v>
      </c>
      <c r="D387" s="44" t="n">
        <v>2024</v>
      </c>
      <c r="E387" s="44" t="n">
        <v>6</v>
      </c>
      <c r="F387" s="44" t="s">
        <v>310</v>
      </c>
      <c r="G387" s="44" t="s">
        <v>407</v>
      </c>
      <c r="H387" s="44" t="s">
        <v>139</v>
      </c>
      <c r="I387" s="44" t="s">
        <v>172</v>
      </c>
      <c r="J387" s="44" t="s">
        <v>191</v>
      </c>
      <c r="K387" s="44" t="n">
        <v>3</v>
      </c>
      <c r="L387" s="46" t="n">
        <v>1.9</v>
      </c>
      <c r="M387" s="47" t="n">
        <v>4.31</v>
      </c>
      <c r="N387" s="46" t="n">
        <v>5.45</v>
      </c>
      <c r="O387" s="44" t="s">
        <v>309</v>
      </c>
      <c r="P387" s="44" t="s">
        <v>309</v>
      </c>
      <c r="Q387" s="44" t="s">
        <v>309</v>
      </c>
    </row>
    <row r="388" customFormat="false" ht="15" hidden="false" customHeight="false" outlineLevel="0" collapsed="false">
      <c r="A388" s="44" t="n">
        <v>387</v>
      </c>
      <c r="B388" s="45" t="n">
        <v>45433</v>
      </c>
      <c r="C388" s="44" t="n">
        <v>5</v>
      </c>
      <c r="D388" s="44" t="n">
        <v>2024</v>
      </c>
      <c r="E388" s="44" t="n">
        <v>21</v>
      </c>
      <c r="F388" s="44" t="s">
        <v>310</v>
      </c>
      <c r="G388" s="44" t="s">
        <v>519</v>
      </c>
      <c r="H388" s="44" t="s">
        <v>135</v>
      </c>
      <c r="I388" s="44" t="s">
        <v>175</v>
      </c>
      <c r="J388" s="44" t="s">
        <v>206</v>
      </c>
      <c r="K388" s="44" t="n">
        <v>4</v>
      </c>
      <c r="L388" s="46" t="n">
        <v>74.21</v>
      </c>
      <c r="M388" s="47" t="n">
        <v>3.48</v>
      </c>
      <c r="N388" s="46" t="n">
        <v>286.51</v>
      </c>
      <c r="O388" s="44" t="s">
        <v>309</v>
      </c>
      <c r="P388" s="44" t="s">
        <v>309</v>
      </c>
      <c r="Q388" s="44" t="s">
        <v>309</v>
      </c>
    </row>
    <row r="389" customFormat="false" ht="15" hidden="false" customHeight="false" outlineLevel="0" collapsed="false">
      <c r="A389" s="44" t="n">
        <v>388</v>
      </c>
      <c r="B389" s="45" t="n">
        <v>45490</v>
      </c>
      <c r="C389" s="44" t="n">
        <v>7</v>
      </c>
      <c r="D389" s="44" t="n">
        <v>2024</v>
      </c>
      <c r="E389" s="44" t="n">
        <v>17</v>
      </c>
      <c r="F389" s="44" t="s">
        <v>321</v>
      </c>
      <c r="G389" s="44" t="s">
        <v>355</v>
      </c>
      <c r="H389" s="44" t="s">
        <v>139</v>
      </c>
      <c r="I389" s="44" t="s">
        <v>174</v>
      </c>
      <c r="J389" s="44" t="s">
        <v>204</v>
      </c>
      <c r="K389" s="44" t="n">
        <v>2</v>
      </c>
      <c r="L389" s="46" t="n">
        <v>18.33</v>
      </c>
      <c r="M389" s="47" t="n">
        <v>2.85</v>
      </c>
      <c r="N389" s="46" t="n">
        <v>2.97</v>
      </c>
      <c r="O389" s="44" t="s">
        <v>308</v>
      </c>
      <c r="P389" s="44" t="s">
        <v>309</v>
      </c>
      <c r="Q389" s="44" t="s">
        <v>309</v>
      </c>
    </row>
    <row r="390" customFormat="false" ht="15" hidden="false" customHeight="false" outlineLevel="0" collapsed="false">
      <c r="A390" s="44" t="n">
        <v>389</v>
      </c>
      <c r="B390" s="45" t="n">
        <v>45560</v>
      </c>
      <c r="C390" s="44" t="n">
        <v>9</v>
      </c>
      <c r="D390" s="44" t="n">
        <v>2024</v>
      </c>
      <c r="E390" s="44" t="n">
        <v>25</v>
      </c>
      <c r="F390" s="44" t="s">
        <v>321</v>
      </c>
      <c r="G390" s="44" t="s">
        <v>390</v>
      </c>
      <c r="H390" s="44" t="s">
        <v>138</v>
      </c>
      <c r="I390" s="44" t="s">
        <v>174</v>
      </c>
      <c r="J390" s="44" t="s">
        <v>192</v>
      </c>
      <c r="K390" s="44" t="n">
        <v>2</v>
      </c>
      <c r="L390" s="46" t="n">
        <v>3.56</v>
      </c>
      <c r="M390" s="47" t="n">
        <v>3.37</v>
      </c>
      <c r="N390" s="46" t="n">
        <v>6.88</v>
      </c>
      <c r="O390" s="44" t="s">
        <v>309</v>
      </c>
      <c r="P390" s="44" t="s">
        <v>317</v>
      </c>
      <c r="Q390" s="44" t="s">
        <v>309</v>
      </c>
    </row>
    <row r="391" customFormat="false" ht="15" hidden="false" customHeight="false" outlineLevel="0" collapsed="false">
      <c r="A391" s="44" t="n">
        <v>390</v>
      </c>
      <c r="B391" s="45" t="n">
        <v>45357</v>
      </c>
      <c r="C391" s="44" t="n">
        <v>3</v>
      </c>
      <c r="D391" s="44" t="n">
        <v>2024</v>
      </c>
      <c r="E391" s="44" t="n">
        <v>6</v>
      </c>
      <c r="F391" s="44" t="s">
        <v>321</v>
      </c>
      <c r="G391" s="44" t="s">
        <v>354</v>
      </c>
      <c r="H391" s="44" t="s">
        <v>136</v>
      </c>
      <c r="I391" s="44" t="s">
        <v>176</v>
      </c>
      <c r="J391" s="44" t="s">
        <v>199</v>
      </c>
      <c r="K391" s="44" t="n">
        <v>3</v>
      </c>
      <c r="L391" s="46" t="n">
        <v>21.67</v>
      </c>
      <c r="M391" s="47" t="n">
        <v>1.82</v>
      </c>
      <c r="N391" s="46" t="n">
        <v>28.13</v>
      </c>
      <c r="O391" s="44" t="s">
        <v>308</v>
      </c>
      <c r="P391" s="44" t="s">
        <v>309</v>
      </c>
      <c r="Q391" s="44" t="s">
        <v>309</v>
      </c>
    </row>
    <row r="392" customFormat="false" ht="15" hidden="false" customHeight="false" outlineLevel="0" collapsed="false">
      <c r="A392" s="44" t="n">
        <v>391</v>
      </c>
      <c r="B392" s="45" t="n">
        <v>45402</v>
      </c>
      <c r="C392" s="44" t="n">
        <v>4</v>
      </c>
      <c r="D392" s="44" t="n">
        <v>2024</v>
      </c>
      <c r="E392" s="44" t="n">
        <v>20</v>
      </c>
      <c r="F392" s="44" t="s">
        <v>318</v>
      </c>
      <c r="G392" s="44" t="s">
        <v>499</v>
      </c>
      <c r="H392" s="44" t="s">
        <v>138</v>
      </c>
      <c r="I392" s="44" t="s">
        <v>173</v>
      </c>
      <c r="J392" s="44" t="s">
        <v>192</v>
      </c>
      <c r="K392" s="44" t="n">
        <v>2</v>
      </c>
      <c r="L392" s="46" t="n">
        <v>3.67</v>
      </c>
      <c r="M392" s="47" t="n">
        <v>2.7</v>
      </c>
      <c r="N392" s="46" t="n">
        <v>7.14</v>
      </c>
      <c r="O392" s="44" t="s">
        <v>314</v>
      </c>
      <c r="P392" s="44" t="s">
        <v>309</v>
      </c>
      <c r="Q392" s="44" t="s">
        <v>309</v>
      </c>
    </row>
    <row r="393" customFormat="false" ht="15" hidden="false" customHeight="false" outlineLevel="0" collapsed="false">
      <c r="A393" s="44" t="n">
        <v>392</v>
      </c>
      <c r="B393" s="45" t="n">
        <v>45486</v>
      </c>
      <c r="C393" s="44" t="n">
        <v>7</v>
      </c>
      <c r="D393" s="44" t="n">
        <v>2024</v>
      </c>
      <c r="E393" s="44" t="n">
        <v>13</v>
      </c>
      <c r="F393" s="44" t="s">
        <v>318</v>
      </c>
      <c r="G393" s="44" t="s">
        <v>343</v>
      </c>
      <c r="H393" s="44" t="s">
        <v>139</v>
      </c>
      <c r="I393" s="44" t="s">
        <v>173</v>
      </c>
      <c r="J393" s="44" t="s">
        <v>202</v>
      </c>
      <c r="K393" s="44" t="n">
        <v>2</v>
      </c>
      <c r="L393" s="46" t="n">
        <v>18.33</v>
      </c>
      <c r="M393" s="47" t="n">
        <v>2.22</v>
      </c>
      <c r="N393" s="46" t="n">
        <v>6.32</v>
      </c>
      <c r="O393" s="44" t="s">
        <v>308</v>
      </c>
      <c r="P393" s="44" t="s">
        <v>309</v>
      </c>
      <c r="Q393" s="44" t="s">
        <v>309</v>
      </c>
    </row>
    <row r="394" customFormat="false" ht="15" hidden="false" customHeight="false" outlineLevel="0" collapsed="false">
      <c r="A394" s="44" t="n">
        <v>393</v>
      </c>
      <c r="B394" s="45" t="n">
        <v>45475</v>
      </c>
      <c r="C394" s="44" t="n">
        <v>7</v>
      </c>
      <c r="D394" s="44" t="n">
        <v>2024</v>
      </c>
      <c r="E394" s="44" t="n">
        <v>2</v>
      </c>
      <c r="F394" s="44" t="s">
        <v>310</v>
      </c>
      <c r="G394" s="44" t="s">
        <v>465</v>
      </c>
      <c r="H394" s="44" t="s">
        <v>136</v>
      </c>
      <c r="I394" s="44" t="s">
        <v>176</v>
      </c>
      <c r="J394" s="44" t="s">
        <v>199</v>
      </c>
      <c r="K394" s="44" t="n">
        <v>1</v>
      </c>
      <c r="L394" s="46" t="n">
        <v>7.68</v>
      </c>
      <c r="M394" s="47" t="n">
        <v>0.26</v>
      </c>
      <c r="N394" s="46" t="n">
        <v>7.66</v>
      </c>
      <c r="O394" s="44" t="s">
        <v>309</v>
      </c>
      <c r="P394" s="44" t="s">
        <v>317</v>
      </c>
      <c r="Q394" s="44" t="s">
        <v>309</v>
      </c>
    </row>
    <row r="395" customFormat="false" ht="15" hidden="false" customHeight="false" outlineLevel="0" collapsed="false">
      <c r="A395" s="44" t="n">
        <v>394</v>
      </c>
      <c r="B395" s="45" t="n">
        <v>45490</v>
      </c>
      <c r="C395" s="44" t="n">
        <v>7</v>
      </c>
      <c r="D395" s="44" t="n">
        <v>2024</v>
      </c>
      <c r="E395" s="44" t="n">
        <v>17</v>
      </c>
      <c r="F395" s="44" t="s">
        <v>321</v>
      </c>
      <c r="G395" s="44" t="s">
        <v>394</v>
      </c>
      <c r="H395" s="44" t="s">
        <v>136</v>
      </c>
      <c r="I395" s="44" t="s">
        <v>172</v>
      </c>
      <c r="J395" s="44" t="s">
        <v>191</v>
      </c>
      <c r="K395" s="44" t="n">
        <v>1</v>
      </c>
      <c r="L395" s="46" t="n">
        <v>143.52</v>
      </c>
      <c r="M395" s="47" t="n">
        <v>1.62</v>
      </c>
      <c r="N395" s="46" t="n">
        <v>141.19</v>
      </c>
      <c r="O395" s="44" t="s">
        <v>309</v>
      </c>
      <c r="P395" s="44" t="s">
        <v>309</v>
      </c>
      <c r="Q395" s="44" t="s">
        <v>309</v>
      </c>
    </row>
    <row r="396" customFormat="false" ht="15" hidden="false" customHeight="false" outlineLevel="0" collapsed="false">
      <c r="A396" s="44" t="n">
        <v>395</v>
      </c>
      <c r="B396" s="45" t="n">
        <v>45639</v>
      </c>
      <c r="C396" s="44" t="n">
        <v>12</v>
      </c>
      <c r="D396" s="44" t="n">
        <v>2024</v>
      </c>
      <c r="E396" s="44" t="n">
        <v>13</v>
      </c>
      <c r="F396" s="44" t="s">
        <v>325</v>
      </c>
      <c r="G396" s="44" t="s">
        <v>441</v>
      </c>
      <c r="H396" s="44" t="s">
        <v>139</v>
      </c>
      <c r="I396" s="44" t="s">
        <v>173</v>
      </c>
      <c r="J396" s="44" t="s">
        <v>194</v>
      </c>
      <c r="K396" s="44" t="n">
        <v>3</v>
      </c>
      <c r="L396" s="46" t="n">
        <v>3.46</v>
      </c>
      <c r="M396" s="47" t="n">
        <v>4.35</v>
      </c>
      <c r="N396" s="46" t="n">
        <v>9.93</v>
      </c>
      <c r="O396" s="44" t="s">
        <v>309</v>
      </c>
      <c r="P396" s="44" t="s">
        <v>309</v>
      </c>
      <c r="Q396" s="44" t="s">
        <v>309</v>
      </c>
    </row>
    <row r="397" customFormat="false" ht="15" hidden="false" customHeight="false" outlineLevel="0" collapsed="false">
      <c r="A397" s="44" t="n">
        <v>396</v>
      </c>
      <c r="B397" s="45" t="n">
        <v>45418</v>
      </c>
      <c r="C397" s="44" t="n">
        <v>5</v>
      </c>
      <c r="D397" s="44" t="n">
        <v>2024</v>
      </c>
      <c r="E397" s="44" t="n">
        <v>6</v>
      </c>
      <c r="F397" s="44" t="s">
        <v>328</v>
      </c>
      <c r="G397" s="44" t="s">
        <v>520</v>
      </c>
      <c r="H397" s="44" t="s">
        <v>134</v>
      </c>
      <c r="I397" s="44" t="s">
        <v>172</v>
      </c>
      <c r="J397" s="44" t="s">
        <v>192</v>
      </c>
      <c r="K397" s="44" t="n">
        <v>3</v>
      </c>
      <c r="L397" s="46" t="n">
        <v>29.18</v>
      </c>
      <c r="M397" s="47" t="n">
        <v>2.9</v>
      </c>
      <c r="N397" s="46" t="n">
        <v>164</v>
      </c>
      <c r="O397" s="44" t="s">
        <v>308</v>
      </c>
      <c r="P397" s="44" t="s">
        <v>309</v>
      </c>
      <c r="Q397" s="44" t="s">
        <v>309</v>
      </c>
    </row>
    <row r="398" customFormat="false" ht="15" hidden="false" customHeight="false" outlineLevel="0" collapsed="false">
      <c r="A398" s="44" t="n">
        <v>397</v>
      </c>
      <c r="B398" s="45" t="n">
        <v>45475</v>
      </c>
      <c r="C398" s="44" t="n">
        <v>7</v>
      </c>
      <c r="D398" s="44" t="n">
        <v>2024</v>
      </c>
      <c r="E398" s="44" t="n">
        <v>2</v>
      </c>
      <c r="F398" s="44" t="s">
        <v>310</v>
      </c>
      <c r="G398" s="44" t="s">
        <v>394</v>
      </c>
      <c r="H398" s="44" t="s">
        <v>135</v>
      </c>
      <c r="I398" s="44" t="s">
        <v>173</v>
      </c>
      <c r="J398" s="44" t="s">
        <v>206</v>
      </c>
      <c r="K398" s="44" t="n">
        <v>1</v>
      </c>
      <c r="L398" s="46" t="n">
        <v>30.44</v>
      </c>
      <c r="M398" s="47" t="n">
        <v>0</v>
      </c>
      <c r="N398" s="46" t="n">
        <v>37.86</v>
      </c>
      <c r="O398" s="44" t="s">
        <v>308</v>
      </c>
      <c r="P398" s="44" t="s">
        <v>309</v>
      </c>
      <c r="Q398" s="44" t="s">
        <v>309</v>
      </c>
    </row>
    <row r="399" customFormat="false" ht="15" hidden="false" customHeight="false" outlineLevel="0" collapsed="false">
      <c r="A399" s="44" t="n">
        <v>398</v>
      </c>
      <c r="B399" s="45" t="n">
        <v>45312</v>
      </c>
      <c r="C399" s="44" t="n">
        <v>1</v>
      </c>
      <c r="D399" s="44" t="n">
        <v>2024</v>
      </c>
      <c r="E399" s="44" t="n">
        <v>21</v>
      </c>
      <c r="F399" s="44" t="s">
        <v>312</v>
      </c>
      <c r="G399" s="44" t="s">
        <v>521</v>
      </c>
      <c r="H399" s="44" t="s">
        <v>136</v>
      </c>
      <c r="I399" s="44" t="s">
        <v>176</v>
      </c>
      <c r="J399" s="44" t="s">
        <v>191</v>
      </c>
      <c r="K399" s="44" t="n">
        <v>3</v>
      </c>
      <c r="L399" s="46" t="n">
        <v>21.67</v>
      </c>
      <c r="M399" s="47" t="n">
        <v>1.57</v>
      </c>
      <c r="N399" s="46" t="n">
        <v>71.43</v>
      </c>
      <c r="O399" s="44" t="s">
        <v>308</v>
      </c>
      <c r="P399" s="44" t="s">
        <v>309</v>
      </c>
      <c r="Q399" s="44" t="s">
        <v>309</v>
      </c>
    </row>
    <row r="400" customFormat="false" ht="15" hidden="false" customHeight="false" outlineLevel="0" collapsed="false">
      <c r="A400" s="44" t="n">
        <v>399</v>
      </c>
      <c r="B400" s="45" t="n">
        <v>45622</v>
      </c>
      <c r="C400" s="44" t="n">
        <v>11</v>
      </c>
      <c r="D400" s="44" t="n">
        <v>2024</v>
      </c>
      <c r="E400" s="44" t="n">
        <v>26</v>
      </c>
      <c r="F400" s="44" t="s">
        <v>310</v>
      </c>
      <c r="G400" s="44" t="s">
        <v>395</v>
      </c>
      <c r="H400" s="44" t="s">
        <v>136</v>
      </c>
      <c r="I400" s="44" t="s">
        <v>174</v>
      </c>
      <c r="J400" s="44" t="s">
        <v>195</v>
      </c>
      <c r="K400" s="44" t="n">
        <v>2</v>
      </c>
      <c r="L400" s="46" t="n">
        <v>21.67</v>
      </c>
      <c r="M400" s="47" t="n">
        <v>2.09</v>
      </c>
      <c r="N400" s="46" t="n">
        <v>261.28</v>
      </c>
      <c r="O400" s="44" t="s">
        <v>308</v>
      </c>
      <c r="P400" s="44" t="s">
        <v>309</v>
      </c>
      <c r="Q400" s="44" t="s">
        <v>309</v>
      </c>
    </row>
    <row r="401" customFormat="false" ht="15" hidden="false" customHeight="false" outlineLevel="0" collapsed="false">
      <c r="A401" s="44" t="n">
        <v>400</v>
      </c>
      <c r="B401" s="45" t="n">
        <v>45373</v>
      </c>
      <c r="C401" s="44" t="n">
        <v>3</v>
      </c>
      <c r="D401" s="44" t="n">
        <v>2024</v>
      </c>
      <c r="E401" s="44" t="n">
        <v>22</v>
      </c>
      <c r="F401" s="44" t="s">
        <v>325</v>
      </c>
      <c r="G401" s="44" t="s">
        <v>522</v>
      </c>
      <c r="H401" s="44" t="s">
        <v>138</v>
      </c>
      <c r="I401" s="44" t="s">
        <v>173</v>
      </c>
      <c r="J401" s="44" t="s">
        <v>192</v>
      </c>
      <c r="K401" s="44" t="n">
        <v>4</v>
      </c>
      <c r="L401" s="46" t="n">
        <v>5.1</v>
      </c>
      <c r="M401" s="47" t="n">
        <v>3.33</v>
      </c>
      <c r="N401" s="46" t="n">
        <v>19.72</v>
      </c>
      <c r="O401" s="44" t="s">
        <v>309</v>
      </c>
      <c r="P401" s="44" t="s">
        <v>309</v>
      </c>
      <c r="Q401" s="44" t="s">
        <v>309</v>
      </c>
    </row>
    <row r="402" customFormat="false" ht="15" hidden="false" customHeight="false" outlineLevel="0" collapsed="false">
      <c r="A402" s="44" t="n">
        <v>401</v>
      </c>
      <c r="B402" s="45" t="n">
        <v>45415</v>
      </c>
      <c r="C402" s="44" t="n">
        <v>5</v>
      </c>
      <c r="D402" s="44" t="n">
        <v>2024</v>
      </c>
      <c r="E402" s="44" t="n">
        <v>3</v>
      </c>
      <c r="F402" s="44" t="s">
        <v>325</v>
      </c>
      <c r="G402" s="44" t="s">
        <v>451</v>
      </c>
      <c r="H402" s="44" t="s">
        <v>140</v>
      </c>
      <c r="I402" s="44" t="s">
        <v>172</v>
      </c>
      <c r="J402" s="44" t="s">
        <v>206</v>
      </c>
      <c r="K402" s="44" t="n">
        <v>1</v>
      </c>
      <c r="L402" s="46" t="n">
        <v>6.28</v>
      </c>
      <c r="M402" s="47" t="n">
        <v>0</v>
      </c>
      <c r="N402" s="46" t="n">
        <v>6.28</v>
      </c>
      <c r="O402" s="44" t="s">
        <v>309</v>
      </c>
      <c r="P402" s="44" t="s">
        <v>309</v>
      </c>
      <c r="Q402" s="44" t="s">
        <v>309</v>
      </c>
    </row>
    <row r="403" customFormat="false" ht="15" hidden="false" customHeight="false" outlineLevel="0" collapsed="false">
      <c r="A403" s="44" t="n">
        <v>402</v>
      </c>
      <c r="B403" s="45" t="n">
        <v>45295</v>
      </c>
      <c r="C403" s="44" t="n">
        <v>1</v>
      </c>
      <c r="D403" s="44" t="n">
        <v>2024</v>
      </c>
      <c r="E403" s="44" t="n">
        <v>4</v>
      </c>
      <c r="F403" s="44" t="s">
        <v>306</v>
      </c>
      <c r="G403" s="44" t="s">
        <v>494</v>
      </c>
      <c r="H403" s="44" t="s">
        <v>140</v>
      </c>
      <c r="I403" s="44" t="s">
        <v>174</v>
      </c>
      <c r="J403" s="44" t="s">
        <v>206</v>
      </c>
      <c r="K403" s="44" t="n">
        <v>1</v>
      </c>
      <c r="L403" s="46" t="n">
        <v>11.31</v>
      </c>
      <c r="M403" s="47" t="n">
        <v>1.71</v>
      </c>
      <c r="N403" s="46" t="n">
        <v>48.34</v>
      </c>
      <c r="O403" s="44" t="s">
        <v>308</v>
      </c>
      <c r="P403" s="44" t="s">
        <v>309</v>
      </c>
      <c r="Q403" s="44" t="s">
        <v>309</v>
      </c>
    </row>
    <row r="404" customFormat="false" ht="15" hidden="false" customHeight="false" outlineLevel="0" collapsed="false">
      <c r="A404" s="44" t="n">
        <v>403</v>
      </c>
      <c r="B404" s="45" t="n">
        <v>45619</v>
      </c>
      <c r="C404" s="44" t="n">
        <v>11</v>
      </c>
      <c r="D404" s="44" t="n">
        <v>2024</v>
      </c>
      <c r="E404" s="44" t="n">
        <v>23</v>
      </c>
      <c r="F404" s="44" t="s">
        <v>318</v>
      </c>
      <c r="G404" s="44" t="s">
        <v>512</v>
      </c>
      <c r="H404" s="44" t="s">
        <v>134</v>
      </c>
      <c r="I404" s="44" t="s">
        <v>172</v>
      </c>
      <c r="J404" s="44" t="s">
        <v>206</v>
      </c>
      <c r="K404" s="44" t="n">
        <v>1</v>
      </c>
      <c r="L404" s="46" t="n">
        <v>45.08</v>
      </c>
      <c r="M404" s="47" t="n">
        <v>0</v>
      </c>
      <c r="N404" s="46" t="n">
        <v>45.08</v>
      </c>
      <c r="O404" s="44" t="s">
        <v>309</v>
      </c>
      <c r="P404" s="44" t="s">
        <v>309</v>
      </c>
      <c r="Q404" s="44" t="s">
        <v>309</v>
      </c>
    </row>
    <row r="405" customFormat="false" ht="15" hidden="false" customHeight="false" outlineLevel="0" collapsed="false">
      <c r="A405" s="44" t="n">
        <v>404</v>
      </c>
      <c r="B405" s="45" t="n">
        <v>45482</v>
      </c>
      <c r="C405" s="44" t="n">
        <v>7</v>
      </c>
      <c r="D405" s="44" t="n">
        <v>2024</v>
      </c>
      <c r="E405" s="44" t="n">
        <v>9</v>
      </c>
      <c r="F405" s="44" t="s">
        <v>310</v>
      </c>
      <c r="G405" s="44" t="s">
        <v>333</v>
      </c>
      <c r="H405" s="44" t="s">
        <v>140</v>
      </c>
      <c r="I405" s="44" t="s">
        <v>176</v>
      </c>
      <c r="J405" s="44" t="s">
        <v>194</v>
      </c>
      <c r="K405" s="44" t="n">
        <v>4</v>
      </c>
      <c r="L405" s="46" t="n">
        <v>4.04</v>
      </c>
      <c r="M405" s="47" t="n">
        <v>5.25</v>
      </c>
      <c r="N405" s="46" t="n">
        <v>15.31</v>
      </c>
      <c r="O405" s="44" t="s">
        <v>309</v>
      </c>
      <c r="P405" s="44" t="s">
        <v>309</v>
      </c>
      <c r="Q405" s="44" t="s">
        <v>309</v>
      </c>
    </row>
    <row r="406" customFormat="false" ht="15" hidden="false" customHeight="false" outlineLevel="0" collapsed="false">
      <c r="A406" s="44" t="n">
        <v>405</v>
      </c>
      <c r="B406" s="45" t="n">
        <v>45476</v>
      </c>
      <c r="C406" s="44" t="n">
        <v>7</v>
      </c>
      <c r="D406" s="44" t="n">
        <v>2024</v>
      </c>
      <c r="E406" s="44" t="n">
        <v>3</v>
      </c>
      <c r="F406" s="44" t="s">
        <v>321</v>
      </c>
      <c r="G406" s="44" t="s">
        <v>455</v>
      </c>
      <c r="H406" s="44" t="s">
        <v>135</v>
      </c>
      <c r="I406" s="44" t="s">
        <v>176</v>
      </c>
      <c r="J406" s="44" t="s">
        <v>199</v>
      </c>
      <c r="K406" s="44" t="n">
        <v>6</v>
      </c>
      <c r="L406" s="46" t="n">
        <v>11.98</v>
      </c>
      <c r="M406" s="47" t="n">
        <v>8.44</v>
      </c>
      <c r="N406" s="46" t="n">
        <v>65.81</v>
      </c>
      <c r="O406" s="44" t="s">
        <v>309</v>
      </c>
      <c r="P406" s="44" t="s">
        <v>317</v>
      </c>
      <c r="Q406" s="44" t="s">
        <v>309</v>
      </c>
    </row>
    <row r="407" customFormat="false" ht="15" hidden="false" customHeight="false" outlineLevel="0" collapsed="false">
      <c r="A407" s="44" t="n">
        <v>406</v>
      </c>
      <c r="B407" s="45" t="n">
        <v>45605</v>
      </c>
      <c r="C407" s="44" t="n">
        <v>11</v>
      </c>
      <c r="D407" s="44" t="n">
        <v>2024</v>
      </c>
      <c r="E407" s="44" t="n">
        <v>9</v>
      </c>
      <c r="F407" s="44" t="s">
        <v>318</v>
      </c>
      <c r="G407" s="44" t="s">
        <v>354</v>
      </c>
      <c r="H407" s="44" t="s">
        <v>134</v>
      </c>
      <c r="I407" s="44" t="s">
        <v>175</v>
      </c>
      <c r="J407" s="44" t="s">
        <v>206</v>
      </c>
      <c r="K407" s="44" t="n">
        <v>1</v>
      </c>
      <c r="L407" s="46" t="n">
        <v>29.5</v>
      </c>
      <c r="M407" s="47" t="n">
        <v>0.61</v>
      </c>
      <c r="N407" s="46" t="n">
        <v>29.32</v>
      </c>
      <c r="O407" s="44" t="s">
        <v>309</v>
      </c>
      <c r="P407" s="44" t="s">
        <v>309</v>
      </c>
      <c r="Q407" s="44" t="s">
        <v>309</v>
      </c>
    </row>
    <row r="408" customFormat="false" ht="15" hidden="false" customHeight="false" outlineLevel="0" collapsed="false">
      <c r="A408" s="44" t="n">
        <v>407</v>
      </c>
      <c r="B408" s="45" t="n">
        <v>45319</v>
      </c>
      <c r="C408" s="44" t="n">
        <v>1</v>
      </c>
      <c r="D408" s="44" t="n">
        <v>2024</v>
      </c>
      <c r="E408" s="44" t="n">
        <v>28</v>
      </c>
      <c r="F408" s="44" t="s">
        <v>312</v>
      </c>
      <c r="G408" s="44" t="s">
        <v>351</v>
      </c>
      <c r="H408" s="44" t="s">
        <v>135</v>
      </c>
      <c r="I408" s="44" t="s">
        <v>176</v>
      </c>
      <c r="J408" s="44" t="s">
        <v>206</v>
      </c>
      <c r="K408" s="44" t="n">
        <v>1</v>
      </c>
      <c r="L408" s="46" t="n">
        <v>30.44</v>
      </c>
      <c r="M408" s="47" t="n">
        <v>1.905</v>
      </c>
      <c r="N408" s="46" t="n">
        <v>145.2</v>
      </c>
      <c r="O408" s="44" t="s">
        <v>308</v>
      </c>
      <c r="P408" s="44" t="s">
        <v>369</v>
      </c>
      <c r="Q408" s="44" t="s">
        <v>309</v>
      </c>
    </row>
    <row r="409" customFormat="false" ht="15" hidden="false" customHeight="false" outlineLevel="0" collapsed="false">
      <c r="A409" s="44" t="n">
        <v>408</v>
      </c>
      <c r="B409" s="45" t="n">
        <v>45432</v>
      </c>
      <c r="C409" s="44" t="n">
        <v>5</v>
      </c>
      <c r="D409" s="44" t="n">
        <v>2024</v>
      </c>
      <c r="E409" s="44" t="n">
        <v>20</v>
      </c>
      <c r="F409" s="44" t="s">
        <v>328</v>
      </c>
      <c r="G409" s="44" t="s">
        <v>356</v>
      </c>
      <c r="H409" s="44" t="s">
        <v>135</v>
      </c>
      <c r="I409" s="44" t="s">
        <v>172</v>
      </c>
      <c r="J409" s="44" t="s">
        <v>191</v>
      </c>
      <c r="K409" s="44" t="n">
        <v>1</v>
      </c>
      <c r="L409" s="46" t="n">
        <v>30.44</v>
      </c>
      <c r="M409" s="47" t="n">
        <v>1.42</v>
      </c>
      <c r="N409" s="46" t="n">
        <v>40.54</v>
      </c>
      <c r="O409" s="44" t="s">
        <v>308</v>
      </c>
      <c r="P409" s="44" t="s">
        <v>309</v>
      </c>
      <c r="Q409" s="44" t="s">
        <v>309</v>
      </c>
    </row>
    <row r="410" customFormat="false" ht="15" hidden="false" customHeight="false" outlineLevel="0" collapsed="false">
      <c r="A410" s="44" t="n">
        <v>409</v>
      </c>
      <c r="B410" s="45" t="n">
        <v>45592</v>
      </c>
      <c r="C410" s="44" t="n">
        <v>10</v>
      </c>
      <c r="D410" s="44" t="n">
        <v>2024</v>
      </c>
      <c r="E410" s="44" t="n">
        <v>27</v>
      </c>
      <c r="F410" s="44" t="s">
        <v>312</v>
      </c>
      <c r="G410" s="44" t="s">
        <v>477</v>
      </c>
      <c r="H410" s="44" t="s">
        <v>134</v>
      </c>
      <c r="I410" s="44" t="s">
        <v>172</v>
      </c>
      <c r="J410" s="44" t="s">
        <v>196</v>
      </c>
      <c r="K410" s="44" t="n">
        <v>2</v>
      </c>
      <c r="L410" s="46" t="n">
        <v>116.97</v>
      </c>
      <c r="M410" s="47" t="n">
        <v>2.2</v>
      </c>
      <c r="N410" s="46" t="n">
        <v>228.79</v>
      </c>
      <c r="O410" s="44" t="s">
        <v>309</v>
      </c>
      <c r="P410" s="44" t="s">
        <v>317</v>
      </c>
      <c r="Q410" s="44" t="s">
        <v>309</v>
      </c>
    </row>
    <row r="411" customFormat="false" ht="15" hidden="false" customHeight="false" outlineLevel="0" collapsed="false">
      <c r="A411" s="44" t="n">
        <v>410</v>
      </c>
      <c r="B411" s="45" t="n">
        <v>45622</v>
      </c>
      <c r="C411" s="44" t="n">
        <v>11</v>
      </c>
      <c r="D411" s="44" t="n">
        <v>2024</v>
      </c>
      <c r="E411" s="44" t="n">
        <v>26</v>
      </c>
      <c r="F411" s="44" t="s">
        <v>310</v>
      </c>
      <c r="G411" s="44" t="s">
        <v>385</v>
      </c>
      <c r="H411" s="44" t="s">
        <v>139</v>
      </c>
      <c r="I411" s="44" t="s">
        <v>174</v>
      </c>
      <c r="J411" s="44" t="s">
        <v>195</v>
      </c>
      <c r="K411" s="44" t="n">
        <v>2</v>
      </c>
      <c r="L411" s="46" t="n">
        <v>20.87</v>
      </c>
      <c r="M411" s="47" t="n">
        <v>1.83</v>
      </c>
      <c r="N411" s="46" t="n">
        <v>40.98</v>
      </c>
      <c r="O411" s="44" t="s">
        <v>309</v>
      </c>
      <c r="P411" s="44" t="s">
        <v>309</v>
      </c>
      <c r="Q411" s="44" t="s">
        <v>309</v>
      </c>
    </row>
    <row r="412" customFormat="false" ht="15" hidden="false" customHeight="false" outlineLevel="0" collapsed="false">
      <c r="A412" s="44" t="n">
        <v>411</v>
      </c>
      <c r="B412" s="45" t="n">
        <v>45613</v>
      </c>
      <c r="C412" s="44" t="n">
        <v>11</v>
      </c>
      <c r="D412" s="44" t="n">
        <v>2024</v>
      </c>
      <c r="E412" s="44" t="n">
        <v>17</v>
      </c>
      <c r="F412" s="44" t="s">
        <v>312</v>
      </c>
      <c r="G412" s="44" t="s">
        <v>430</v>
      </c>
      <c r="H412" s="44" t="s">
        <v>134</v>
      </c>
      <c r="I412" s="44" t="s">
        <v>173</v>
      </c>
      <c r="J412" s="44" t="s">
        <v>192</v>
      </c>
      <c r="K412" s="44" t="n">
        <v>3</v>
      </c>
      <c r="L412" s="46" t="n">
        <v>4.19</v>
      </c>
      <c r="M412" s="47" t="n">
        <v>3.28</v>
      </c>
      <c r="N412" s="46" t="n">
        <v>12.16</v>
      </c>
      <c r="O412" s="44" t="s">
        <v>309</v>
      </c>
      <c r="P412" s="44" t="s">
        <v>309</v>
      </c>
      <c r="Q412" s="44" t="s">
        <v>309</v>
      </c>
    </row>
    <row r="413" customFormat="false" ht="15" hidden="false" customHeight="false" outlineLevel="0" collapsed="false">
      <c r="A413" s="44" t="n">
        <v>412</v>
      </c>
      <c r="B413" s="45" t="n">
        <v>45395</v>
      </c>
      <c r="C413" s="44" t="n">
        <v>4</v>
      </c>
      <c r="D413" s="44" t="n">
        <v>2024</v>
      </c>
      <c r="E413" s="44" t="n">
        <v>13</v>
      </c>
      <c r="F413" s="44" t="s">
        <v>318</v>
      </c>
      <c r="G413" s="44" t="s">
        <v>322</v>
      </c>
      <c r="H413" s="44" t="s">
        <v>134</v>
      </c>
      <c r="I413" s="44" t="s">
        <v>174</v>
      </c>
      <c r="J413" s="44" t="s">
        <v>202</v>
      </c>
      <c r="K413" s="44" t="n">
        <v>1</v>
      </c>
      <c r="L413" s="46" t="n">
        <v>29.18</v>
      </c>
      <c r="M413" s="47" t="n">
        <v>1.04</v>
      </c>
      <c r="N413" s="46" t="n">
        <v>71.6</v>
      </c>
      <c r="O413" s="44" t="s">
        <v>308</v>
      </c>
      <c r="P413" s="44" t="s">
        <v>309</v>
      </c>
      <c r="Q413" s="44" t="s">
        <v>309</v>
      </c>
    </row>
    <row r="414" customFormat="false" ht="15" hidden="false" customHeight="false" outlineLevel="0" collapsed="false">
      <c r="A414" s="44" t="n">
        <v>413</v>
      </c>
      <c r="B414" s="45" t="n">
        <v>45565</v>
      </c>
      <c r="C414" s="44" t="n">
        <v>9</v>
      </c>
      <c r="D414" s="44" t="n">
        <v>2024</v>
      </c>
      <c r="E414" s="44" t="n">
        <v>30</v>
      </c>
      <c r="F414" s="44" t="s">
        <v>328</v>
      </c>
      <c r="G414" s="44" t="s">
        <v>322</v>
      </c>
      <c r="H414" s="44" t="s">
        <v>136</v>
      </c>
      <c r="I414" s="44" t="s">
        <v>174</v>
      </c>
      <c r="J414" s="44" t="s">
        <v>191</v>
      </c>
      <c r="K414" s="44" t="n">
        <v>2</v>
      </c>
      <c r="L414" s="46" t="n">
        <v>143.74</v>
      </c>
      <c r="M414" s="47" t="n">
        <v>2.29</v>
      </c>
      <c r="N414" s="46" t="n">
        <v>280.9</v>
      </c>
      <c r="O414" s="44" t="s">
        <v>309</v>
      </c>
      <c r="P414" s="44" t="s">
        <v>317</v>
      </c>
      <c r="Q414" s="44" t="s">
        <v>309</v>
      </c>
    </row>
    <row r="415" customFormat="false" ht="15" hidden="false" customHeight="false" outlineLevel="0" collapsed="false">
      <c r="A415" s="44" t="n">
        <v>414</v>
      </c>
      <c r="B415" s="45" t="n">
        <v>45544</v>
      </c>
      <c r="C415" s="44" t="n">
        <v>9</v>
      </c>
      <c r="D415" s="44" t="n">
        <v>2024</v>
      </c>
      <c r="E415" s="44" t="n">
        <v>9</v>
      </c>
      <c r="F415" s="44" t="s">
        <v>328</v>
      </c>
      <c r="G415" s="44" t="s">
        <v>523</v>
      </c>
      <c r="H415" s="44" t="s">
        <v>136</v>
      </c>
      <c r="I415" s="44" t="s">
        <v>172</v>
      </c>
      <c r="J415" s="44" t="s">
        <v>191</v>
      </c>
      <c r="K415" s="44" t="n">
        <v>1</v>
      </c>
      <c r="L415" s="46" t="n">
        <v>97.21</v>
      </c>
      <c r="M415" s="47" t="n">
        <v>0</v>
      </c>
      <c r="N415" s="46" t="n">
        <v>97.21</v>
      </c>
      <c r="O415" s="44" t="s">
        <v>309</v>
      </c>
      <c r="P415" s="44" t="s">
        <v>309</v>
      </c>
      <c r="Q415" s="44" t="s">
        <v>309</v>
      </c>
    </row>
    <row r="416" customFormat="false" ht="15" hidden="false" customHeight="false" outlineLevel="0" collapsed="false">
      <c r="A416" s="44" t="n">
        <v>415</v>
      </c>
      <c r="B416" s="45" t="n">
        <v>45547</v>
      </c>
      <c r="C416" s="44" t="n">
        <v>9</v>
      </c>
      <c r="D416" s="44" t="n">
        <v>2024</v>
      </c>
      <c r="E416" s="44" t="n">
        <v>12</v>
      </c>
      <c r="F416" s="44" t="s">
        <v>306</v>
      </c>
      <c r="G416" s="44" t="s">
        <v>483</v>
      </c>
      <c r="H416" s="44" t="s">
        <v>135</v>
      </c>
      <c r="I416" s="44" t="s">
        <v>174</v>
      </c>
      <c r="J416" s="44" t="s">
        <v>206</v>
      </c>
      <c r="K416" s="44" t="n">
        <v>3</v>
      </c>
      <c r="L416" s="46" t="n">
        <v>30.44</v>
      </c>
      <c r="M416" s="47" t="n">
        <v>1.98</v>
      </c>
      <c r="N416" s="46" t="n">
        <v>519.49</v>
      </c>
      <c r="O416" s="44" t="s">
        <v>308</v>
      </c>
      <c r="P416" s="44" t="s">
        <v>309</v>
      </c>
      <c r="Q416" s="44" t="s">
        <v>309</v>
      </c>
    </row>
    <row r="417" customFormat="false" ht="15" hidden="false" customHeight="false" outlineLevel="0" collapsed="false">
      <c r="A417" s="44" t="n">
        <v>416</v>
      </c>
      <c r="B417" s="45" t="n">
        <v>45307</v>
      </c>
      <c r="C417" s="44" t="n">
        <v>1</v>
      </c>
      <c r="D417" s="44" t="n">
        <v>2024</v>
      </c>
      <c r="E417" s="44" t="n">
        <v>16</v>
      </c>
      <c r="F417" s="44" t="s">
        <v>310</v>
      </c>
      <c r="G417" s="44" t="s">
        <v>501</v>
      </c>
      <c r="H417" s="44" t="s">
        <v>139</v>
      </c>
      <c r="I417" s="44" t="s">
        <v>176</v>
      </c>
      <c r="J417" s="44" t="s">
        <v>195</v>
      </c>
      <c r="K417" s="44" t="n">
        <v>1</v>
      </c>
      <c r="L417" s="46" t="n">
        <v>39.38</v>
      </c>
      <c r="M417" s="47" t="n">
        <v>0</v>
      </c>
      <c r="N417" s="46" t="n">
        <v>39.38</v>
      </c>
      <c r="O417" s="44" t="s">
        <v>309</v>
      </c>
      <c r="P417" s="44" t="s">
        <v>317</v>
      </c>
      <c r="Q417" s="44" t="s">
        <v>309</v>
      </c>
    </row>
    <row r="418" customFormat="false" ht="15" hidden="false" customHeight="false" outlineLevel="0" collapsed="false">
      <c r="A418" s="44" t="n">
        <v>417</v>
      </c>
      <c r="B418" s="45" t="n">
        <v>45404</v>
      </c>
      <c r="C418" s="44" t="n">
        <v>4</v>
      </c>
      <c r="D418" s="44" t="n">
        <v>2024</v>
      </c>
      <c r="E418" s="44" t="n">
        <v>22</v>
      </c>
      <c r="F418" s="44" t="s">
        <v>328</v>
      </c>
      <c r="G418" s="44" t="s">
        <v>373</v>
      </c>
      <c r="H418" s="44" t="s">
        <v>136</v>
      </c>
      <c r="I418" s="44" t="s">
        <v>173</v>
      </c>
      <c r="J418" s="44" t="s">
        <v>206</v>
      </c>
      <c r="K418" s="44" t="n">
        <v>2</v>
      </c>
      <c r="L418" s="46" t="n">
        <v>12.31</v>
      </c>
      <c r="M418" s="47" t="n">
        <v>2.55</v>
      </c>
      <c r="N418" s="46" t="n">
        <v>23.99</v>
      </c>
      <c r="O418" s="44" t="s">
        <v>309</v>
      </c>
      <c r="P418" s="44" t="s">
        <v>309</v>
      </c>
      <c r="Q418" s="44" t="s">
        <v>309</v>
      </c>
    </row>
    <row r="419" customFormat="false" ht="15" hidden="false" customHeight="false" outlineLevel="0" collapsed="false">
      <c r="A419" s="44" t="n">
        <v>418</v>
      </c>
      <c r="B419" s="45" t="n">
        <v>45342</v>
      </c>
      <c r="C419" s="44" t="n">
        <v>2</v>
      </c>
      <c r="D419" s="44" t="n">
        <v>2024</v>
      </c>
      <c r="E419" s="44" t="n">
        <v>20</v>
      </c>
      <c r="F419" s="44" t="s">
        <v>310</v>
      </c>
      <c r="G419" s="44" t="s">
        <v>524</v>
      </c>
      <c r="H419" s="44" t="s">
        <v>134</v>
      </c>
      <c r="I419" s="44" t="s">
        <v>172</v>
      </c>
      <c r="J419" s="44" t="s">
        <v>193</v>
      </c>
      <c r="K419" s="44" t="n">
        <v>1</v>
      </c>
      <c r="L419" s="46" t="n">
        <v>3.01</v>
      </c>
      <c r="M419" s="47" t="n">
        <v>0</v>
      </c>
      <c r="N419" s="46" t="n">
        <v>3.01</v>
      </c>
      <c r="O419" s="44" t="s">
        <v>309</v>
      </c>
      <c r="P419" s="44" t="s">
        <v>309</v>
      </c>
      <c r="Q419" s="44" t="s">
        <v>309</v>
      </c>
    </row>
    <row r="420" customFormat="false" ht="15" hidden="false" customHeight="false" outlineLevel="0" collapsed="false">
      <c r="A420" s="44" t="n">
        <v>419</v>
      </c>
      <c r="B420" s="45" t="n">
        <v>45351</v>
      </c>
      <c r="C420" s="44" t="n">
        <v>2</v>
      </c>
      <c r="D420" s="44" t="n">
        <v>2024</v>
      </c>
      <c r="E420" s="44" t="n">
        <v>29</v>
      </c>
      <c r="F420" s="44" t="s">
        <v>306</v>
      </c>
      <c r="G420" s="44" t="s">
        <v>495</v>
      </c>
      <c r="H420" s="44" t="s">
        <v>139</v>
      </c>
      <c r="I420" s="44" t="s">
        <v>176</v>
      </c>
      <c r="J420" s="44" t="s">
        <v>192</v>
      </c>
      <c r="K420" s="44" t="n">
        <v>5</v>
      </c>
      <c r="L420" s="46" t="n">
        <v>63.96</v>
      </c>
      <c r="M420" s="47" t="n">
        <v>5.87</v>
      </c>
      <c r="N420" s="46" t="n">
        <v>301.03</v>
      </c>
      <c r="O420" s="44" t="s">
        <v>309</v>
      </c>
      <c r="P420" s="44" t="s">
        <v>309</v>
      </c>
      <c r="Q420" s="44" t="s">
        <v>309</v>
      </c>
    </row>
    <row r="421" customFormat="false" ht="15" hidden="false" customHeight="false" outlineLevel="0" collapsed="false">
      <c r="A421" s="44" t="n">
        <v>420</v>
      </c>
      <c r="B421" s="45" t="n">
        <v>45643</v>
      </c>
      <c r="C421" s="44" t="n">
        <v>12</v>
      </c>
      <c r="D421" s="44" t="n">
        <v>2024</v>
      </c>
      <c r="E421" s="44" t="n">
        <v>17</v>
      </c>
      <c r="F421" s="44" t="s">
        <v>310</v>
      </c>
      <c r="G421" s="44" t="s">
        <v>368</v>
      </c>
      <c r="H421" s="44" t="s">
        <v>139</v>
      </c>
      <c r="I421" s="44" t="s">
        <v>173</v>
      </c>
      <c r="J421" s="44" t="s">
        <v>202</v>
      </c>
      <c r="K421" s="44" t="n">
        <v>2</v>
      </c>
      <c r="L421" s="46" t="n">
        <v>18.33</v>
      </c>
      <c r="M421" s="47" t="n">
        <v>1.905</v>
      </c>
      <c r="N421" s="46" t="n">
        <v>22.57</v>
      </c>
      <c r="O421" s="44" t="s">
        <v>308</v>
      </c>
      <c r="P421" s="44" t="s">
        <v>369</v>
      </c>
      <c r="Q421" s="44" t="s">
        <v>309</v>
      </c>
    </row>
    <row r="422" customFormat="false" ht="15" hidden="false" customHeight="false" outlineLevel="0" collapsed="false">
      <c r="A422" s="44" t="n">
        <v>421</v>
      </c>
      <c r="B422" s="45" t="n">
        <v>45493</v>
      </c>
      <c r="C422" s="44" t="n">
        <v>7</v>
      </c>
      <c r="D422" s="44" t="n">
        <v>2024</v>
      </c>
      <c r="E422" s="44" t="n">
        <v>20</v>
      </c>
      <c r="F422" s="44" t="s">
        <v>318</v>
      </c>
      <c r="G422" s="44" t="s">
        <v>522</v>
      </c>
      <c r="H422" s="44" t="s">
        <v>140</v>
      </c>
      <c r="I422" s="44" t="s">
        <v>174</v>
      </c>
      <c r="J422" s="44" t="s">
        <v>202</v>
      </c>
      <c r="K422" s="44" t="n">
        <v>1</v>
      </c>
      <c r="L422" s="46" t="n">
        <v>1.91</v>
      </c>
      <c r="M422" s="47" t="n">
        <v>0.44</v>
      </c>
      <c r="N422" s="46" t="n">
        <v>1.9</v>
      </c>
      <c r="O422" s="44" t="s">
        <v>309</v>
      </c>
      <c r="P422" s="44" t="s">
        <v>309</v>
      </c>
      <c r="Q422" s="44" t="s">
        <v>309</v>
      </c>
    </row>
    <row r="423" customFormat="false" ht="15" hidden="false" customHeight="false" outlineLevel="0" collapsed="false">
      <c r="A423" s="44" t="n">
        <v>422</v>
      </c>
      <c r="B423" s="45" t="n">
        <v>45498</v>
      </c>
      <c r="C423" s="44" t="n">
        <v>7</v>
      </c>
      <c r="D423" s="44" t="n">
        <v>2024</v>
      </c>
      <c r="E423" s="44" t="n">
        <v>25</v>
      </c>
      <c r="F423" s="44" t="s">
        <v>306</v>
      </c>
      <c r="G423" s="44" t="s">
        <v>453</v>
      </c>
      <c r="H423" s="44" t="s">
        <v>137</v>
      </c>
      <c r="I423" s="44" t="s">
        <v>172</v>
      </c>
      <c r="J423" s="44" t="s">
        <v>196</v>
      </c>
      <c r="K423" s="44" t="n">
        <v>3</v>
      </c>
      <c r="L423" s="46" t="n">
        <v>6.62</v>
      </c>
      <c r="M423" s="47" t="n">
        <v>2.25</v>
      </c>
      <c r="N423" s="46" t="n">
        <v>19.41</v>
      </c>
      <c r="O423" s="44" t="s">
        <v>309</v>
      </c>
      <c r="P423" s="44" t="s">
        <v>309</v>
      </c>
      <c r="Q423" s="44" t="s">
        <v>309</v>
      </c>
    </row>
    <row r="424" customFormat="false" ht="15" hidden="false" customHeight="false" outlineLevel="0" collapsed="false">
      <c r="A424" s="44" t="n">
        <v>423</v>
      </c>
      <c r="B424" s="45" t="n">
        <v>45380</v>
      </c>
      <c r="C424" s="44" t="n">
        <v>3</v>
      </c>
      <c r="D424" s="44" t="n">
        <v>2024</v>
      </c>
      <c r="E424" s="44" t="n">
        <v>29</v>
      </c>
      <c r="F424" s="44" t="s">
        <v>325</v>
      </c>
      <c r="G424" s="44" t="s">
        <v>381</v>
      </c>
      <c r="H424" s="44" t="s">
        <v>134</v>
      </c>
      <c r="I424" s="44" t="s">
        <v>176</v>
      </c>
      <c r="J424" s="44" t="s">
        <v>193</v>
      </c>
      <c r="K424" s="44" t="n">
        <v>1</v>
      </c>
      <c r="L424" s="46" t="n">
        <v>78.51</v>
      </c>
      <c r="M424" s="47" t="n">
        <v>1.38</v>
      </c>
      <c r="N424" s="46" t="n">
        <v>77.43</v>
      </c>
      <c r="O424" s="44" t="s">
        <v>309</v>
      </c>
      <c r="P424" s="44" t="s">
        <v>309</v>
      </c>
      <c r="Q424" s="44" t="s">
        <v>309</v>
      </c>
    </row>
    <row r="425" customFormat="false" ht="15" hidden="false" customHeight="false" outlineLevel="0" collapsed="false">
      <c r="A425" s="44" t="n">
        <v>424</v>
      </c>
      <c r="B425" s="45" t="n">
        <v>45558</v>
      </c>
      <c r="C425" s="44" t="n">
        <v>9</v>
      </c>
      <c r="D425" s="44" t="n">
        <v>2024</v>
      </c>
      <c r="E425" s="44" t="n">
        <v>23</v>
      </c>
      <c r="F425" s="44" t="s">
        <v>328</v>
      </c>
      <c r="G425" s="44" t="s">
        <v>412</v>
      </c>
      <c r="H425" s="44" t="s">
        <v>134</v>
      </c>
      <c r="I425" s="44" t="s">
        <v>176</v>
      </c>
      <c r="J425" s="44" t="s">
        <v>191</v>
      </c>
      <c r="K425" s="44" t="n">
        <v>1</v>
      </c>
      <c r="L425" s="46" t="n">
        <v>3.04</v>
      </c>
      <c r="M425" s="47" t="n">
        <v>0</v>
      </c>
      <c r="N425" s="46" t="n">
        <v>3.04</v>
      </c>
      <c r="O425" s="44" t="s">
        <v>309</v>
      </c>
      <c r="P425" s="44" t="s">
        <v>309</v>
      </c>
      <c r="Q425" s="44" t="s">
        <v>309</v>
      </c>
    </row>
    <row r="426" customFormat="false" ht="15" hidden="false" customHeight="false" outlineLevel="0" collapsed="false">
      <c r="A426" s="44" t="n">
        <v>425</v>
      </c>
      <c r="B426" s="45" t="n">
        <v>45492</v>
      </c>
      <c r="C426" s="44" t="n">
        <v>7</v>
      </c>
      <c r="D426" s="44" t="n">
        <v>2024</v>
      </c>
      <c r="E426" s="44" t="n">
        <v>19</v>
      </c>
      <c r="F426" s="44" t="s">
        <v>325</v>
      </c>
      <c r="G426" s="44" t="s">
        <v>453</v>
      </c>
      <c r="H426" s="44" t="s">
        <v>134</v>
      </c>
      <c r="I426" s="44" t="s">
        <v>176</v>
      </c>
      <c r="J426" s="44" t="s">
        <v>199</v>
      </c>
      <c r="K426" s="44" t="n">
        <v>6</v>
      </c>
      <c r="L426" s="46" t="n">
        <v>75.95</v>
      </c>
      <c r="M426" s="47" t="n">
        <v>8.22</v>
      </c>
      <c r="N426" s="46" t="n">
        <v>418.24</v>
      </c>
      <c r="O426" s="44" t="s">
        <v>309</v>
      </c>
      <c r="P426" s="44" t="s">
        <v>309</v>
      </c>
      <c r="Q426" s="44" t="s">
        <v>309</v>
      </c>
    </row>
    <row r="427" customFormat="false" ht="15" hidden="false" customHeight="false" outlineLevel="0" collapsed="false">
      <c r="A427" s="44" t="n">
        <v>426</v>
      </c>
      <c r="B427" s="45" t="n">
        <v>45635</v>
      </c>
      <c r="C427" s="44" t="n">
        <v>12</v>
      </c>
      <c r="D427" s="44" t="n">
        <v>2024</v>
      </c>
      <c r="E427" s="44" t="n">
        <v>9</v>
      </c>
      <c r="F427" s="44" t="s">
        <v>328</v>
      </c>
      <c r="G427" s="44" t="s">
        <v>484</v>
      </c>
      <c r="H427" s="44" t="s">
        <v>135</v>
      </c>
      <c r="I427" s="44" t="s">
        <v>173</v>
      </c>
      <c r="J427" s="44" t="s">
        <v>197</v>
      </c>
      <c r="K427" s="44" t="n">
        <v>6</v>
      </c>
      <c r="L427" s="46" t="n">
        <v>30.44</v>
      </c>
      <c r="M427" s="47" t="n">
        <v>8.11</v>
      </c>
      <c r="N427" s="46" t="n">
        <v>175.82</v>
      </c>
      <c r="O427" s="44" t="s">
        <v>308</v>
      </c>
      <c r="P427" s="44" t="s">
        <v>309</v>
      </c>
      <c r="Q427" s="44" t="s">
        <v>309</v>
      </c>
    </row>
    <row r="428" customFormat="false" ht="15" hidden="false" customHeight="false" outlineLevel="0" collapsed="false">
      <c r="A428" s="44" t="n">
        <v>427</v>
      </c>
      <c r="B428" s="45" t="n">
        <v>45482</v>
      </c>
      <c r="C428" s="44" t="n">
        <v>7</v>
      </c>
      <c r="D428" s="44" t="n">
        <v>2024</v>
      </c>
      <c r="E428" s="44" t="n">
        <v>9</v>
      </c>
      <c r="F428" s="44" t="s">
        <v>310</v>
      </c>
      <c r="G428" s="44" t="s">
        <v>382</v>
      </c>
      <c r="H428" s="44" t="s">
        <v>135</v>
      </c>
      <c r="I428" s="44" t="s">
        <v>174</v>
      </c>
      <c r="J428" s="44" t="s">
        <v>191</v>
      </c>
      <c r="K428" s="44" t="n">
        <v>1</v>
      </c>
      <c r="L428" s="46" t="n">
        <v>30.44</v>
      </c>
      <c r="M428" s="47" t="n">
        <v>1.51</v>
      </c>
      <c r="N428" s="46" t="n">
        <v>12.32</v>
      </c>
      <c r="O428" s="44" t="s">
        <v>308</v>
      </c>
      <c r="P428" s="44" t="s">
        <v>309</v>
      </c>
      <c r="Q428" s="44" t="s">
        <v>309</v>
      </c>
    </row>
    <row r="429" customFormat="false" ht="15" hidden="false" customHeight="false" outlineLevel="0" collapsed="false">
      <c r="A429" s="44" t="n">
        <v>428</v>
      </c>
      <c r="B429" s="45" t="n">
        <v>45325</v>
      </c>
      <c r="C429" s="44" t="n">
        <v>2</v>
      </c>
      <c r="D429" s="44" t="n">
        <v>2024</v>
      </c>
      <c r="E429" s="44" t="n">
        <v>3</v>
      </c>
      <c r="F429" s="44" t="s">
        <v>318</v>
      </c>
      <c r="G429" s="44" t="s">
        <v>373</v>
      </c>
      <c r="H429" s="44" t="s">
        <v>136</v>
      </c>
      <c r="I429" s="44" t="s">
        <v>173</v>
      </c>
      <c r="J429" s="44" t="s">
        <v>197</v>
      </c>
      <c r="K429" s="44" t="n">
        <v>3</v>
      </c>
      <c r="L429" s="46" t="n">
        <v>22.24</v>
      </c>
      <c r="M429" s="47" t="n">
        <v>4.72</v>
      </c>
      <c r="N429" s="46" t="n">
        <v>63.57</v>
      </c>
      <c r="O429" s="44" t="s">
        <v>309</v>
      </c>
      <c r="P429" s="44" t="s">
        <v>309</v>
      </c>
      <c r="Q429" s="44" t="s">
        <v>309</v>
      </c>
    </row>
    <row r="430" customFormat="false" ht="15" hidden="false" customHeight="false" outlineLevel="0" collapsed="false">
      <c r="A430" s="44" t="n">
        <v>429</v>
      </c>
      <c r="B430" s="45" t="n">
        <v>45522</v>
      </c>
      <c r="C430" s="44" t="n">
        <v>8</v>
      </c>
      <c r="D430" s="44" t="n">
        <v>2024</v>
      </c>
      <c r="E430" s="44" t="n">
        <v>18</v>
      </c>
      <c r="F430" s="44" t="s">
        <v>312</v>
      </c>
      <c r="G430" s="44" t="s">
        <v>430</v>
      </c>
      <c r="H430" s="44" t="s">
        <v>134</v>
      </c>
      <c r="I430" s="44" t="s">
        <v>174</v>
      </c>
      <c r="J430" s="44" t="s">
        <v>194</v>
      </c>
      <c r="K430" s="44" t="n">
        <v>1</v>
      </c>
      <c r="L430" s="46" t="n">
        <v>210.9</v>
      </c>
      <c r="M430" s="47" t="n">
        <v>0.29</v>
      </c>
      <c r="N430" s="46" t="n">
        <v>210.29</v>
      </c>
      <c r="O430" s="44" t="s">
        <v>309</v>
      </c>
      <c r="P430" s="44" t="s">
        <v>309</v>
      </c>
      <c r="Q430" s="44" t="s">
        <v>309</v>
      </c>
    </row>
    <row r="431" customFormat="false" ht="15" hidden="false" customHeight="false" outlineLevel="0" collapsed="false">
      <c r="A431" s="44" t="n">
        <v>430</v>
      </c>
      <c r="B431" s="45" t="n">
        <v>45398</v>
      </c>
      <c r="C431" s="44" t="n">
        <v>4</v>
      </c>
      <c r="D431" s="44" t="n">
        <v>2024</v>
      </c>
      <c r="E431" s="44" t="n">
        <v>16</v>
      </c>
      <c r="F431" s="44" t="s">
        <v>310</v>
      </c>
      <c r="G431" s="44" t="s">
        <v>400</v>
      </c>
      <c r="H431" s="44" t="s">
        <v>137</v>
      </c>
      <c r="I431" s="44" t="s">
        <v>172</v>
      </c>
      <c r="J431" s="44" t="s">
        <v>201</v>
      </c>
      <c r="K431" s="44" t="n">
        <v>1</v>
      </c>
      <c r="L431" s="46" t="n">
        <v>9.05</v>
      </c>
      <c r="M431" s="47" t="n">
        <v>0</v>
      </c>
      <c r="N431" s="46" t="n">
        <v>9.05</v>
      </c>
      <c r="O431" s="44" t="s">
        <v>309</v>
      </c>
      <c r="P431" s="44" t="s">
        <v>309</v>
      </c>
      <c r="Q431" s="44" t="s">
        <v>309</v>
      </c>
    </row>
    <row r="432" customFormat="false" ht="15" hidden="false" customHeight="false" outlineLevel="0" collapsed="false">
      <c r="A432" s="44" t="n">
        <v>431</v>
      </c>
      <c r="B432" s="45" t="n">
        <v>45351</v>
      </c>
      <c r="C432" s="44" t="n">
        <v>2</v>
      </c>
      <c r="D432" s="44" t="n">
        <v>2024</v>
      </c>
      <c r="E432" s="44" t="n">
        <v>29</v>
      </c>
      <c r="F432" s="44" t="s">
        <v>306</v>
      </c>
      <c r="G432" s="44" t="s">
        <v>467</v>
      </c>
      <c r="H432" s="44" t="s">
        <v>136</v>
      </c>
      <c r="I432" s="44" t="s">
        <v>174</v>
      </c>
      <c r="J432" s="44" t="s">
        <v>191</v>
      </c>
      <c r="K432" s="44" t="n">
        <v>1</v>
      </c>
      <c r="L432" s="46" t="n">
        <v>4.1</v>
      </c>
      <c r="M432" s="47" t="n">
        <v>1.12</v>
      </c>
      <c r="N432" s="46" t="n">
        <v>4.05</v>
      </c>
      <c r="O432" s="44" t="s">
        <v>309</v>
      </c>
      <c r="P432" s="44" t="s">
        <v>309</v>
      </c>
      <c r="Q432" s="44" t="s">
        <v>309</v>
      </c>
    </row>
    <row r="433" customFormat="false" ht="15" hidden="false" customHeight="false" outlineLevel="0" collapsed="false">
      <c r="A433" s="44" t="n">
        <v>432</v>
      </c>
      <c r="B433" s="45" t="n">
        <v>45365</v>
      </c>
      <c r="C433" s="44" t="n">
        <v>3</v>
      </c>
      <c r="D433" s="44" t="n">
        <v>2024</v>
      </c>
      <c r="E433" s="44" t="n">
        <v>14</v>
      </c>
      <c r="F433" s="44" t="s">
        <v>306</v>
      </c>
      <c r="G433" s="44" t="s">
        <v>474</v>
      </c>
      <c r="H433" s="44" t="s">
        <v>140</v>
      </c>
      <c r="I433" s="44" t="s">
        <v>172</v>
      </c>
      <c r="J433" s="44" t="s">
        <v>194</v>
      </c>
      <c r="K433" s="44" t="n">
        <v>2</v>
      </c>
      <c r="L433" s="46" t="n">
        <v>19.21</v>
      </c>
      <c r="M433" s="47" t="n">
        <v>2.86</v>
      </c>
      <c r="N433" s="46" t="n">
        <v>37.32</v>
      </c>
      <c r="O433" s="44" t="s">
        <v>309</v>
      </c>
      <c r="P433" s="44" t="s">
        <v>309</v>
      </c>
      <c r="Q433" s="44" t="s">
        <v>309</v>
      </c>
    </row>
    <row r="434" customFormat="false" ht="15" hidden="false" customHeight="false" outlineLevel="0" collapsed="false">
      <c r="A434" s="44" t="n">
        <v>433</v>
      </c>
      <c r="B434" s="45" t="n">
        <v>45392</v>
      </c>
      <c r="C434" s="44" t="n">
        <v>4</v>
      </c>
      <c r="D434" s="44" t="n">
        <v>2024</v>
      </c>
      <c r="E434" s="44" t="n">
        <v>10</v>
      </c>
      <c r="F434" s="44" t="s">
        <v>321</v>
      </c>
      <c r="G434" s="44" t="s">
        <v>385</v>
      </c>
      <c r="H434" s="44" t="s">
        <v>134</v>
      </c>
      <c r="I434" s="44" t="s">
        <v>173</v>
      </c>
      <c r="J434" s="44" t="s">
        <v>202</v>
      </c>
      <c r="K434" s="44" t="n">
        <v>4</v>
      </c>
      <c r="L434" s="46" t="n">
        <v>29.18</v>
      </c>
      <c r="M434" s="47" t="n">
        <v>4.11</v>
      </c>
      <c r="N434" s="46" t="n">
        <v>217.98</v>
      </c>
      <c r="O434" s="44" t="s">
        <v>308</v>
      </c>
      <c r="P434" s="44" t="s">
        <v>309</v>
      </c>
      <c r="Q434" s="44" t="s">
        <v>309</v>
      </c>
    </row>
    <row r="435" customFormat="false" ht="15" hidden="false" customHeight="false" outlineLevel="0" collapsed="false">
      <c r="A435" s="44" t="n">
        <v>434</v>
      </c>
      <c r="B435" s="45" t="n">
        <v>45326</v>
      </c>
      <c r="C435" s="44" t="n">
        <v>2</v>
      </c>
      <c r="D435" s="44" t="n">
        <v>2024</v>
      </c>
      <c r="E435" s="44" t="n">
        <v>4</v>
      </c>
      <c r="F435" s="44" t="s">
        <v>312</v>
      </c>
      <c r="G435" s="44" t="s">
        <v>525</v>
      </c>
      <c r="H435" s="44" t="s">
        <v>140</v>
      </c>
      <c r="I435" s="44" t="s">
        <v>176</v>
      </c>
      <c r="J435" s="44" t="s">
        <v>193</v>
      </c>
      <c r="K435" s="44" t="n">
        <v>1</v>
      </c>
      <c r="L435" s="46" t="n">
        <v>11.31</v>
      </c>
      <c r="M435" s="47" t="n">
        <v>0.54</v>
      </c>
      <c r="N435" s="46" t="n">
        <v>40.73</v>
      </c>
      <c r="O435" s="44" t="s">
        <v>308</v>
      </c>
      <c r="P435" s="44" t="s">
        <v>309</v>
      </c>
      <c r="Q435" s="44" t="s">
        <v>309</v>
      </c>
    </row>
    <row r="436" customFormat="false" ht="15" hidden="false" customHeight="false" outlineLevel="0" collapsed="false">
      <c r="A436" s="44" t="n">
        <v>435</v>
      </c>
      <c r="B436" s="45" t="n">
        <v>45647</v>
      </c>
      <c r="C436" s="44" t="n">
        <v>12</v>
      </c>
      <c r="D436" s="44" t="n">
        <v>2024</v>
      </c>
      <c r="E436" s="44" t="n">
        <v>21</v>
      </c>
      <c r="F436" s="44" t="s">
        <v>318</v>
      </c>
      <c r="G436" s="44" t="s">
        <v>354</v>
      </c>
      <c r="H436" s="44" t="s">
        <v>134</v>
      </c>
      <c r="I436" s="44" t="s">
        <v>176</v>
      </c>
      <c r="J436" s="44" t="s">
        <v>206</v>
      </c>
      <c r="K436" s="44" t="n">
        <v>1</v>
      </c>
      <c r="L436" s="46" t="n">
        <v>29.18</v>
      </c>
      <c r="M436" s="47" t="n">
        <v>0</v>
      </c>
      <c r="N436" s="46" t="n">
        <v>13.44</v>
      </c>
      <c r="O436" s="44" t="s">
        <v>308</v>
      </c>
      <c r="P436" s="44" t="s">
        <v>309</v>
      </c>
      <c r="Q436" s="44" t="s">
        <v>309</v>
      </c>
    </row>
    <row r="437" customFormat="false" ht="15" hidden="false" customHeight="false" outlineLevel="0" collapsed="false">
      <c r="A437" s="44" t="n">
        <v>436</v>
      </c>
      <c r="B437" s="45" t="n">
        <v>45298</v>
      </c>
      <c r="C437" s="44" t="n">
        <v>1</v>
      </c>
      <c r="D437" s="44" t="n">
        <v>2024</v>
      </c>
      <c r="E437" s="44" t="n">
        <v>7</v>
      </c>
      <c r="F437" s="44" t="s">
        <v>312</v>
      </c>
      <c r="G437" s="44" t="s">
        <v>479</v>
      </c>
      <c r="H437" s="44" t="s">
        <v>135</v>
      </c>
      <c r="I437" s="44" t="s">
        <v>174</v>
      </c>
      <c r="J437" s="44" t="s">
        <v>194</v>
      </c>
      <c r="K437" s="44" t="n">
        <v>2</v>
      </c>
      <c r="L437" s="46" t="n">
        <v>10.88</v>
      </c>
      <c r="M437" s="47" t="n">
        <v>0.37</v>
      </c>
      <c r="N437" s="46" t="n">
        <v>21.68</v>
      </c>
      <c r="O437" s="44" t="s">
        <v>309</v>
      </c>
      <c r="P437" s="44" t="s">
        <v>309</v>
      </c>
      <c r="Q437" s="44" t="s">
        <v>309</v>
      </c>
    </row>
    <row r="438" customFormat="false" ht="15" hidden="false" customHeight="false" outlineLevel="0" collapsed="false">
      <c r="A438" s="44" t="n">
        <v>437</v>
      </c>
      <c r="B438" s="45" t="n">
        <v>45498</v>
      </c>
      <c r="C438" s="44" t="n">
        <v>7</v>
      </c>
      <c r="D438" s="44" t="n">
        <v>2024</v>
      </c>
      <c r="E438" s="44" t="n">
        <v>25</v>
      </c>
      <c r="F438" s="44" t="s">
        <v>306</v>
      </c>
      <c r="G438" s="44" t="s">
        <v>526</v>
      </c>
      <c r="H438" s="44" t="s">
        <v>134</v>
      </c>
      <c r="I438" s="44" t="s">
        <v>173</v>
      </c>
      <c r="J438" s="44" t="s">
        <v>195</v>
      </c>
      <c r="K438" s="44" t="n">
        <v>8</v>
      </c>
      <c r="L438" s="46" t="n">
        <v>29.18</v>
      </c>
      <c r="M438" s="47" t="n">
        <v>10.72</v>
      </c>
      <c r="N438" s="46" t="n">
        <v>1462.48</v>
      </c>
      <c r="O438" s="44" t="s">
        <v>308</v>
      </c>
      <c r="P438" s="44" t="s">
        <v>309</v>
      </c>
      <c r="Q438" s="44" t="s">
        <v>309</v>
      </c>
    </row>
    <row r="439" customFormat="false" ht="15" hidden="false" customHeight="false" outlineLevel="0" collapsed="false">
      <c r="A439" s="44" t="n">
        <v>438</v>
      </c>
      <c r="B439" s="45" t="n">
        <v>45464</v>
      </c>
      <c r="C439" s="44" t="n">
        <v>6</v>
      </c>
      <c r="D439" s="44" t="n">
        <v>2024</v>
      </c>
      <c r="E439" s="44" t="n">
        <v>21</v>
      </c>
      <c r="F439" s="44" t="s">
        <v>325</v>
      </c>
      <c r="G439" s="44" t="s">
        <v>527</v>
      </c>
      <c r="H439" s="44" t="s">
        <v>135</v>
      </c>
      <c r="I439" s="44" t="s">
        <v>174</v>
      </c>
      <c r="J439" s="44" t="s">
        <v>206</v>
      </c>
      <c r="K439" s="44" t="n">
        <v>3</v>
      </c>
      <c r="L439" s="46" t="n">
        <v>34.78</v>
      </c>
      <c r="M439" s="47" t="n">
        <v>3.98</v>
      </c>
      <c r="N439" s="46" t="n">
        <v>100.19</v>
      </c>
      <c r="O439" s="44" t="s">
        <v>309</v>
      </c>
      <c r="P439" s="44" t="s">
        <v>317</v>
      </c>
      <c r="Q439" s="44" t="s">
        <v>309</v>
      </c>
    </row>
    <row r="440" customFormat="false" ht="15" hidden="false" customHeight="false" outlineLevel="0" collapsed="false">
      <c r="A440" s="44" t="n">
        <v>439</v>
      </c>
      <c r="B440" s="45" t="n">
        <v>45492</v>
      </c>
      <c r="C440" s="44" t="n">
        <v>7</v>
      </c>
      <c r="D440" s="44" t="n">
        <v>2024</v>
      </c>
      <c r="E440" s="44" t="n">
        <v>19</v>
      </c>
      <c r="F440" s="44" t="s">
        <v>325</v>
      </c>
      <c r="G440" s="44" t="s">
        <v>528</v>
      </c>
      <c r="H440" s="44" t="s">
        <v>137</v>
      </c>
      <c r="I440" s="44" t="s">
        <v>176</v>
      </c>
      <c r="J440" s="44" t="s">
        <v>204</v>
      </c>
      <c r="K440" s="44" t="n">
        <v>1</v>
      </c>
      <c r="L440" s="46" t="n">
        <v>70.51</v>
      </c>
      <c r="M440" s="47" t="n">
        <v>0</v>
      </c>
      <c r="N440" s="46" t="n">
        <v>70.51</v>
      </c>
      <c r="O440" s="44" t="s">
        <v>309</v>
      </c>
      <c r="P440" s="44" t="s">
        <v>317</v>
      </c>
      <c r="Q440" s="44" t="s">
        <v>309</v>
      </c>
    </row>
    <row r="441" customFormat="false" ht="15" hidden="false" customHeight="false" outlineLevel="0" collapsed="false">
      <c r="A441" s="44" t="n">
        <v>440</v>
      </c>
      <c r="B441" s="45" t="n">
        <v>45344</v>
      </c>
      <c r="C441" s="44" t="n">
        <v>2</v>
      </c>
      <c r="D441" s="44" t="n">
        <v>2024</v>
      </c>
      <c r="E441" s="44" t="n">
        <v>22</v>
      </c>
      <c r="F441" s="44" t="s">
        <v>306</v>
      </c>
      <c r="G441" s="44" t="s">
        <v>329</v>
      </c>
      <c r="H441" s="44" t="s">
        <v>136</v>
      </c>
      <c r="I441" s="44" t="s">
        <v>173</v>
      </c>
      <c r="J441" s="44" t="s">
        <v>202</v>
      </c>
      <c r="K441" s="44" t="n">
        <v>6</v>
      </c>
      <c r="L441" s="46" t="n">
        <v>115.84</v>
      </c>
      <c r="M441" s="47" t="n">
        <v>7.39</v>
      </c>
      <c r="N441" s="46" t="n">
        <v>643.68</v>
      </c>
      <c r="O441" s="44" t="s">
        <v>309</v>
      </c>
      <c r="P441" s="44" t="s">
        <v>317</v>
      </c>
      <c r="Q441" s="44" t="s">
        <v>309</v>
      </c>
    </row>
    <row r="442" customFormat="false" ht="15" hidden="false" customHeight="false" outlineLevel="0" collapsed="false">
      <c r="A442" s="44" t="n">
        <v>441</v>
      </c>
      <c r="B442" s="45" t="n">
        <v>45517</v>
      </c>
      <c r="C442" s="44" t="n">
        <v>8</v>
      </c>
      <c r="D442" s="44" t="n">
        <v>2024</v>
      </c>
      <c r="E442" s="44" t="n">
        <v>13</v>
      </c>
      <c r="F442" s="44" t="s">
        <v>310</v>
      </c>
      <c r="G442" s="44" t="s">
        <v>529</v>
      </c>
      <c r="H442" s="44" t="s">
        <v>136</v>
      </c>
      <c r="I442" s="44" t="s">
        <v>176</v>
      </c>
      <c r="J442" s="44" t="s">
        <v>202</v>
      </c>
      <c r="K442" s="44" t="n">
        <v>1</v>
      </c>
      <c r="L442" s="46" t="n">
        <v>157.82</v>
      </c>
      <c r="M442" s="47" t="n">
        <v>0</v>
      </c>
      <c r="N442" s="46" t="n">
        <v>157.82</v>
      </c>
      <c r="O442" s="44" t="s">
        <v>309</v>
      </c>
      <c r="P442" s="44" t="s">
        <v>309</v>
      </c>
      <c r="Q442" s="44" t="s">
        <v>309</v>
      </c>
    </row>
    <row r="443" customFormat="false" ht="15" hidden="false" customHeight="false" outlineLevel="0" collapsed="false">
      <c r="A443" s="44" t="n">
        <v>442</v>
      </c>
      <c r="B443" s="45" t="n">
        <v>45395</v>
      </c>
      <c r="C443" s="44" t="n">
        <v>4</v>
      </c>
      <c r="D443" s="44" t="n">
        <v>2024</v>
      </c>
      <c r="E443" s="44" t="n">
        <v>13</v>
      </c>
      <c r="F443" s="44" t="s">
        <v>318</v>
      </c>
      <c r="G443" s="44" t="s">
        <v>319</v>
      </c>
      <c r="H443" s="44" t="s">
        <v>137</v>
      </c>
      <c r="I443" s="44" t="s">
        <v>172</v>
      </c>
      <c r="J443" s="44" t="s">
        <v>206</v>
      </c>
      <c r="K443" s="44" t="n">
        <v>2</v>
      </c>
      <c r="L443" s="46" t="n">
        <v>28.2</v>
      </c>
      <c r="M443" s="47" t="n">
        <v>1.905</v>
      </c>
      <c r="N443" s="46" t="n">
        <v>230.59</v>
      </c>
      <c r="O443" s="44" t="s">
        <v>308</v>
      </c>
      <c r="P443" s="44" t="s">
        <v>369</v>
      </c>
      <c r="Q443" s="44" t="s">
        <v>309</v>
      </c>
    </row>
    <row r="444" customFormat="false" ht="15" hidden="false" customHeight="false" outlineLevel="0" collapsed="false">
      <c r="A444" s="44" t="n">
        <v>443</v>
      </c>
      <c r="B444" s="45" t="n">
        <v>45565</v>
      </c>
      <c r="C444" s="44" t="n">
        <v>9</v>
      </c>
      <c r="D444" s="44" t="n">
        <v>2024</v>
      </c>
      <c r="E444" s="44" t="n">
        <v>30</v>
      </c>
      <c r="F444" s="44" t="s">
        <v>328</v>
      </c>
      <c r="G444" s="44" t="s">
        <v>530</v>
      </c>
      <c r="H444" s="44" t="s">
        <v>137</v>
      </c>
      <c r="I444" s="44" t="s">
        <v>176</v>
      </c>
      <c r="J444" s="44" t="s">
        <v>206</v>
      </c>
      <c r="K444" s="44" t="n">
        <v>1</v>
      </c>
      <c r="L444" s="46" t="n">
        <v>6.07</v>
      </c>
      <c r="M444" s="47" t="n">
        <v>0</v>
      </c>
      <c r="N444" s="46" t="n">
        <v>6.07</v>
      </c>
      <c r="O444" s="44" t="s">
        <v>309</v>
      </c>
      <c r="P444" s="44" t="s">
        <v>317</v>
      </c>
      <c r="Q444" s="44" t="s">
        <v>309</v>
      </c>
    </row>
    <row r="445" customFormat="false" ht="15" hidden="false" customHeight="false" outlineLevel="0" collapsed="false">
      <c r="A445" s="44" t="n">
        <v>444</v>
      </c>
      <c r="B445" s="45" t="n">
        <v>45423</v>
      </c>
      <c r="C445" s="44" t="n">
        <v>5</v>
      </c>
      <c r="D445" s="44" t="n">
        <v>2024</v>
      </c>
      <c r="E445" s="44" t="n">
        <v>11</v>
      </c>
      <c r="F445" s="44" t="s">
        <v>318</v>
      </c>
      <c r="G445" s="44" t="s">
        <v>432</v>
      </c>
      <c r="H445" s="44" t="s">
        <v>139</v>
      </c>
      <c r="I445" s="44" t="s">
        <v>176</v>
      </c>
      <c r="J445" s="44" t="s">
        <v>191</v>
      </c>
      <c r="K445" s="44" t="n">
        <v>5</v>
      </c>
      <c r="L445" s="46" t="n">
        <v>18.33</v>
      </c>
      <c r="M445" s="47" t="n">
        <v>1.905</v>
      </c>
      <c r="N445" s="46" t="n">
        <v>391.79</v>
      </c>
      <c r="O445" s="44" t="s">
        <v>308</v>
      </c>
      <c r="P445" s="44" t="s">
        <v>369</v>
      </c>
      <c r="Q445" s="44" t="s">
        <v>309</v>
      </c>
    </row>
    <row r="446" customFormat="false" ht="15" hidden="false" customHeight="false" outlineLevel="0" collapsed="false">
      <c r="A446" s="44" t="n">
        <v>445</v>
      </c>
      <c r="B446" s="45" t="n">
        <v>45431</v>
      </c>
      <c r="C446" s="44" t="n">
        <v>5</v>
      </c>
      <c r="D446" s="44" t="n">
        <v>2024</v>
      </c>
      <c r="E446" s="44" t="n">
        <v>19</v>
      </c>
      <c r="F446" s="44" t="s">
        <v>312</v>
      </c>
      <c r="G446" s="44" t="s">
        <v>491</v>
      </c>
      <c r="H446" s="44" t="s">
        <v>139</v>
      </c>
      <c r="I446" s="44" t="s">
        <v>176</v>
      </c>
      <c r="J446" s="44" t="s">
        <v>192</v>
      </c>
      <c r="K446" s="44" t="n">
        <v>2</v>
      </c>
      <c r="L446" s="46" t="n">
        <v>18.33</v>
      </c>
      <c r="M446" s="47" t="n">
        <v>0.18</v>
      </c>
      <c r="N446" s="46" t="n">
        <v>27.07</v>
      </c>
      <c r="O446" s="44" t="s">
        <v>308</v>
      </c>
      <c r="P446" s="44" t="s">
        <v>309</v>
      </c>
      <c r="Q446" s="44" t="s">
        <v>309</v>
      </c>
    </row>
    <row r="447" customFormat="false" ht="15" hidden="false" customHeight="false" outlineLevel="0" collapsed="false">
      <c r="A447" s="44" t="n">
        <v>446</v>
      </c>
      <c r="B447" s="45" t="n">
        <v>45428</v>
      </c>
      <c r="C447" s="44" t="n">
        <v>5</v>
      </c>
      <c r="D447" s="44" t="n">
        <v>2024</v>
      </c>
      <c r="E447" s="44" t="n">
        <v>16</v>
      </c>
      <c r="F447" s="44" t="s">
        <v>306</v>
      </c>
      <c r="G447" s="44" t="s">
        <v>513</v>
      </c>
      <c r="H447" s="44" t="s">
        <v>136</v>
      </c>
      <c r="I447" s="44" t="s">
        <v>173</v>
      </c>
      <c r="J447" s="44" t="s">
        <v>194</v>
      </c>
      <c r="K447" s="44" t="n">
        <v>6</v>
      </c>
      <c r="L447" s="46" t="n">
        <v>138.56</v>
      </c>
      <c r="M447" s="47" t="n">
        <v>8.8</v>
      </c>
      <c r="N447" s="46" t="n">
        <v>758.2</v>
      </c>
      <c r="O447" s="44" t="s">
        <v>309</v>
      </c>
      <c r="P447" s="44" t="s">
        <v>309</v>
      </c>
      <c r="Q447" s="44" t="s">
        <v>309</v>
      </c>
    </row>
    <row r="448" customFormat="false" ht="15" hidden="false" customHeight="false" outlineLevel="0" collapsed="false">
      <c r="A448" s="44" t="n">
        <v>447</v>
      </c>
      <c r="B448" s="45" t="n">
        <v>45469</v>
      </c>
      <c r="C448" s="44" t="n">
        <v>6</v>
      </c>
      <c r="D448" s="44" t="n">
        <v>2024</v>
      </c>
      <c r="E448" s="44" t="n">
        <v>26</v>
      </c>
      <c r="F448" s="44" t="s">
        <v>321</v>
      </c>
      <c r="G448" s="44" t="s">
        <v>343</v>
      </c>
      <c r="H448" s="44" t="s">
        <v>138</v>
      </c>
      <c r="I448" s="44" t="s">
        <v>173</v>
      </c>
      <c r="J448" s="44" t="s">
        <v>206</v>
      </c>
      <c r="K448" s="44" t="n">
        <v>1</v>
      </c>
      <c r="L448" s="46" t="n">
        <v>32.8</v>
      </c>
      <c r="M448" s="47" t="n">
        <v>0</v>
      </c>
      <c r="N448" s="46" t="n">
        <v>32.8</v>
      </c>
      <c r="O448" s="44" t="s">
        <v>309</v>
      </c>
      <c r="P448" s="44" t="s">
        <v>309</v>
      </c>
      <c r="Q448" s="44" t="s">
        <v>309</v>
      </c>
    </row>
    <row r="449" customFormat="false" ht="15" hidden="false" customHeight="false" outlineLevel="0" collapsed="false">
      <c r="A449" s="44" t="n">
        <v>448</v>
      </c>
      <c r="B449" s="45" t="n">
        <v>45642</v>
      </c>
      <c r="C449" s="44" t="n">
        <v>12</v>
      </c>
      <c r="D449" s="44" t="n">
        <v>2024</v>
      </c>
      <c r="E449" s="44" t="n">
        <v>16</v>
      </c>
      <c r="F449" s="44" t="s">
        <v>328</v>
      </c>
      <c r="G449" s="44" t="s">
        <v>460</v>
      </c>
      <c r="H449" s="44" t="s">
        <v>140</v>
      </c>
      <c r="I449" s="44" t="s">
        <v>173</v>
      </c>
      <c r="J449" s="44" t="s">
        <v>191</v>
      </c>
      <c r="K449" s="44" t="n">
        <v>4</v>
      </c>
      <c r="L449" s="46" t="n">
        <v>52.98</v>
      </c>
      <c r="M449" s="47" t="n">
        <v>3.81</v>
      </c>
      <c r="N449" s="46" t="n">
        <v>203.85</v>
      </c>
      <c r="O449" s="44" t="s">
        <v>309</v>
      </c>
      <c r="P449" s="44" t="s">
        <v>309</v>
      </c>
      <c r="Q449" s="44" t="s">
        <v>309</v>
      </c>
    </row>
    <row r="450" customFormat="false" ht="15" hidden="false" customHeight="false" outlineLevel="0" collapsed="false">
      <c r="A450" s="44" t="n">
        <v>449</v>
      </c>
      <c r="B450" s="45" t="n">
        <v>45458</v>
      </c>
      <c r="C450" s="44" t="n">
        <v>6</v>
      </c>
      <c r="D450" s="44" t="n">
        <v>2024</v>
      </c>
      <c r="E450" s="44" t="n">
        <v>15</v>
      </c>
      <c r="F450" s="44" t="s">
        <v>318</v>
      </c>
      <c r="G450" s="44" t="s">
        <v>443</v>
      </c>
      <c r="H450" s="44" t="s">
        <v>136</v>
      </c>
      <c r="I450" s="44" t="s">
        <v>176</v>
      </c>
      <c r="J450" s="44" t="s">
        <v>206</v>
      </c>
      <c r="K450" s="44" t="n">
        <v>3</v>
      </c>
      <c r="L450" s="46" t="n">
        <v>90.89</v>
      </c>
      <c r="M450" s="47" t="n">
        <v>4.42</v>
      </c>
      <c r="N450" s="46" t="n">
        <v>260.62</v>
      </c>
      <c r="O450" s="44" t="s">
        <v>309</v>
      </c>
      <c r="P450" s="44" t="s">
        <v>309</v>
      </c>
      <c r="Q450" s="44" t="s">
        <v>309</v>
      </c>
    </row>
    <row r="451" customFormat="false" ht="15" hidden="false" customHeight="false" outlineLevel="0" collapsed="false">
      <c r="A451" s="44" t="n">
        <v>450</v>
      </c>
      <c r="B451" s="45" t="n">
        <v>45447</v>
      </c>
      <c r="C451" s="44" t="n">
        <v>6</v>
      </c>
      <c r="D451" s="44" t="n">
        <v>2024</v>
      </c>
      <c r="E451" s="44" t="n">
        <v>4</v>
      </c>
      <c r="F451" s="44" t="s">
        <v>310</v>
      </c>
      <c r="G451" s="44" t="s">
        <v>443</v>
      </c>
      <c r="H451" s="44" t="s">
        <v>139</v>
      </c>
      <c r="I451" s="44" t="s">
        <v>172</v>
      </c>
      <c r="J451" s="44" t="s">
        <v>191</v>
      </c>
      <c r="K451" s="44" t="n">
        <v>5</v>
      </c>
      <c r="L451" s="46" t="n">
        <v>27.99</v>
      </c>
      <c r="M451" s="47" t="n">
        <v>8.3</v>
      </c>
      <c r="N451" s="46" t="n">
        <v>128.33</v>
      </c>
      <c r="O451" s="44" t="s">
        <v>309</v>
      </c>
      <c r="P451" s="44" t="s">
        <v>317</v>
      </c>
      <c r="Q451" s="44" t="s">
        <v>309</v>
      </c>
    </row>
    <row r="452" customFormat="false" ht="15" hidden="false" customHeight="false" outlineLevel="0" collapsed="false">
      <c r="A452" s="44" t="n">
        <v>451</v>
      </c>
      <c r="B452" s="45" t="n">
        <v>45546</v>
      </c>
      <c r="C452" s="44" t="n">
        <v>9</v>
      </c>
      <c r="D452" s="44" t="n">
        <v>2024</v>
      </c>
      <c r="E452" s="44" t="n">
        <v>11</v>
      </c>
      <c r="F452" s="44" t="s">
        <v>321</v>
      </c>
      <c r="G452" s="44" t="s">
        <v>511</v>
      </c>
      <c r="H452" s="44" t="s">
        <v>140</v>
      </c>
      <c r="I452" s="44" t="s">
        <v>173</v>
      </c>
      <c r="J452" s="44" t="s">
        <v>206</v>
      </c>
      <c r="K452" s="44" t="n">
        <v>2</v>
      </c>
      <c r="L452" s="46" t="n">
        <v>2</v>
      </c>
      <c r="M452" s="47" t="n">
        <v>3.25</v>
      </c>
      <c r="N452" s="46" t="n">
        <v>3.87</v>
      </c>
      <c r="O452" s="44" t="s">
        <v>309</v>
      </c>
      <c r="P452" s="44" t="s">
        <v>317</v>
      </c>
      <c r="Q452" s="44" t="s">
        <v>309</v>
      </c>
    </row>
    <row r="453" customFormat="false" ht="15" hidden="false" customHeight="false" outlineLevel="0" collapsed="false">
      <c r="A453" s="44" t="n">
        <v>452</v>
      </c>
      <c r="B453" s="45" t="n">
        <v>45503</v>
      </c>
      <c r="C453" s="44" t="n">
        <v>7</v>
      </c>
      <c r="D453" s="44" t="n">
        <v>2024</v>
      </c>
      <c r="E453" s="44" t="n">
        <v>30</v>
      </c>
      <c r="F453" s="44" t="s">
        <v>310</v>
      </c>
      <c r="G453" s="44" t="s">
        <v>409</v>
      </c>
      <c r="H453" s="44" t="s">
        <v>134</v>
      </c>
      <c r="I453" s="44" t="s">
        <v>176</v>
      </c>
      <c r="J453" s="44" t="s">
        <v>191</v>
      </c>
      <c r="K453" s="44" t="n">
        <v>1</v>
      </c>
      <c r="L453" s="46" t="n">
        <v>29.18</v>
      </c>
      <c r="M453" s="47" t="n">
        <v>1.905</v>
      </c>
      <c r="N453" s="46" t="n">
        <v>208.15</v>
      </c>
      <c r="O453" s="44" t="s">
        <v>308</v>
      </c>
      <c r="P453" s="44" t="s">
        <v>369</v>
      </c>
      <c r="Q453" s="44" t="s">
        <v>309</v>
      </c>
    </row>
    <row r="454" customFormat="false" ht="15" hidden="false" customHeight="false" outlineLevel="0" collapsed="false">
      <c r="A454" s="44" t="n">
        <v>453</v>
      </c>
      <c r="B454" s="45" t="n">
        <v>45523</v>
      </c>
      <c r="C454" s="44" t="n">
        <v>8</v>
      </c>
      <c r="D454" s="44" t="n">
        <v>2024</v>
      </c>
      <c r="E454" s="44" t="n">
        <v>19</v>
      </c>
      <c r="F454" s="44" t="s">
        <v>328</v>
      </c>
      <c r="G454" s="44" t="s">
        <v>377</v>
      </c>
      <c r="H454" s="44" t="s">
        <v>135</v>
      </c>
      <c r="I454" s="44" t="s">
        <v>172</v>
      </c>
      <c r="J454" s="44" t="s">
        <v>194</v>
      </c>
      <c r="K454" s="44" t="n">
        <v>2</v>
      </c>
      <c r="L454" s="46" t="n">
        <v>5.66</v>
      </c>
      <c r="M454" s="47" t="n">
        <v>1.94</v>
      </c>
      <c r="N454" s="46" t="n">
        <v>11.1</v>
      </c>
      <c r="O454" s="44" t="s">
        <v>309</v>
      </c>
      <c r="P454" s="44" t="s">
        <v>317</v>
      </c>
      <c r="Q454" s="44" t="s">
        <v>309</v>
      </c>
    </row>
    <row r="455" customFormat="false" ht="15" hidden="false" customHeight="false" outlineLevel="0" collapsed="false">
      <c r="A455" s="44" t="n">
        <v>454</v>
      </c>
      <c r="B455" s="45" t="n">
        <v>45360</v>
      </c>
      <c r="C455" s="44" t="n">
        <v>3</v>
      </c>
      <c r="D455" s="44" t="n">
        <v>2024</v>
      </c>
      <c r="E455" s="44" t="n">
        <v>9</v>
      </c>
      <c r="F455" s="44" t="s">
        <v>318</v>
      </c>
      <c r="G455" s="44" t="s">
        <v>395</v>
      </c>
      <c r="H455" s="44" t="s">
        <v>139</v>
      </c>
      <c r="I455" s="44" t="s">
        <v>172</v>
      </c>
      <c r="J455" s="44" t="s">
        <v>206</v>
      </c>
      <c r="K455" s="44" t="n">
        <v>3</v>
      </c>
      <c r="L455" s="46" t="n">
        <v>13.6</v>
      </c>
      <c r="M455" s="47" t="n">
        <v>4.68</v>
      </c>
      <c r="N455" s="46" t="n">
        <v>38.89</v>
      </c>
      <c r="O455" s="44" t="s">
        <v>309</v>
      </c>
      <c r="P455" s="44" t="s">
        <v>317</v>
      </c>
      <c r="Q455" s="44" t="s">
        <v>309</v>
      </c>
    </row>
    <row r="456" customFormat="false" ht="15" hidden="false" customHeight="false" outlineLevel="0" collapsed="false">
      <c r="A456" s="44" t="n">
        <v>455</v>
      </c>
      <c r="B456" s="45" t="n">
        <v>45322</v>
      </c>
      <c r="C456" s="44" t="n">
        <v>1</v>
      </c>
      <c r="D456" s="44" t="n">
        <v>2024</v>
      </c>
      <c r="E456" s="44" t="n">
        <v>31</v>
      </c>
      <c r="F456" s="44" t="s">
        <v>321</v>
      </c>
      <c r="G456" s="44" t="s">
        <v>387</v>
      </c>
      <c r="H456" s="44" t="s">
        <v>135</v>
      </c>
      <c r="I456" s="44" t="s">
        <v>176</v>
      </c>
      <c r="J456" s="44" t="s">
        <v>206</v>
      </c>
      <c r="K456" s="44" t="n">
        <v>2</v>
      </c>
      <c r="L456" s="46" t="n">
        <v>38.62</v>
      </c>
      <c r="M456" s="47" t="n">
        <v>1.35</v>
      </c>
      <c r="N456" s="46" t="n">
        <v>76.2</v>
      </c>
      <c r="O456" s="44" t="s">
        <v>309</v>
      </c>
      <c r="P456" s="44" t="s">
        <v>317</v>
      </c>
      <c r="Q456" s="44" t="s">
        <v>309</v>
      </c>
    </row>
    <row r="457" customFormat="false" ht="15" hidden="false" customHeight="false" outlineLevel="0" collapsed="false">
      <c r="A457" s="44" t="n">
        <v>456</v>
      </c>
      <c r="B457" s="45" t="n">
        <v>45353</v>
      </c>
      <c r="C457" s="44" t="n">
        <v>3</v>
      </c>
      <c r="D457" s="44" t="n">
        <v>2024</v>
      </c>
      <c r="E457" s="44" t="n">
        <v>2</v>
      </c>
      <c r="F457" s="44" t="s">
        <v>318</v>
      </c>
      <c r="G457" s="44" t="s">
        <v>370</v>
      </c>
      <c r="H457" s="44" t="s">
        <v>137</v>
      </c>
      <c r="I457" s="44" t="s">
        <v>176</v>
      </c>
      <c r="J457" s="44" t="s">
        <v>200</v>
      </c>
      <c r="K457" s="44" t="n">
        <v>1</v>
      </c>
      <c r="L457" s="46" t="n">
        <v>37.53</v>
      </c>
      <c r="M457" s="47" t="n">
        <v>0.55</v>
      </c>
      <c r="N457" s="46" t="n">
        <v>37.32</v>
      </c>
      <c r="O457" s="44" t="s">
        <v>309</v>
      </c>
      <c r="P457" s="44" t="s">
        <v>309</v>
      </c>
      <c r="Q457" s="44" t="s">
        <v>309</v>
      </c>
    </row>
    <row r="458" customFormat="false" ht="15" hidden="false" customHeight="false" outlineLevel="0" collapsed="false">
      <c r="A458" s="44" t="n">
        <v>457</v>
      </c>
      <c r="B458" s="45" t="n">
        <v>45367</v>
      </c>
      <c r="C458" s="44" t="n">
        <v>3</v>
      </c>
      <c r="D458" s="44" t="n">
        <v>2024</v>
      </c>
      <c r="E458" s="44" t="n">
        <v>16</v>
      </c>
      <c r="F458" s="44" t="s">
        <v>318</v>
      </c>
      <c r="G458" s="44" t="s">
        <v>436</v>
      </c>
      <c r="H458" s="44" t="s">
        <v>138</v>
      </c>
      <c r="I458" s="44" t="s">
        <v>172</v>
      </c>
      <c r="J458" s="44" t="s">
        <v>192</v>
      </c>
      <c r="K458" s="44" t="n">
        <v>4</v>
      </c>
      <c r="L458" s="46" t="n">
        <v>5.83</v>
      </c>
      <c r="M458" s="47" t="n">
        <v>3.52</v>
      </c>
      <c r="N458" s="46" t="n">
        <v>22.5</v>
      </c>
      <c r="O458" s="44" t="s">
        <v>309</v>
      </c>
      <c r="P458" s="44" t="s">
        <v>317</v>
      </c>
      <c r="Q458" s="44" t="s">
        <v>309</v>
      </c>
    </row>
    <row r="459" customFormat="false" ht="15" hidden="false" customHeight="false" outlineLevel="0" collapsed="false">
      <c r="A459" s="44" t="n">
        <v>458</v>
      </c>
      <c r="B459" s="45" t="n">
        <v>45503</v>
      </c>
      <c r="C459" s="44" t="n">
        <v>7</v>
      </c>
      <c r="D459" s="44" t="n">
        <v>2024</v>
      </c>
      <c r="E459" s="44" t="n">
        <v>30</v>
      </c>
      <c r="F459" s="44" t="s">
        <v>310</v>
      </c>
      <c r="G459" s="44" t="s">
        <v>410</v>
      </c>
      <c r="H459" s="44" t="s">
        <v>136</v>
      </c>
      <c r="I459" s="44" t="s">
        <v>172</v>
      </c>
      <c r="J459" s="44" t="s">
        <v>203</v>
      </c>
      <c r="K459" s="44" t="n">
        <v>12</v>
      </c>
      <c r="L459" s="46" t="n">
        <v>123.51</v>
      </c>
      <c r="M459" s="47" t="n">
        <v>18</v>
      </c>
      <c r="N459" s="46" t="n">
        <v>1215.34</v>
      </c>
      <c r="O459" s="44" t="s">
        <v>309</v>
      </c>
      <c r="P459" s="44" t="s">
        <v>309</v>
      </c>
      <c r="Q459" s="44" t="s">
        <v>309</v>
      </c>
    </row>
    <row r="460" customFormat="false" ht="15" hidden="false" customHeight="false" outlineLevel="0" collapsed="false">
      <c r="A460" s="44" t="n">
        <v>459</v>
      </c>
      <c r="B460" s="45" t="n">
        <v>45650</v>
      </c>
      <c r="C460" s="44" t="n">
        <v>12</v>
      </c>
      <c r="D460" s="44" t="n">
        <v>2024</v>
      </c>
      <c r="E460" s="44" t="n">
        <v>24</v>
      </c>
      <c r="F460" s="44" t="s">
        <v>310</v>
      </c>
      <c r="G460" s="44" t="s">
        <v>391</v>
      </c>
      <c r="H460" s="44" t="s">
        <v>134</v>
      </c>
      <c r="I460" s="44" t="s">
        <v>176</v>
      </c>
      <c r="J460" s="44" t="s">
        <v>201</v>
      </c>
      <c r="K460" s="44" t="n">
        <v>1</v>
      </c>
      <c r="L460" s="46" t="n">
        <v>25.48</v>
      </c>
      <c r="M460" s="47" t="n">
        <v>0</v>
      </c>
      <c r="N460" s="46" t="n">
        <v>25.48</v>
      </c>
      <c r="O460" s="44" t="s">
        <v>309</v>
      </c>
      <c r="P460" s="44" t="s">
        <v>309</v>
      </c>
      <c r="Q460" s="44" t="s">
        <v>309</v>
      </c>
    </row>
    <row r="461" customFormat="false" ht="15" hidden="false" customHeight="false" outlineLevel="0" collapsed="false">
      <c r="A461" s="44" t="n">
        <v>460</v>
      </c>
      <c r="B461" s="45" t="n">
        <v>45328</v>
      </c>
      <c r="C461" s="44" t="n">
        <v>2</v>
      </c>
      <c r="D461" s="44" t="n">
        <v>2024</v>
      </c>
      <c r="E461" s="44" t="n">
        <v>6</v>
      </c>
      <c r="F461" s="44" t="s">
        <v>310</v>
      </c>
      <c r="G461" s="44" t="s">
        <v>531</v>
      </c>
      <c r="H461" s="44" t="s">
        <v>134</v>
      </c>
      <c r="I461" s="44" t="s">
        <v>173</v>
      </c>
      <c r="J461" s="44" t="s">
        <v>202</v>
      </c>
      <c r="K461" s="44" t="n">
        <v>10</v>
      </c>
      <c r="L461" s="46" t="n">
        <v>29.18</v>
      </c>
      <c r="M461" s="47" t="n">
        <v>1.905</v>
      </c>
      <c r="N461" s="46" t="n">
        <v>52.21</v>
      </c>
      <c r="O461" s="44" t="s">
        <v>308</v>
      </c>
      <c r="P461" s="44" t="s">
        <v>369</v>
      </c>
      <c r="Q461" s="44" t="s">
        <v>309</v>
      </c>
    </row>
    <row r="462" customFormat="false" ht="15" hidden="false" customHeight="false" outlineLevel="0" collapsed="false">
      <c r="A462" s="44" t="n">
        <v>461</v>
      </c>
      <c r="B462" s="45" t="n">
        <v>45422</v>
      </c>
      <c r="C462" s="44" t="n">
        <v>5</v>
      </c>
      <c r="D462" s="44" t="n">
        <v>2024</v>
      </c>
      <c r="E462" s="44" t="n">
        <v>10</v>
      </c>
      <c r="F462" s="44" t="s">
        <v>325</v>
      </c>
      <c r="G462" s="44" t="s">
        <v>423</v>
      </c>
      <c r="H462" s="44" t="s">
        <v>136</v>
      </c>
      <c r="I462" s="44" t="s">
        <v>172</v>
      </c>
      <c r="J462" s="44" t="s">
        <v>206</v>
      </c>
      <c r="K462" s="44" t="n">
        <v>2</v>
      </c>
      <c r="L462" s="46" t="n">
        <v>21.6</v>
      </c>
      <c r="M462" s="47" t="n">
        <v>1.98</v>
      </c>
      <c r="N462" s="46" t="n">
        <v>42.34</v>
      </c>
      <c r="O462" s="44" t="s">
        <v>309</v>
      </c>
      <c r="P462" s="44" t="s">
        <v>309</v>
      </c>
      <c r="Q462" s="44" t="s">
        <v>309</v>
      </c>
    </row>
    <row r="463" customFormat="false" ht="15" hidden="false" customHeight="false" outlineLevel="0" collapsed="false">
      <c r="A463" s="44" t="n">
        <v>462</v>
      </c>
      <c r="B463" s="45" t="n">
        <v>45650</v>
      </c>
      <c r="C463" s="44" t="n">
        <v>12</v>
      </c>
      <c r="D463" s="44" t="n">
        <v>2024</v>
      </c>
      <c r="E463" s="44" t="n">
        <v>24</v>
      </c>
      <c r="F463" s="44" t="s">
        <v>310</v>
      </c>
      <c r="G463" s="44" t="s">
        <v>381</v>
      </c>
      <c r="H463" s="44" t="s">
        <v>137</v>
      </c>
      <c r="I463" s="44" t="s">
        <v>176</v>
      </c>
      <c r="J463" s="44" t="s">
        <v>197</v>
      </c>
      <c r="K463" s="44" t="n">
        <v>4</v>
      </c>
      <c r="L463" s="46" t="n">
        <v>35.02</v>
      </c>
      <c r="M463" s="47" t="n">
        <v>4.02</v>
      </c>
      <c r="N463" s="46" t="n">
        <v>134.45</v>
      </c>
      <c r="O463" s="44" t="s">
        <v>309</v>
      </c>
      <c r="P463" s="44" t="s">
        <v>309</v>
      </c>
      <c r="Q463" s="44" t="s">
        <v>309</v>
      </c>
    </row>
    <row r="464" customFormat="false" ht="15" hidden="false" customHeight="false" outlineLevel="0" collapsed="false">
      <c r="A464" s="44" t="n">
        <v>463</v>
      </c>
      <c r="B464" s="45" t="n">
        <v>45547</v>
      </c>
      <c r="C464" s="44" t="n">
        <v>9</v>
      </c>
      <c r="D464" s="44" t="n">
        <v>2024</v>
      </c>
      <c r="E464" s="44" t="n">
        <v>12</v>
      </c>
      <c r="F464" s="44" t="s">
        <v>306</v>
      </c>
      <c r="G464" s="44" t="s">
        <v>420</v>
      </c>
      <c r="H464" s="44" t="s">
        <v>137</v>
      </c>
      <c r="I464" s="44" t="s">
        <v>173</v>
      </c>
      <c r="J464" s="44" t="s">
        <v>195</v>
      </c>
      <c r="K464" s="44" t="n">
        <v>2</v>
      </c>
      <c r="L464" s="46" t="n">
        <v>157.67</v>
      </c>
      <c r="M464" s="47" t="n">
        <v>0.49</v>
      </c>
      <c r="N464" s="46" t="n">
        <v>313.79</v>
      </c>
      <c r="O464" s="44" t="s">
        <v>309</v>
      </c>
      <c r="P464" s="44" t="s">
        <v>309</v>
      </c>
      <c r="Q464" s="44" t="s">
        <v>309</v>
      </c>
    </row>
    <row r="465" customFormat="false" ht="15" hidden="false" customHeight="false" outlineLevel="0" collapsed="false">
      <c r="A465" s="44" t="n">
        <v>464</v>
      </c>
      <c r="B465" s="45" t="n">
        <v>45536</v>
      </c>
      <c r="C465" s="44" t="n">
        <v>9</v>
      </c>
      <c r="D465" s="44" t="n">
        <v>2024</v>
      </c>
      <c r="E465" s="44" t="n">
        <v>1</v>
      </c>
      <c r="F465" s="44" t="s">
        <v>312</v>
      </c>
      <c r="G465" s="44" t="s">
        <v>532</v>
      </c>
      <c r="H465" s="44" t="s">
        <v>136</v>
      </c>
      <c r="I465" s="44" t="s">
        <v>172</v>
      </c>
      <c r="J465" s="44" t="s">
        <v>191</v>
      </c>
      <c r="K465" s="44" t="n">
        <v>3</v>
      </c>
      <c r="L465" s="46" t="n">
        <v>74.3</v>
      </c>
      <c r="M465" s="47" t="n">
        <v>3.95</v>
      </c>
      <c r="N465" s="46" t="n">
        <v>214.1</v>
      </c>
      <c r="O465" s="44" t="s">
        <v>309</v>
      </c>
      <c r="P465" s="44" t="s">
        <v>309</v>
      </c>
      <c r="Q465" s="44" t="s">
        <v>309</v>
      </c>
    </row>
    <row r="466" customFormat="false" ht="15" hidden="false" customHeight="false" outlineLevel="0" collapsed="false">
      <c r="A466" s="44" t="n">
        <v>465</v>
      </c>
      <c r="B466" s="45" t="n">
        <v>45499</v>
      </c>
      <c r="C466" s="44" t="n">
        <v>7</v>
      </c>
      <c r="D466" s="44" t="n">
        <v>2024</v>
      </c>
      <c r="E466" s="44" t="n">
        <v>26</v>
      </c>
      <c r="F466" s="44" t="s">
        <v>325</v>
      </c>
      <c r="G466" s="44" t="s">
        <v>332</v>
      </c>
      <c r="H466" s="44" t="s">
        <v>136</v>
      </c>
      <c r="I466" s="44" t="s">
        <v>172</v>
      </c>
      <c r="J466" s="44" t="s">
        <v>191</v>
      </c>
      <c r="K466" s="44" t="n">
        <v>5</v>
      </c>
      <c r="L466" s="46" t="n">
        <v>21.67</v>
      </c>
      <c r="M466" s="47" t="n">
        <v>5.75</v>
      </c>
      <c r="N466" s="46" t="n">
        <v>653.39</v>
      </c>
      <c r="O466" s="44" t="s">
        <v>308</v>
      </c>
      <c r="P466" s="44" t="s">
        <v>309</v>
      </c>
      <c r="Q466" s="44" t="s">
        <v>309</v>
      </c>
    </row>
    <row r="467" customFormat="false" ht="15" hidden="false" customHeight="false" outlineLevel="0" collapsed="false">
      <c r="A467" s="44" t="n">
        <v>466</v>
      </c>
      <c r="B467" s="45" t="n">
        <v>45349</v>
      </c>
      <c r="C467" s="44" t="n">
        <v>2</v>
      </c>
      <c r="D467" s="44" t="n">
        <v>2024</v>
      </c>
      <c r="E467" s="44" t="n">
        <v>27</v>
      </c>
      <c r="F467" s="44" t="s">
        <v>310</v>
      </c>
      <c r="G467" s="44" t="s">
        <v>520</v>
      </c>
      <c r="H467" s="44" t="s">
        <v>135</v>
      </c>
      <c r="I467" s="44" t="s">
        <v>176</v>
      </c>
      <c r="J467" s="44" t="s">
        <v>192</v>
      </c>
      <c r="K467" s="44" t="n">
        <v>1</v>
      </c>
      <c r="L467" s="46" t="n">
        <v>12.87</v>
      </c>
      <c r="M467" s="47" t="n">
        <v>0</v>
      </c>
      <c r="N467" s="46" t="n">
        <v>12.87</v>
      </c>
      <c r="O467" s="44" t="s">
        <v>309</v>
      </c>
      <c r="P467" s="44" t="s">
        <v>309</v>
      </c>
      <c r="Q467" s="44" t="s">
        <v>309</v>
      </c>
    </row>
    <row r="468" customFormat="false" ht="15" hidden="false" customHeight="false" outlineLevel="0" collapsed="false">
      <c r="A468" s="44" t="n">
        <v>467</v>
      </c>
      <c r="B468" s="45" t="n">
        <v>45511</v>
      </c>
      <c r="C468" s="44" t="n">
        <v>8</v>
      </c>
      <c r="D468" s="44" t="n">
        <v>2024</v>
      </c>
      <c r="E468" s="44" t="n">
        <v>7</v>
      </c>
      <c r="F468" s="44" t="s">
        <v>321</v>
      </c>
      <c r="G468" s="44" t="s">
        <v>533</v>
      </c>
      <c r="H468" s="44" t="s">
        <v>138</v>
      </c>
      <c r="I468" s="44" t="s">
        <v>176</v>
      </c>
      <c r="J468" s="44" t="s">
        <v>206</v>
      </c>
      <c r="K468" s="44" t="n">
        <v>1</v>
      </c>
      <c r="L468" s="46" t="n">
        <v>7.48</v>
      </c>
      <c r="M468" s="47" t="n">
        <v>0</v>
      </c>
      <c r="N468" s="46" t="n">
        <v>7.48</v>
      </c>
      <c r="O468" s="44" t="s">
        <v>309</v>
      </c>
      <c r="P468" s="44" t="s">
        <v>309</v>
      </c>
      <c r="Q468" s="44" t="s">
        <v>309</v>
      </c>
    </row>
    <row r="469" customFormat="false" ht="15" hidden="false" customHeight="false" outlineLevel="0" collapsed="false">
      <c r="A469" s="44" t="n">
        <v>468</v>
      </c>
      <c r="B469" s="45" t="n">
        <v>45371</v>
      </c>
      <c r="C469" s="44" t="n">
        <v>3</v>
      </c>
      <c r="D469" s="44" t="n">
        <v>2024</v>
      </c>
      <c r="E469" s="44" t="n">
        <v>20</v>
      </c>
      <c r="F469" s="44" t="s">
        <v>321</v>
      </c>
      <c r="G469" s="44" t="s">
        <v>534</v>
      </c>
      <c r="H469" s="44" t="s">
        <v>139</v>
      </c>
      <c r="I469" s="44" t="s">
        <v>173</v>
      </c>
      <c r="J469" s="44" t="s">
        <v>192</v>
      </c>
      <c r="K469" s="44" t="n">
        <v>4</v>
      </c>
      <c r="L469" s="46" t="n">
        <v>18.33</v>
      </c>
      <c r="M469" s="47" t="n">
        <v>3.63</v>
      </c>
      <c r="N469" s="46" t="n">
        <v>25.71</v>
      </c>
      <c r="O469" s="44" t="s">
        <v>308</v>
      </c>
      <c r="P469" s="44" t="s">
        <v>309</v>
      </c>
      <c r="Q469" s="44" t="s">
        <v>309</v>
      </c>
    </row>
    <row r="470" customFormat="false" ht="15" hidden="false" customHeight="false" outlineLevel="0" collapsed="false">
      <c r="A470" s="44" t="n">
        <v>469</v>
      </c>
      <c r="B470" s="45" t="n">
        <v>45578</v>
      </c>
      <c r="C470" s="44" t="n">
        <v>10</v>
      </c>
      <c r="D470" s="44" t="n">
        <v>2024</v>
      </c>
      <c r="E470" s="44" t="n">
        <v>13</v>
      </c>
      <c r="F470" s="44" t="s">
        <v>312</v>
      </c>
      <c r="G470" s="44" t="s">
        <v>372</v>
      </c>
      <c r="H470" s="44" t="s">
        <v>140</v>
      </c>
      <c r="I470" s="44" t="s">
        <v>176</v>
      </c>
      <c r="J470" s="44" t="s">
        <v>193</v>
      </c>
      <c r="K470" s="44" t="n">
        <v>6</v>
      </c>
      <c r="L470" s="46" t="n">
        <v>1.92</v>
      </c>
      <c r="M470" s="47" t="n">
        <v>6.42</v>
      </c>
      <c r="N470" s="46" t="n">
        <v>10.78</v>
      </c>
      <c r="O470" s="44" t="s">
        <v>309</v>
      </c>
      <c r="P470" s="44" t="s">
        <v>317</v>
      </c>
      <c r="Q470" s="44" t="s">
        <v>309</v>
      </c>
    </row>
    <row r="471" customFormat="false" ht="15" hidden="false" customHeight="false" outlineLevel="0" collapsed="false">
      <c r="A471" s="44" t="n">
        <v>470</v>
      </c>
      <c r="B471" s="45" t="n">
        <v>45515</v>
      </c>
      <c r="C471" s="44" t="n">
        <v>8</v>
      </c>
      <c r="D471" s="44" t="n">
        <v>2024</v>
      </c>
      <c r="E471" s="44" t="n">
        <v>11</v>
      </c>
      <c r="F471" s="44" t="s">
        <v>312</v>
      </c>
      <c r="G471" s="44" t="s">
        <v>479</v>
      </c>
      <c r="H471" s="44" t="s">
        <v>137</v>
      </c>
      <c r="I471" s="44" t="s">
        <v>176</v>
      </c>
      <c r="J471" s="44" t="s">
        <v>191</v>
      </c>
      <c r="K471" s="44" t="n">
        <v>2</v>
      </c>
      <c r="L471" s="46" t="n">
        <v>12.51</v>
      </c>
      <c r="M471" s="47" t="n">
        <v>3.4</v>
      </c>
      <c r="N471" s="46" t="n">
        <v>24.17</v>
      </c>
      <c r="O471" s="44" t="s">
        <v>309</v>
      </c>
      <c r="P471" s="44" t="s">
        <v>317</v>
      </c>
      <c r="Q471" s="44" t="s">
        <v>314</v>
      </c>
    </row>
    <row r="472" customFormat="false" ht="15" hidden="false" customHeight="false" outlineLevel="0" collapsed="false">
      <c r="A472" s="44" t="n">
        <v>471</v>
      </c>
      <c r="B472" s="45" t="n">
        <v>45599</v>
      </c>
      <c r="C472" s="44" t="n">
        <v>11</v>
      </c>
      <c r="D472" s="44" t="n">
        <v>2024</v>
      </c>
      <c r="E472" s="44" t="n">
        <v>3</v>
      </c>
      <c r="F472" s="44" t="s">
        <v>312</v>
      </c>
      <c r="G472" s="44" t="s">
        <v>431</v>
      </c>
      <c r="H472" s="44" t="s">
        <v>135</v>
      </c>
      <c r="I472" s="44" t="s">
        <v>172</v>
      </c>
      <c r="J472" s="44" t="s">
        <v>192</v>
      </c>
      <c r="K472" s="44" t="n">
        <v>1</v>
      </c>
      <c r="L472" s="46" t="n">
        <v>48.35</v>
      </c>
      <c r="M472" s="47" t="n">
        <v>1.36</v>
      </c>
      <c r="N472" s="46" t="n">
        <v>47.69</v>
      </c>
      <c r="O472" s="44" t="s">
        <v>309</v>
      </c>
      <c r="P472" s="44" t="s">
        <v>309</v>
      </c>
      <c r="Q472" s="44" t="s">
        <v>309</v>
      </c>
    </row>
    <row r="473" customFormat="false" ht="15" hidden="false" customHeight="false" outlineLevel="0" collapsed="false">
      <c r="A473" s="44" t="n">
        <v>472</v>
      </c>
      <c r="B473" s="45" t="n">
        <v>45464</v>
      </c>
      <c r="C473" s="44" t="n">
        <v>6</v>
      </c>
      <c r="D473" s="44" t="n">
        <v>2024</v>
      </c>
      <c r="E473" s="44" t="n">
        <v>21</v>
      </c>
      <c r="F473" s="44" t="s">
        <v>325</v>
      </c>
      <c r="G473" s="44" t="s">
        <v>382</v>
      </c>
      <c r="H473" s="44" t="s">
        <v>136</v>
      </c>
      <c r="I473" s="44" t="s">
        <v>172</v>
      </c>
      <c r="J473" s="44" t="s">
        <v>191</v>
      </c>
      <c r="K473" s="44" t="n">
        <v>2</v>
      </c>
      <c r="L473" s="46" t="n">
        <v>12.1</v>
      </c>
      <c r="M473" s="47" t="n">
        <v>1.24</v>
      </c>
      <c r="N473" s="46" t="n">
        <v>23.9</v>
      </c>
      <c r="O473" s="44" t="s">
        <v>309</v>
      </c>
      <c r="P473" s="44" t="s">
        <v>317</v>
      </c>
      <c r="Q473" s="44" t="s">
        <v>309</v>
      </c>
    </row>
    <row r="474" customFormat="false" ht="15" hidden="false" customHeight="false" outlineLevel="0" collapsed="false">
      <c r="A474" s="44" t="n">
        <v>473</v>
      </c>
      <c r="B474" s="45" t="n">
        <v>45309</v>
      </c>
      <c r="C474" s="44" t="n">
        <v>1</v>
      </c>
      <c r="D474" s="44" t="n">
        <v>2024</v>
      </c>
      <c r="E474" s="44" t="n">
        <v>18</v>
      </c>
      <c r="F474" s="44" t="s">
        <v>306</v>
      </c>
      <c r="G474" s="44" t="s">
        <v>333</v>
      </c>
      <c r="H474" s="44" t="s">
        <v>139</v>
      </c>
      <c r="I474" s="44" t="s">
        <v>173</v>
      </c>
      <c r="J474" s="44" t="s">
        <v>206</v>
      </c>
      <c r="K474" s="44" t="n">
        <v>10</v>
      </c>
      <c r="L474" s="46" t="n">
        <v>16.94</v>
      </c>
      <c r="M474" s="47" t="n">
        <v>14.69</v>
      </c>
      <c r="N474" s="46" t="n">
        <v>144.52</v>
      </c>
      <c r="O474" s="44" t="s">
        <v>309</v>
      </c>
      <c r="P474" s="44" t="s">
        <v>317</v>
      </c>
      <c r="Q474" s="44" t="s">
        <v>309</v>
      </c>
    </row>
    <row r="475" customFormat="false" ht="15" hidden="false" customHeight="false" outlineLevel="0" collapsed="false">
      <c r="A475" s="44" t="n">
        <v>474</v>
      </c>
      <c r="B475" s="45" t="n">
        <v>45347</v>
      </c>
      <c r="C475" s="44" t="n">
        <v>2</v>
      </c>
      <c r="D475" s="44" t="n">
        <v>2024</v>
      </c>
      <c r="E475" s="44" t="n">
        <v>25</v>
      </c>
      <c r="F475" s="44" t="s">
        <v>312</v>
      </c>
      <c r="G475" s="44" t="s">
        <v>470</v>
      </c>
      <c r="H475" s="44" t="s">
        <v>134</v>
      </c>
      <c r="I475" s="44" t="s">
        <v>172</v>
      </c>
      <c r="J475" s="44" t="s">
        <v>206</v>
      </c>
      <c r="K475" s="44" t="n">
        <v>6</v>
      </c>
      <c r="L475" s="46" t="n">
        <v>29.18</v>
      </c>
      <c r="M475" s="47" t="n">
        <v>6.67</v>
      </c>
      <c r="N475" s="46" t="n">
        <v>29.29</v>
      </c>
      <c r="O475" s="44" t="s">
        <v>308</v>
      </c>
      <c r="P475" s="44" t="s">
        <v>309</v>
      </c>
      <c r="Q475" s="44" t="s">
        <v>309</v>
      </c>
    </row>
    <row r="476" customFormat="false" ht="15" hidden="false" customHeight="false" outlineLevel="0" collapsed="false">
      <c r="A476" s="44" t="n">
        <v>475</v>
      </c>
      <c r="B476" s="45" t="n">
        <v>45443</v>
      </c>
      <c r="C476" s="44" t="n">
        <v>5</v>
      </c>
      <c r="D476" s="44" t="n">
        <v>2024</v>
      </c>
      <c r="E476" s="44" t="n">
        <v>31</v>
      </c>
      <c r="F476" s="44" t="s">
        <v>325</v>
      </c>
      <c r="G476" s="44" t="s">
        <v>368</v>
      </c>
      <c r="H476" s="44" t="s">
        <v>134</v>
      </c>
      <c r="I476" s="44" t="s">
        <v>174</v>
      </c>
      <c r="J476" s="44" t="s">
        <v>206</v>
      </c>
      <c r="K476" s="44" t="n">
        <v>1</v>
      </c>
      <c r="L476" s="46" t="n">
        <v>29.18</v>
      </c>
      <c r="M476" s="47" t="n">
        <v>0.56</v>
      </c>
      <c r="N476" s="46" t="n">
        <v>9.87</v>
      </c>
      <c r="O476" s="44" t="s">
        <v>308</v>
      </c>
      <c r="P476" s="44" t="s">
        <v>309</v>
      </c>
      <c r="Q476" s="44" t="s">
        <v>309</v>
      </c>
    </row>
    <row r="477" customFormat="false" ht="15" hidden="false" customHeight="false" outlineLevel="0" collapsed="false">
      <c r="A477" s="44" t="n">
        <v>476</v>
      </c>
      <c r="B477" s="45" t="n">
        <v>45581</v>
      </c>
      <c r="C477" s="44" t="n">
        <v>10</v>
      </c>
      <c r="D477" s="44" t="n">
        <v>2024</v>
      </c>
      <c r="E477" s="44" t="n">
        <v>16</v>
      </c>
      <c r="F477" s="44" t="s">
        <v>321</v>
      </c>
      <c r="G477" s="44" t="s">
        <v>424</v>
      </c>
      <c r="H477" s="44" t="s">
        <v>135</v>
      </c>
      <c r="I477" s="44" t="s">
        <v>172</v>
      </c>
      <c r="J477" s="44" t="s">
        <v>191</v>
      </c>
      <c r="K477" s="44" t="n">
        <v>10</v>
      </c>
      <c r="L477" s="46" t="n">
        <v>87.27</v>
      </c>
      <c r="M477" s="47" t="n">
        <v>15.41</v>
      </c>
      <c r="N477" s="46" t="n">
        <v>738.22</v>
      </c>
      <c r="O477" s="44" t="s">
        <v>309</v>
      </c>
      <c r="P477" s="44" t="s">
        <v>317</v>
      </c>
      <c r="Q477" s="44" t="s">
        <v>309</v>
      </c>
    </row>
    <row r="478" customFormat="false" ht="15" hidden="false" customHeight="false" outlineLevel="0" collapsed="false">
      <c r="A478" s="44" t="n">
        <v>477</v>
      </c>
      <c r="B478" s="45" t="n">
        <v>45511</v>
      </c>
      <c r="C478" s="44" t="n">
        <v>8</v>
      </c>
      <c r="D478" s="44" t="n">
        <v>2024</v>
      </c>
      <c r="E478" s="44" t="n">
        <v>7</v>
      </c>
      <c r="F478" s="44" t="s">
        <v>321</v>
      </c>
      <c r="G478" s="44" t="s">
        <v>491</v>
      </c>
      <c r="H478" s="44" t="s">
        <v>134</v>
      </c>
      <c r="I478" s="44" t="s">
        <v>172</v>
      </c>
      <c r="J478" s="44" t="s">
        <v>192</v>
      </c>
      <c r="K478" s="44" t="n">
        <v>3</v>
      </c>
      <c r="L478" s="46" t="n">
        <v>3.76</v>
      </c>
      <c r="M478" s="47" t="n">
        <v>3.78</v>
      </c>
      <c r="N478" s="46" t="n">
        <v>10.85</v>
      </c>
      <c r="O478" s="44" t="s">
        <v>309</v>
      </c>
      <c r="P478" s="44" t="s">
        <v>309</v>
      </c>
      <c r="Q478" s="44" t="s">
        <v>309</v>
      </c>
    </row>
    <row r="479" customFormat="false" ht="15" hidden="false" customHeight="false" outlineLevel="0" collapsed="false">
      <c r="A479" s="44" t="n">
        <v>478</v>
      </c>
      <c r="B479" s="45" t="n">
        <v>45456</v>
      </c>
      <c r="C479" s="44" t="n">
        <v>6</v>
      </c>
      <c r="D479" s="44" t="n">
        <v>2024</v>
      </c>
      <c r="E479" s="44" t="n">
        <v>13</v>
      </c>
      <c r="F479" s="44" t="s">
        <v>306</v>
      </c>
      <c r="G479" s="44" t="s">
        <v>535</v>
      </c>
      <c r="H479" s="44" t="s">
        <v>134</v>
      </c>
      <c r="I479" s="44" t="s">
        <v>174</v>
      </c>
      <c r="J479" s="44" t="s">
        <v>206</v>
      </c>
      <c r="K479" s="44" t="n">
        <v>1</v>
      </c>
      <c r="L479" s="46" t="n">
        <v>29.18</v>
      </c>
      <c r="M479" s="47" t="n">
        <v>1.905</v>
      </c>
      <c r="N479" s="46" t="n">
        <v>12.69</v>
      </c>
      <c r="O479" s="44" t="s">
        <v>308</v>
      </c>
      <c r="P479" s="44" t="s">
        <v>369</v>
      </c>
      <c r="Q479" s="44" t="s">
        <v>309</v>
      </c>
    </row>
    <row r="480" customFormat="false" ht="15" hidden="false" customHeight="false" outlineLevel="0" collapsed="false">
      <c r="A480" s="44" t="n">
        <v>479</v>
      </c>
      <c r="B480" s="45" t="n">
        <v>45434</v>
      </c>
      <c r="C480" s="44" t="n">
        <v>5</v>
      </c>
      <c r="D480" s="44" t="n">
        <v>2024</v>
      </c>
      <c r="E480" s="44" t="n">
        <v>22</v>
      </c>
      <c r="F480" s="44" t="s">
        <v>321</v>
      </c>
      <c r="G480" s="44" t="s">
        <v>513</v>
      </c>
      <c r="H480" s="44" t="s">
        <v>136</v>
      </c>
      <c r="I480" s="44" t="s">
        <v>172</v>
      </c>
      <c r="J480" s="44" t="s">
        <v>206</v>
      </c>
      <c r="K480" s="44" t="n">
        <v>4</v>
      </c>
      <c r="L480" s="46" t="n">
        <v>21.67</v>
      </c>
      <c r="M480" s="47" t="n">
        <v>4.36</v>
      </c>
      <c r="N480" s="46" t="n">
        <v>229.5</v>
      </c>
      <c r="O480" s="44" t="s">
        <v>308</v>
      </c>
      <c r="P480" s="44" t="s">
        <v>309</v>
      </c>
      <c r="Q480" s="44" t="s">
        <v>309</v>
      </c>
    </row>
    <row r="481" customFormat="false" ht="15" hidden="false" customHeight="false" outlineLevel="0" collapsed="false">
      <c r="A481" s="44" t="n">
        <v>480</v>
      </c>
      <c r="B481" s="45" t="n">
        <v>45446</v>
      </c>
      <c r="C481" s="44" t="n">
        <v>6</v>
      </c>
      <c r="D481" s="44" t="n">
        <v>2024</v>
      </c>
      <c r="E481" s="44" t="n">
        <v>3</v>
      </c>
      <c r="F481" s="44" t="s">
        <v>328</v>
      </c>
      <c r="G481" s="44" t="s">
        <v>320</v>
      </c>
      <c r="H481" s="44" t="s">
        <v>136</v>
      </c>
      <c r="I481" s="44" t="s">
        <v>173</v>
      </c>
      <c r="J481" s="44" t="s">
        <v>191</v>
      </c>
      <c r="K481" s="44" t="n">
        <v>1</v>
      </c>
      <c r="L481" s="46" t="n">
        <v>6.76</v>
      </c>
      <c r="M481" s="47" t="n">
        <v>0</v>
      </c>
      <c r="N481" s="46" t="n">
        <v>6.76</v>
      </c>
      <c r="O481" s="44" t="s">
        <v>309</v>
      </c>
      <c r="P481" s="44" t="s">
        <v>309</v>
      </c>
      <c r="Q481" s="44" t="s">
        <v>309</v>
      </c>
    </row>
    <row r="482" customFormat="false" ht="15" hidden="false" customHeight="false" outlineLevel="0" collapsed="false">
      <c r="A482" s="44" t="n">
        <v>481</v>
      </c>
      <c r="B482" s="45" t="n">
        <v>45301</v>
      </c>
      <c r="C482" s="44" t="n">
        <v>1</v>
      </c>
      <c r="D482" s="44" t="n">
        <v>2024</v>
      </c>
      <c r="E482" s="44" t="n">
        <v>10</v>
      </c>
      <c r="F482" s="44" t="s">
        <v>321</v>
      </c>
      <c r="G482" s="44" t="s">
        <v>455</v>
      </c>
      <c r="H482" s="44" t="s">
        <v>140</v>
      </c>
      <c r="I482" s="44" t="s">
        <v>176</v>
      </c>
      <c r="J482" s="44" t="s">
        <v>191</v>
      </c>
      <c r="K482" s="44" t="n">
        <v>3</v>
      </c>
      <c r="L482" s="46" t="n">
        <v>42.52</v>
      </c>
      <c r="M482" s="47" t="n">
        <v>2.18</v>
      </c>
      <c r="N482" s="46" t="n">
        <v>124.78</v>
      </c>
      <c r="O482" s="44" t="s">
        <v>309</v>
      </c>
      <c r="P482" s="44" t="s">
        <v>309</v>
      </c>
      <c r="Q482" s="44" t="s">
        <v>309</v>
      </c>
    </row>
    <row r="483" customFormat="false" ht="15" hidden="false" customHeight="false" outlineLevel="0" collapsed="false">
      <c r="A483" s="44" t="n">
        <v>482</v>
      </c>
      <c r="B483" s="45" t="n">
        <v>45432</v>
      </c>
      <c r="C483" s="44" t="n">
        <v>5</v>
      </c>
      <c r="D483" s="44" t="n">
        <v>2024</v>
      </c>
      <c r="E483" s="44" t="n">
        <v>20</v>
      </c>
      <c r="F483" s="44" t="s">
        <v>328</v>
      </c>
      <c r="G483" s="44" t="s">
        <v>510</v>
      </c>
      <c r="H483" s="44" t="s">
        <v>140</v>
      </c>
      <c r="I483" s="44" t="s">
        <v>174</v>
      </c>
      <c r="J483" s="44" t="s">
        <v>194</v>
      </c>
      <c r="K483" s="44" t="n">
        <v>3</v>
      </c>
      <c r="L483" s="46" t="n">
        <v>62.01</v>
      </c>
      <c r="M483" s="47" t="n">
        <v>2.58</v>
      </c>
      <c r="N483" s="46" t="n">
        <v>181.23</v>
      </c>
      <c r="O483" s="44" t="s">
        <v>309</v>
      </c>
      <c r="P483" s="44" t="s">
        <v>317</v>
      </c>
      <c r="Q483" s="44" t="s">
        <v>309</v>
      </c>
    </row>
    <row r="484" customFormat="false" ht="15" hidden="false" customHeight="false" outlineLevel="0" collapsed="false">
      <c r="A484" s="44" t="n">
        <v>483</v>
      </c>
      <c r="B484" s="45" t="n">
        <v>45525</v>
      </c>
      <c r="C484" s="44" t="n">
        <v>8</v>
      </c>
      <c r="D484" s="44" t="n">
        <v>2024</v>
      </c>
      <c r="E484" s="44" t="n">
        <v>21</v>
      </c>
      <c r="F484" s="44" t="s">
        <v>321</v>
      </c>
      <c r="G484" s="44" t="s">
        <v>496</v>
      </c>
      <c r="H484" s="44" t="s">
        <v>136</v>
      </c>
      <c r="I484" s="44" t="s">
        <v>173</v>
      </c>
      <c r="J484" s="44" t="s">
        <v>191</v>
      </c>
      <c r="K484" s="44" t="n">
        <v>1</v>
      </c>
      <c r="L484" s="46" t="n">
        <v>48.43</v>
      </c>
      <c r="M484" s="47" t="n">
        <v>0.63</v>
      </c>
      <c r="N484" s="46" t="n">
        <v>48.12</v>
      </c>
      <c r="O484" s="44" t="s">
        <v>309</v>
      </c>
      <c r="P484" s="44" t="s">
        <v>309</v>
      </c>
      <c r="Q484" s="44" t="s">
        <v>309</v>
      </c>
    </row>
    <row r="485" customFormat="false" ht="15" hidden="false" customHeight="false" outlineLevel="0" collapsed="false">
      <c r="A485" s="44" t="n">
        <v>484</v>
      </c>
      <c r="B485" s="45" t="n">
        <v>45521</v>
      </c>
      <c r="C485" s="44" t="n">
        <v>8</v>
      </c>
      <c r="D485" s="44" t="n">
        <v>2024</v>
      </c>
      <c r="E485" s="44" t="n">
        <v>17</v>
      </c>
      <c r="F485" s="44" t="s">
        <v>318</v>
      </c>
      <c r="G485" s="44" t="s">
        <v>507</v>
      </c>
      <c r="H485" s="44" t="s">
        <v>139</v>
      </c>
      <c r="I485" s="44" t="s">
        <v>172</v>
      </c>
      <c r="J485" s="44" t="s">
        <v>192</v>
      </c>
      <c r="K485" s="44" t="n">
        <v>1</v>
      </c>
      <c r="L485" s="46" t="n">
        <v>1.5</v>
      </c>
      <c r="M485" s="47" t="n">
        <v>0.67</v>
      </c>
      <c r="N485" s="46" t="n">
        <v>1.49</v>
      </c>
      <c r="O485" s="44" t="s">
        <v>309</v>
      </c>
      <c r="P485" s="44" t="s">
        <v>317</v>
      </c>
      <c r="Q485" s="44" t="s">
        <v>309</v>
      </c>
    </row>
    <row r="486" customFormat="false" ht="15" hidden="false" customHeight="false" outlineLevel="0" collapsed="false">
      <c r="A486" s="44" t="n">
        <v>485</v>
      </c>
      <c r="B486" s="45" t="n">
        <v>45594</v>
      </c>
      <c r="C486" s="44" t="n">
        <v>10</v>
      </c>
      <c r="D486" s="44" t="n">
        <v>2024</v>
      </c>
      <c r="E486" s="44" t="n">
        <v>29</v>
      </c>
      <c r="F486" s="44" t="s">
        <v>310</v>
      </c>
      <c r="G486" s="44" t="s">
        <v>403</v>
      </c>
      <c r="H486" s="44" t="s">
        <v>136</v>
      </c>
      <c r="I486" s="44" t="s">
        <v>172</v>
      </c>
      <c r="J486" s="44" t="s">
        <v>192</v>
      </c>
      <c r="K486" s="44" t="n">
        <v>6</v>
      </c>
      <c r="L486" s="46" t="n">
        <v>28.45</v>
      </c>
      <c r="M486" s="47" t="n">
        <v>7.19</v>
      </c>
      <c r="N486" s="46" t="n">
        <v>158.43</v>
      </c>
      <c r="O486" s="44" t="s">
        <v>309</v>
      </c>
      <c r="P486" s="44" t="s">
        <v>309</v>
      </c>
      <c r="Q486" s="44" t="s">
        <v>309</v>
      </c>
    </row>
    <row r="487" customFormat="false" ht="15" hidden="false" customHeight="false" outlineLevel="0" collapsed="false">
      <c r="A487" s="44" t="n">
        <v>486</v>
      </c>
      <c r="B487" s="45" t="n">
        <v>45640</v>
      </c>
      <c r="C487" s="44" t="n">
        <v>12</v>
      </c>
      <c r="D487" s="44" t="n">
        <v>2024</v>
      </c>
      <c r="E487" s="44" t="n">
        <v>14</v>
      </c>
      <c r="F487" s="44" t="s">
        <v>318</v>
      </c>
      <c r="G487" s="44" t="s">
        <v>439</v>
      </c>
      <c r="H487" s="44" t="s">
        <v>139</v>
      </c>
      <c r="I487" s="44" t="s">
        <v>175</v>
      </c>
      <c r="J487" s="44" t="s">
        <v>191</v>
      </c>
      <c r="K487" s="44" t="n">
        <v>3</v>
      </c>
      <c r="L487" s="46" t="n">
        <v>58.94</v>
      </c>
      <c r="M487" s="47" t="n">
        <v>5.03</v>
      </c>
      <c r="N487" s="46" t="n">
        <v>167.93</v>
      </c>
      <c r="O487" s="44" t="s">
        <v>309</v>
      </c>
      <c r="P487" s="44" t="s">
        <v>309</v>
      </c>
      <c r="Q487" s="44" t="s">
        <v>309</v>
      </c>
    </row>
    <row r="488" customFormat="false" ht="15" hidden="false" customHeight="false" outlineLevel="0" collapsed="false">
      <c r="A488" s="44" t="n">
        <v>487</v>
      </c>
      <c r="B488" s="45" t="n">
        <v>45492</v>
      </c>
      <c r="C488" s="44" t="n">
        <v>7</v>
      </c>
      <c r="D488" s="44" t="n">
        <v>2024</v>
      </c>
      <c r="E488" s="44" t="n">
        <v>19</v>
      </c>
      <c r="F488" s="44" t="s">
        <v>325</v>
      </c>
      <c r="G488" s="44" t="s">
        <v>412</v>
      </c>
      <c r="H488" s="44" t="s">
        <v>135</v>
      </c>
      <c r="I488" s="44" t="s">
        <v>172</v>
      </c>
      <c r="J488" s="44" t="s">
        <v>206</v>
      </c>
      <c r="K488" s="44" t="n">
        <v>2</v>
      </c>
      <c r="L488" s="46" t="n">
        <v>30.44</v>
      </c>
      <c r="M488" s="47" t="n">
        <v>0.53</v>
      </c>
      <c r="N488" s="46" t="n">
        <v>58.79</v>
      </c>
      <c r="O488" s="44" t="s">
        <v>308</v>
      </c>
      <c r="P488" s="44" t="s">
        <v>309</v>
      </c>
      <c r="Q488" s="44" t="s">
        <v>309</v>
      </c>
    </row>
    <row r="489" customFormat="false" ht="15" hidden="false" customHeight="false" outlineLevel="0" collapsed="false">
      <c r="A489" s="44" t="n">
        <v>488</v>
      </c>
      <c r="B489" s="45" t="n">
        <v>45388</v>
      </c>
      <c r="C489" s="44" t="n">
        <v>4</v>
      </c>
      <c r="D489" s="44" t="n">
        <v>2024</v>
      </c>
      <c r="E489" s="44" t="n">
        <v>6</v>
      </c>
      <c r="F489" s="44" t="s">
        <v>318</v>
      </c>
      <c r="G489" s="44" t="s">
        <v>536</v>
      </c>
      <c r="H489" s="44" t="s">
        <v>135</v>
      </c>
      <c r="I489" s="44" t="s">
        <v>172</v>
      </c>
      <c r="J489" s="44" t="s">
        <v>206</v>
      </c>
      <c r="K489" s="44" t="n">
        <v>1</v>
      </c>
      <c r="L489" s="46" t="n">
        <v>19.15</v>
      </c>
      <c r="M489" s="47" t="n">
        <v>0.3</v>
      </c>
      <c r="N489" s="46" t="n">
        <v>19.09</v>
      </c>
      <c r="O489" s="44" t="s">
        <v>309</v>
      </c>
      <c r="P489" s="44" t="s">
        <v>309</v>
      </c>
      <c r="Q489" s="44" t="s">
        <v>309</v>
      </c>
    </row>
    <row r="490" customFormat="false" ht="15" hidden="false" customHeight="false" outlineLevel="0" collapsed="false">
      <c r="A490" s="44" t="n">
        <v>489</v>
      </c>
      <c r="B490" s="45" t="n">
        <v>45496</v>
      </c>
      <c r="C490" s="44" t="n">
        <v>7</v>
      </c>
      <c r="D490" s="44" t="n">
        <v>2024</v>
      </c>
      <c r="E490" s="44" t="n">
        <v>23</v>
      </c>
      <c r="F490" s="44" t="s">
        <v>310</v>
      </c>
      <c r="G490" s="44" t="s">
        <v>406</v>
      </c>
      <c r="H490" s="44" t="s">
        <v>136</v>
      </c>
      <c r="I490" s="44" t="s">
        <v>176</v>
      </c>
      <c r="J490" s="44" t="s">
        <v>191</v>
      </c>
      <c r="K490" s="44" t="n">
        <v>2</v>
      </c>
      <c r="L490" s="46" t="n">
        <v>5.73</v>
      </c>
      <c r="M490" s="47" t="n">
        <v>2.7</v>
      </c>
      <c r="N490" s="46" t="n">
        <v>11.15</v>
      </c>
      <c r="O490" s="44" t="s">
        <v>309</v>
      </c>
      <c r="P490" s="44" t="s">
        <v>309</v>
      </c>
      <c r="Q490" s="44" t="s">
        <v>309</v>
      </c>
    </row>
    <row r="491" customFormat="false" ht="15" hidden="false" customHeight="false" outlineLevel="0" collapsed="false">
      <c r="A491" s="44" t="n">
        <v>490</v>
      </c>
      <c r="B491" s="45" t="n">
        <v>45478</v>
      </c>
      <c r="C491" s="44" t="n">
        <v>7</v>
      </c>
      <c r="D491" s="44" t="n">
        <v>2024</v>
      </c>
      <c r="E491" s="44" t="n">
        <v>5</v>
      </c>
      <c r="F491" s="44" t="s">
        <v>325</v>
      </c>
      <c r="G491" s="44" t="s">
        <v>337</v>
      </c>
      <c r="H491" s="44" t="s">
        <v>136</v>
      </c>
      <c r="I491" s="44" t="s">
        <v>176</v>
      </c>
      <c r="J491" s="44" t="s">
        <v>191</v>
      </c>
      <c r="K491" s="44" t="n">
        <v>1</v>
      </c>
      <c r="L491" s="46" t="n">
        <v>6.47</v>
      </c>
      <c r="M491" s="47" t="n">
        <v>1.12</v>
      </c>
      <c r="N491" s="46" t="n">
        <v>6.4</v>
      </c>
      <c r="O491" s="44" t="s">
        <v>309</v>
      </c>
      <c r="P491" s="44" t="s">
        <v>309</v>
      </c>
      <c r="Q491" s="44" t="s">
        <v>309</v>
      </c>
    </row>
    <row r="492" customFormat="false" ht="15" hidden="false" customHeight="false" outlineLevel="0" collapsed="false">
      <c r="A492" s="44" t="n">
        <v>491</v>
      </c>
      <c r="B492" s="45" t="n">
        <v>45547</v>
      </c>
      <c r="C492" s="44" t="n">
        <v>9</v>
      </c>
      <c r="D492" s="44" t="n">
        <v>2024</v>
      </c>
      <c r="E492" s="44" t="n">
        <v>12</v>
      </c>
      <c r="F492" s="44" t="s">
        <v>306</v>
      </c>
      <c r="G492" s="44" t="s">
        <v>537</v>
      </c>
      <c r="H492" s="44" t="s">
        <v>135</v>
      </c>
      <c r="I492" s="44" t="s">
        <v>172</v>
      </c>
      <c r="J492" s="44" t="s">
        <v>192</v>
      </c>
      <c r="K492" s="44" t="n">
        <v>1</v>
      </c>
      <c r="L492" s="46" t="n">
        <v>75.29</v>
      </c>
      <c r="M492" s="47" t="n">
        <v>0</v>
      </c>
      <c r="N492" s="46" t="n">
        <v>75.29</v>
      </c>
      <c r="O492" s="44" t="s">
        <v>309</v>
      </c>
      <c r="P492" s="44" t="s">
        <v>317</v>
      </c>
      <c r="Q492" s="44" t="s">
        <v>309</v>
      </c>
    </row>
    <row r="493" customFormat="false" ht="15" hidden="false" customHeight="false" outlineLevel="0" collapsed="false">
      <c r="A493" s="44" t="n">
        <v>492</v>
      </c>
      <c r="B493" s="45" t="n">
        <v>45505</v>
      </c>
      <c r="C493" s="44" t="n">
        <v>8</v>
      </c>
      <c r="D493" s="44" t="n">
        <v>2024</v>
      </c>
      <c r="E493" s="44" t="n">
        <v>1</v>
      </c>
      <c r="F493" s="44" t="s">
        <v>306</v>
      </c>
      <c r="G493" s="44" t="s">
        <v>384</v>
      </c>
      <c r="H493" s="44" t="s">
        <v>137</v>
      </c>
      <c r="I493" s="44" t="s">
        <v>176</v>
      </c>
      <c r="J493" s="44" t="s">
        <v>191</v>
      </c>
      <c r="K493" s="44" t="n">
        <v>4</v>
      </c>
      <c r="L493" s="46" t="n">
        <v>24.49</v>
      </c>
      <c r="M493" s="47" t="n">
        <v>3.35</v>
      </c>
      <c r="N493" s="46" t="n">
        <v>94.68</v>
      </c>
      <c r="O493" s="44" t="s">
        <v>309</v>
      </c>
      <c r="P493" s="44" t="s">
        <v>317</v>
      </c>
      <c r="Q493" s="44" t="s">
        <v>314</v>
      </c>
    </row>
    <row r="494" customFormat="false" ht="15" hidden="false" customHeight="false" outlineLevel="0" collapsed="false">
      <c r="A494" s="44" t="n">
        <v>493</v>
      </c>
      <c r="B494" s="45" t="n">
        <v>45563</v>
      </c>
      <c r="C494" s="44" t="n">
        <v>9</v>
      </c>
      <c r="D494" s="44" t="n">
        <v>2024</v>
      </c>
      <c r="E494" s="44" t="n">
        <v>28</v>
      </c>
      <c r="F494" s="44" t="s">
        <v>318</v>
      </c>
      <c r="G494" s="44" t="s">
        <v>311</v>
      </c>
      <c r="H494" s="44" t="s">
        <v>140</v>
      </c>
      <c r="I494" s="44" t="s">
        <v>173</v>
      </c>
      <c r="J494" s="44" t="s">
        <v>194</v>
      </c>
      <c r="K494" s="44" t="n">
        <v>5</v>
      </c>
      <c r="L494" s="46" t="n">
        <v>21.1</v>
      </c>
      <c r="M494" s="47" t="n">
        <v>7.91</v>
      </c>
      <c r="N494" s="46" t="n">
        <v>97.15</v>
      </c>
      <c r="O494" s="44" t="s">
        <v>309</v>
      </c>
      <c r="P494" s="44" t="s">
        <v>317</v>
      </c>
      <c r="Q494" s="44" t="s">
        <v>309</v>
      </c>
    </row>
    <row r="495" customFormat="false" ht="15" hidden="false" customHeight="false" outlineLevel="0" collapsed="false">
      <c r="A495" s="44" t="n">
        <v>494</v>
      </c>
      <c r="B495" s="45" t="n">
        <v>45527</v>
      </c>
      <c r="C495" s="44" t="n">
        <v>8</v>
      </c>
      <c r="D495" s="44" t="n">
        <v>2024</v>
      </c>
      <c r="E495" s="44" t="n">
        <v>23</v>
      </c>
      <c r="F495" s="44" t="s">
        <v>325</v>
      </c>
      <c r="G495" s="44" t="s">
        <v>354</v>
      </c>
      <c r="H495" s="44" t="s">
        <v>136</v>
      </c>
      <c r="I495" s="44" t="s">
        <v>173</v>
      </c>
      <c r="J495" s="44" t="s">
        <v>206</v>
      </c>
      <c r="K495" s="44" t="n">
        <v>1</v>
      </c>
      <c r="L495" s="46" t="n">
        <v>21.67</v>
      </c>
      <c r="M495" s="47" t="n">
        <v>1.51</v>
      </c>
      <c r="N495" s="46" t="n">
        <v>17.92</v>
      </c>
      <c r="O495" s="44" t="s">
        <v>308</v>
      </c>
      <c r="P495" s="44" t="s">
        <v>309</v>
      </c>
      <c r="Q495" s="44" t="s">
        <v>309</v>
      </c>
    </row>
    <row r="496" customFormat="false" ht="15" hidden="false" customHeight="false" outlineLevel="0" collapsed="false">
      <c r="A496" s="44" t="n">
        <v>495</v>
      </c>
      <c r="B496" s="45" t="n">
        <v>45504</v>
      </c>
      <c r="C496" s="44" t="n">
        <v>7</v>
      </c>
      <c r="D496" s="44" t="n">
        <v>2024</v>
      </c>
      <c r="E496" s="44" t="n">
        <v>31</v>
      </c>
      <c r="F496" s="44" t="s">
        <v>321</v>
      </c>
      <c r="G496" s="44" t="s">
        <v>422</v>
      </c>
      <c r="H496" s="44" t="s">
        <v>137</v>
      </c>
      <c r="I496" s="44" t="s">
        <v>175</v>
      </c>
      <c r="J496" s="44" t="s">
        <v>205</v>
      </c>
      <c r="K496" s="44" t="n">
        <v>1</v>
      </c>
      <c r="L496" s="46" t="n">
        <v>6.13</v>
      </c>
      <c r="M496" s="47" t="n">
        <v>0.56</v>
      </c>
      <c r="N496" s="46" t="n">
        <v>6.1</v>
      </c>
      <c r="O496" s="44" t="s">
        <v>309</v>
      </c>
      <c r="P496" s="44" t="s">
        <v>309</v>
      </c>
      <c r="Q496" s="44" t="s">
        <v>309</v>
      </c>
    </row>
    <row r="497" customFormat="false" ht="15" hidden="false" customHeight="false" outlineLevel="0" collapsed="false">
      <c r="A497" s="44" t="n">
        <v>496</v>
      </c>
      <c r="B497" s="45" t="n">
        <v>45632</v>
      </c>
      <c r="C497" s="44" t="n">
        <v>12</v>
      </c>
      <c r="D497" s="44" t="n">
        <v>2024</v>
      </c>
      <c r="E497" s="44" t="n">
        <v>6</v>
      </c>
      <c r="F497" s="44" t="s">
        <v>325</v>
      </c>
      <c r="G497" s="44" t="s">
        <v>401</v>
      </c>
      <c r="H497" s="44" t="s">
        <v>140</v>
      </c>
      <c r="I497" s="44" t="s">
        <v>175</v>
      </c>
      <c r="J497" s="44" t="s">
        <v>206</v>
      </c>
      <c r="K497" s="44" t="n">
        <v>1</v>
      </c>
      <c r="L497" s="46" t="n">
        <v>11.31</v>
      </c>
      <c r="M497" s="47" t="n">
        <v>0.01</v>
      </c>
      <c r="N497" s="46" t="n">
        <v>11.31</v>
      </c>
      <c r="O497" s="44" t="s">
        <v>309</v>
      </c>
      <c r="P497" s="44" t="s">
        <v>309</v>
      </c>
      <c r="Q497" s="44" t="s">
        <v>309</v>
      </c>
    </row>
    <row r="498" customFormat="false" ht="15" hidden="false" customHeight="false" outlineLevel="0" collapsed="false">
      <c r="A498" s="44" t="n">
        <v>497</v>
      </c>
      <c r="B498" s="45" t="n">
        <v>45552</v>
      </c>
      <c r="C498" s="44" t="n">
        <v>9</v>
      </c>
      <c r="D498" s="44" t="n">
        <v>2024</v>
      </c>
      <c r="E498" s="44" t="n">
        <v>17</v>
      </c>
      <c r="F498" s="44" t="s">
        <v>310</v>
      </c>
      <c r="G498" s="44" t="s">
        <v>399</v>
      </c>
      <c r="H498" s="44" t="s">
        <v>136</v>
      </c>
      <c r="I498" s="44" t="s">
        <v>172</v>
      </c>
      <c r="J498" s="44" t="s">
        <v>195</v>
      </c>
      <c r="K498" s="44" t="n">
        <v>1</v>
      </c>
      <c r="L498" s="46" t="n">
        <v>119.67</v>
      </c>
      <c r="M498" s="47" t="n">
        <v>0</v>
      </c>
      <c r="N498" s="46" t="n">
        <v>119.67</v>
      </c>
      <c r="O498" s="44" t="s">
        <v>309</v>
      </c>
      <c r="P498" s="44" t="s">
        <v>309</v>
      </c>
      <c r="Q498" s="44" t="s">
        <v>309</v>
      </c>
    </row>
    <row r="499" customFormat="false" ht="15" hidden="false" customHeight="false" outlineLevel="0" collapsed="false">
      <c r="A499" s="44" t="n">
        <v>498</v>
      </c>
      <c r="B499" s="45" t="n">
        <v>45374</v>
      </c>
      <c r="C499" s="44" t="n">
        <v>3</v>
      </c>
      <c r="D499" s="44" t="n">
        <v>2024</v>
      </c>
      <c r="E499" s="44" t="n">
        <v>23</v>
      </c>
      <c r="F499" s="44" t="s">
        <v>318</v>
      </c>
      <c r="G499" s="44" t="s">
        <v>432</v>
      </c>
      <c r="H499" s="44" t="s">
        <v>135</v>
      </c>
      <c r="I499" s="44" t="s">
        <v>173</v>
      </c>
      <c r="J499" s="44" t="s">
        <v>204</v>
      </c>
      <c r="K499" s="44" t="n">
        <v>5</v>
      </c>
      <c r="L499" s="46" t="n">
        <v>11.75</v>
      </c>
      <c r="M499" s="47" t="n">
        <v>5.3</v>
      </c>
      <c r="N499" s="46" t="n">
        <v>55.64</v>
      </c>
      <c r="O499" s="44" t="s">
        <v>309</v>
      </c>
      <c r="P499" s="44" t="s">
        <v>309</v>
      </c>
      <c r="Q499" s="44" t="s">
        <v>309</v>
      </c>
    </row>
    <row r="500" customFormat="false" ht="15" hidden="false" customHeight="false" outlineLevel="0" collapsed="false">
      <c r="A500" s="44" t="n">
        <v>499</v>
      </c>
      <c r="B500" s="45" t="n">
        <v>45490</v>
      </c>
      <c r="C500" s="44" t="n">
        <v>7</v>
      </c>
      <c r="D500" s="44" t="n">
        <v>2024</v>
      </c>
      <c r="E500" s="44" t="n">
        <v>17</v>
      </c>
      <c r="F500" s="44" t="s">
        <v>321</v>
      </c>
      <c r="G500" s="44" t="s">
        <v>381</v>
      </c>
      <c r="H500" s="44" t="s">
        <v>139</v>
      </c>
      <c r="I500" s="44" t="s">
        <v>173</v>
      </c>
      <c r="J500" s="44" t="s">
        <v>194</v>
      </c>
      <c r="K500" s="44" t="n">
        <v>3</v>
      </c>
      <c r="L500" s="46" t="n">
        <v>3.62</v>
      </c>
      <c r="M500" s="47" t="n">
        <v>1.88</v>
      </c>
      <c r="N500" s="46" t="n">
        <v>10.66</v>
      </c>
      <c r="O500" s="44" t="s">
        <v>309</v>
      </c>
      <c r="P500" s="44" t="s">
        <v>309</v>
      </c>
      <c r="Q500" s="44" t="s">
        <v>309</v>
      </c>
    </row>
    <row r="501" customFormat="false" ht="15" hidden="false" customHeight="false" outlineLevel="0" collapsed="false">
      <c r="A501" s="44" t="n">
        <v>500</v>
      </c>
      <c r="B501" s="45" t="n">
        <v>45369</v>
      </c>
      <c r="C501" s="44" t="n">
        <v>3</v>
      </c>
      <c r="D501" s="44" t="n">
        <v>2024</v>
      </c>
      <c r="E501" s="44" t="n">
        <v>18</v>
      </c>
      <c r="F501" s="44" t="s">
        <v>328</v>
      </c>
      <c r="G501" s="44" t="s">
        <v>513</v>
      </c>
      <c r="H501" s="44" t="s">
        <v>134</v>
      </c>
      <c r="I501" s="44" t="s">
        <v>174</v>
      </c>
      <c r="J501" s="44" t="s">
        <v>191</v>
      </c>
      <c r="K501" s="44" t="n">
        <v>2</v>
      </c>
      <c r="L501" s="46" t="n">
        <v>126.33</v>
      </c>
      <c r="M501" s="47" t="n">
        <v>2.59</v>
      </c>
      <c r="N501" s="46" t="n">
        <v>246.12</v>
      </c>
      <c r="O501" s="44" t="s">
        <v>309</v>
      </c>
      <c r="P501" s="44" t="s">
        <v>317</v>
      </c>
      <c r="Q501" s="44" t="s">
        <v>309</v>
      </c>
    </row>
    <row r="502" customFormat="false" ht="15" hidden="false" customHeight="false" outlineLevel="0" collapsed="false">
      <c r="A502" s="44" t="n">
        <v>501</v>
      </c>
      <c r="B502" s="45" t="n">
        <v>45565</v>
      </c>
      <c r="C502" s="44" t="n">
        <v>9</v>
      </c>
      <c r="D502" s="44" t="n">
        <v>2024</v>
      </c>
      <c r="E502" s="44" t="n">
        <v>30</v>
      </c>
      <c r="F502" s="44" t="s">
        <v>328</v>
      </c>
      <c r="G502" s="44" t="s">
        <v>386</v>
      </c>
      <c r="H502" s="44" t="s">
        <v>134</v>
      </c>
      <c r="I502" s="44" t="s">
        <v>173</v>
      </c>
      <c r="J502" s="44" t="s">
        <v>196</v>
      </c>
      <c r="K502" s="44" t="n">
        <v>4</v>
      </c>
      <c r="L502" s="46" t="n">
        <v>99.91</v>
      </c>
      <c r="M502" s="47" t="n">
        <v>3.43</v>
      </c>
      <c r="N502" s="46" t="n">
        <v>385.93</v>
      </c>
      <c r="O502" s="44" t="s">
        <v>309</v>
      </c>
      <c r="P502" s="44" t="s">
        <v>309</v>
      </c>
      <c r="Q502" s="44" t="s">
        <v>309</v>
      </c>
    </row>
    <row r="503" customFormat="false" ht="15" hidden="false" customHeight="false" outlineLevel="0" collapsed="false">
      <c r="A503" s="44" t="n">
        <v>502</v>
      </c>
      <c r="B503" s="45" t="n">
        <v>45320</v>
      </c>
      <c r="C503" s="44" t="n">
        <v>1</v>
      </c>
      <c r="D503" s="44" t="n">
        <v>2024</v>
      </c>
      <c r="E503" s="44" t="n">
        <v>29</v>
      </c>
      <c r="F503" s="44" t="s">
        <v>328</v>
      </c>
      <c r="G503" s="44" t="s">
        <v>388</v>
      </c>
      <c r="H503" s="44" t="s">
        <v>136</v>
      </c>
      <c r="I503" s="44" t="s">
        <v>174</v>
      </c>
      <c r="J503" s="44" t="s">
        <v>206</v>
      </c>
      <c r="K503" s="44" t="n">
        <v>1</v>
      </c>
      <c r="L503" s="46" t="n">
        <v>21.67</v>
      </c>
      <c r="M503" s="47" t="n">
        <v>0</v>
      </c>
      <c r="N503" s="46" t="n">
        <v>9.46</v>
      </c>
      <c r="O503" s="44" t="s">
        <v>308</v>
      </c>
      <c r="P503" s="44" t="s">
        <v>309</v>
      </c>
      <c r="Q503" s="44" t="s">
        <v>309</v>
      </c>
    </row>
    <row r="504" customFormat="false" ht="15" hidden="false" customHeight="false" outlineLevel="0" collapsed="false">
      <c r="A504" s="44" t="n">
        <v>503</v>
      </c>
      <c r="B504" s="45" t="n">
        <v>45629</v>
      </c>
      <c r="C504" s="44" t="n">
        <v>12</v>
      </c>
      <c r="D504" s="44" t="n">
        <v>2024</v>
      </c>
      <c r="E504" s="44" t="n">
        <v>3</v>
      </c>
      <c r="F504" s="44" t="s">
        <v>310</v>
      </c>
      <c r="G504" s="44" t="s">
        <v>497</v>
      </c>
      <c r="H504" s="44" t="s">
        <v>135</v>
      </c>
      <c r="I504" s="44" t="s">
        <v>174</v>
      </c>
      <c r="J504" s="44" t="s">
        <v>206</v>
      </c>
      <c r="K504" s="44" t="n">
        <v>1</v>
      </c>
      <c r="L504" s="46" t="n">
        <v>2.52</v>
      </c>
      <c r="M504" s="47" t="n">
        <v>0</v>
      </c>
      <c r="N504" s="46" t="n">
        <v>2.52</v>
      </c>
      <c r="O504" s="44" t="s">
        <v>309</v>
      </c>
      <c r="P504" s="44" t="s">
        <v>309</v>
      </c>
      <c r="Q504" s="44" t="s">
        <v>309</v>
      </c>
    </row>
    <row r="505" customFormat="false" ht="15" hidden="false" customHeight="false" outlineLevel="0" collapsed="false">
      <c r="A505" s="44" t="n">
        <v>504</v>
      </c>
      <c r="B505" s="45" t="n">
        <v>45621</v>
      </c>
      <c r="C505" s="44" t="n">
        <v>11</v>
      </c>
      <c r="D505" s="44" t="n">
        <v>2024</v>
      </c>
      <c r="E505" s="44" t="n">
        <v>25</v>
      </c>
      <c r="F505" s="44" t="s">
        <v>328</v>
      </c>
      <c r="G505" s="44" t="s">
        <v>485</v>
      </c>
      <c r="H505" s="44" t="s">
        <v>139</v>
      </c>
      <c r="I505" s="44" t="s">
        <v>173</v>
      </c>
      <c r="J505" s="44" t="s">
        <v>206</v>
      </c>
      <c r="K505" s="44" t="n">
        <v>3</v>
      </c>
      <c r="L505" s="46" t="n">
        <v>18.33</v>
      </c>
      <c r="M505" s="47" t="n">
        <v>1.905</v>
      </c>
      <c r="N505" s="46" t="n">
        <v>224.54</v>
      </c>
      <c r="O505" s="44" t="s">
        <v>308</v>
      </c>
      <c r="P505" s="44" t="s">
        <v>369</v>
      </c>
      <c r="Q505" s="44" t="s">
        <v>309</v>
      </c>
    </row>
    <row r="506" customFormat="false" ht="15" hidden="false" customHeight="false" outlineLevel="0" collapsed="false">
      <c r="A506" s="44" t="n">
        <v>505</v>
      </c>
      <c r="B506" s="45" t="n">
        <v>45455</v>
      </c>
      <c r="C506" s="44" t="n">
        <v>6</v>
      </c>
      <c r="D506" s="44" t="n">
        <v>2024</v>
      </c>
      <c r="E506" s="44" t="n">
        <v>12</v>
      </c>
      <c r="F506" s="44" t="s">
        <v>321</v>
      </c>
      <c r="G506" s="44" t="s">
        <v>520</v>
      </c>
      <c r="H506" s="44" t="s">
        <v>140</v>
      </c>
      <c r="I506" s="44" t="s">
        <v>172</v>
      </c>
      <c r="J506" s="44" t="s">
        <v>206</v>
      </c>
      <c r="K506" s="44" t="n">
        <v>1</v>
      </c>
      <c r="L506" s="46" t="n">
        <v>11.31</v>
      </c>
      <c r="M506" s="47" t="n">
        <v>0</v>
      </c>
      <c r="N506" s="46" t="n">
        <v>20.37</v>
      </c>
      <c r="O506" s="44" t="s">
        <v>308</v>
      </c>
      <c r="P506" s="44" t="s">
        <v>309</v>
      </c>
      <c r="Q506" s="44" t="s">
        <v>309</v>
      </c>
    </row>
    <row r="507" customFormat="false" ht="15" hidden="false" customHeight="false" outlineLevel="0" collapsed="false">
      <c r="A507" s="44" t="n">
        <v>506</v>
      </c>
      <c r="B507" s="45" t="n">
        <v>45377</v>
      </c>
      <c r="C507" s="44" t="n">
        <v>3</v>
      </c>
      <c r="D507" s="44" t="n">
        <v>2024</v>
      </c>
      <c r="E507" s="44" t="n">
        <v>26</v>
      </c>
      <c r="F507" s="44" t="s">
        <v>310</v>
      </c>
      <c r="G507" s="44" t="s">
        <v>538</v>
      </c>
      <c r="H507" s="44" t="s">
        <v>136</v>
      </c>
      <c r="I507" s="44" t="s">
        <v>173</v>
      </c>
      <c r="J507" s="44" t="s">
        <v>206</v>
      </c>
      <c r="K507" s="44" t="n">
        <v>5</v>
      </c>
      <c r="L507" s="46" t="n">
        <v>4</v>
      </c>
      <c r="M507" s="47" t="n">
        <v>6.62</v>
      </c>
      <c r="N507" s="46" t="n">
        <v>18.68</v>
      </c>
      <c r="O507" s="44" t="s">
        <v>309</v>
      </c>
      <c r="P507" s="44" t="s">
        <v>309</v>
      </c>
      <c r="Q507" s="44" t="s">
        <v>309</v>
      </c>
    </row>
    <row r="508" customFormat="false" ht="15" hidden="false" customHeight="false" outlineLevel="0" collapsed="false">
      <c r="A508" s="44" t="n">
        <v>507</v>
      </c>
      <c r="B508" s="45" t="n">
        <v>45650</v>
      </c>
      <c r="C508" s="44" t="n">
        <v>12</v>
      </c>
      <c r="D508" s="44" t="n">
        <v>2024</v>
      </c>
      <c r="E508" s="44" t="n">
        <v>24</v>
      </c>
      <c r="F508" s="44" t="s">
        <v>310</v>
      </c>
      <c r="G508" s="44" t="s">
        <v>344</v>
      </c>
      <c r="H508" s="44" t="s">
        <v>135</v>
      </c>
      <c r="I508" s="44" t="s">
        <v>174</v>
      </c>
      <c r="J508" s="44" t="s">
        <v>192</v>
      </c>
      <c r="K508" s="44" t="n">
        <v>4</v>
      </c>
      <c r="L508" s="46" t="n">
        <v>2.62</v>
      </c>
      <c r="M508" s="47" t="n">
        <v>4.06</v>
      </c>
      <c r="N508" s="46" t="n">
        <v>10.05</v>
      </c>
      <c r="O508" s="44" t="s">
        <v>309</v>
      </c>
      <c r="P508" s="44" t="s">
        <v>309</v>
      </c>
      <c r="Q508" s="44" t="s">
        <v>309</v>
      </c>
    </row>
    <row r="509" customFormat="false" ht="15" hidden="false" customHeight="false" outlineLevel="0" collapsed="false">
      <c r="A509" s="44" t="n">
        <v>508</v>
      </c>
      <c r="B509" s="45" t="n">
        <v>45305</v>
      </c>
      <c r="C509" s="44" t="n">
        <v>1</v>
      </c>
      <c r="D509" s="44" t="n">
        <v>2024</v>
      </c>
      <c r="E509" s="44" t="n">
        <v>14</v>
      </c>
      <c r="F509" s="44" t="s">
        <v>312</v>
      </c>
      <c r="G509" s="44" t="s">
        <v>423</v>
      </c>
      <c r="H509" s="44" t="s">
        <v>140</v>
      </c>
      <c r="I509" s="44" t="s">
        <v>174</v>
      </c>
      <c r="J509" s="44" t="s">
        <v>191</v>
      </c>
      <c r="K509" s="44" t="n">
        <v>2</v>
      </c>
      <c r="L509" s="46" t="n">
        <v>61.41</v>
      </c>
      <c r="M509" s="47" t="n">
        <v>0.28</v>
      </c>
      <c r="N509" s="46" t="n">
        <v>122.48</v>
      </c>
      <c r="O509" s="44" t="s">
        <v>309</v>
      </c>
      <c r="P509" s="44" t="s">
        <v>309</v>
      </c>
      <c r="Q509" s="44" t="s">
        <v>309</v>
      </c>
    </row>
    <row r="510" customFormat="false" ht="15" hidden="false" customHeight="false" outlineLevel="0" collapsed="false">
      <c r="A510" s="44" t="n">
        <v>509</v>
      </c>
      <c r="B510" s="45" t="n">
        <v>45390</v>
      </c>
      <c r="C510" s="44" t="n">
        <v>4</v>
      </c>
      <c r="D510" s="44" t="n">
        <v>2024</v>
      </c>
      <c r="E510" s="44" t="n">
        <v>8</v>
      </c>
      <c r="F510" s="44" t="s">
        <v>328</v>
      </c>
      <c r="G510" s="44" t="s">
        <v>368</v>
      </c>
      <c r="H510" s="44" t="s">
        <v>136</v>
      </c>
      <c r="I510" s="44" t="s">
        <v>176</v>
      </c>
      <c r="J510" s="44" t="s">
        <v>206</v>
      </c>
      <c r="K510" s="44" t="n">
        <v>8</v>
      </c>
      <c r="L510" s="46" t="n">
        <v>17.94</v>
      </c>
      <c r="M510" s="47" t="n">
        <v>13.03</v>
      </c>
      <c r="N510" s="46" t="n">
        <v>124.82</v>
      </c>
      <c r="O510" s="44" t="s">
        <v>309</v>
      </c>
      <c r="P510" s="44" t="s">
        <v>309</v>
      </c>
      <c r="Q510" s="44" t="s">
        <v>309</v>
      </c>
    </row>
    <row r="511" customFormat="false" ht="15" hidden="false" customHeight="false" outlineLevel="0" collapsed="false">
      <c r="A511" s="44" t="n">
        <v>510</v>
      </c>
      <c r="B511" s="45" t="n">
        <v>45362</v>
      </c>
      <c r="C511" s="44" t="n">
        <v>3</v>
      </c>
      <c r="D511" s="44" t="n">
        <v>2024</v>
      </c>
      <c r="E511" s="44" t="n">
        <v>11</v>
      </c>
      <c r="F511" s="44" t="s">
        <v>328</v>
      </c>
      <c r="G511" s="44" t="s">
        <v>465</v>
      </c>
      <c r="H511" s="44" t="s">
        <v>135</v>
      </c>
      <c r="I511" s="44" t="s">
        <v>172</v>
      </c>
      <c r="J511" s="44" t="s">
        <v>200</v>
      </c>
      <c r="K511" s="44" t="n">
        <v>3</v>
      </c>
      <c r="L511" s="46" t="n">
        <v>40</v>
      </c>
      <c r="M511" s="47" t="n">
        <v>1.93</v>
      </c>
      <c r="N511" s="46" t="n">
        <v>117.68</v>
      </c>
      <c r="O511" s="44" t="s">
        <v>309</v>
      </c>
      <c r="P511" s="44" t="s">
        <v>317</v>
      </c>
      <c r="Q511" s="44" t="s">
        <v>309</v>
      </c>
    </row>
    <row r="512" customFormat="false" ht="15" hidden="false" customHeight="false" outlineLevel="0" collapsed="false">
      <c r="A512" s="44" t="n">
        <v>511</v>
      </c>
      <c r="B512" s="45" t="n">
        <v>45604</v>
      </c>
      <c r="C512" s="44" t="n">
        <v>11</v>
      </c>
      <c r="D512" s="44" t="n">
        <v>2024</v>
      </c>
      <c r="E512" s="44" t="n">
        <v>8</v>
      </c>
      <c r="F512" s="44" t="s">
        <v>325</v>
      </c>
      <c r="G512" s="44" t="s">
        <v>428</v>
      </c>
      <c r="H512" s="44" t="s">
        <v>137</v>
      </c>
      <c r="I512" s="44" t="s">
        <v>175</v>
      </c>
      <c r="J512" s="44" t="s">
        <v>199</v>
      </c>
      <c r="K512" s="44" t="n">
        <v>1</v>
      </c>
      <c r="L512" s="46" t="n">
        <v>28.2</v>
      </c>
      <c r="M512" s="47" t="n">
        <v>1.52</v>
      </c>
      <c r="N512" s="46" t="n">
        <v>36.15</v>
      </c>
      <c r="O512" s="44" t="s">
        <v>308</v>
      </c>
      <c r="P512" s="44" t="s">
        <v>309</v>
      </c>
      <c r="Q512" s="44" t="s">
        <v>309</v>
      </c>
    </row>
    <row r="513" customFormat="false" ht="15" hidden="false" customHeight="false" outlineLevel="0" collapsed="false">
      <c r="A513" s="44" t="n">
        <v>512</v>
      </c>
      <c r="B513" s="45" t="n">
        <v>45441</v>
      </c>
      <c r="C513" s="44" t="n">
        <v>5</v>
      </c>
      <c r="D513" s="44" t="n">
        <v>2024</v>
      </c>
      <c r="E513" s="44" t="n">
        <v>29</v>
      </c>
      <c r="F513" s="44" t="s">
        <v>321</v>
      </c>
      <c r="G513" s="44" t="s">
        <v>482</v>
      </c>
      <c r="H513" s="44" t="s">
        <v>140</v>
      </c>
      <c r="I513" s="44" t="s">
        <v>176</v>
      </c>
      <c r="J513" s="44" t="s">
        <v>205</v>
      </c>
      <c r="K513" s="44" t="n">
        <v>1</v>
      </c>
      <c r="L513" s="46" t="n">
        <v>3.25</v>
      </c>
      <c r="M513" s="47" t="n">
        <v>0</v>
      </c>
      <c r="N513" s="46" t="n">
        <v>3.25</v>
      </c>
      <c r="O513" s="44" t="s">
        <v>309</v>
      </c>
      <c r="P513" s="44" t="s">
        <v>309</v>
      </c>
      <c r="Q513" s="44" t="s">
        <v>309</v>
      </c>
    </row>
    <row r="514" customFormat="false" ht="15" hidden="false" customHeight="false" outlineLevel="0" collapsed="false">
      <c r="A514" s="44" t="n">
        <v>513</v>
      </c>
      <c r="B514" s="45" t="n">
        <v>45583</v>
      </c>
      <c r="C514" s="44" t="n">
        <v>10</v>
      </c>
      <c r="D514" s="44" t="n">
        <v>2024</v>
      </c>
      <c r="E514" s="44" t="n">
        <v>18</v>
      </c>
      <c r="F514" s="44" t="s">
        <v>325</v>
      </c>
      <c r="G514" s="44" t="s">
        <v>446</v>
      </c>
      <c r="H514" s="44" t="s">
        <v>135</v>
      </c>
      <c r="I514" s="44" t="s">
        <v>172</v>
      </c>
      <c r="J514" s="44" t="s">
        <v>206</v>
      </c>
      <c r="K514" s="44" t="n">
        <v>1</v>
      </c>
      <c r="L514" s="46" t="n">
        <v>30.44</v>
      </c>
      <c r="M514" s="47" t="n">
        <v>0</v>
      </c>
      <c r="N514" s="46" t="n">
        <v>8.15</v>
      </c>
      <c r="O514" s="44" t="s">
        <v>308</v>
      </c>
      <c r="P514" s="44" t="s">
        <v>309</v>
      </c>
      <c r="Q514" s="44" t="s">
        <v>309</v>
      </c>
    </row>
    <row r="515" customFormat="false" ht="15" hidden="false" customHeight="false" outlineLevel="0" collapsed="false">
      <c r="A515" s="44" t="n">
        <v>514</v>
      </c>
      <c r="B515" s="45" t="n">
        <v>45604</v>
      </c>
      <c r="C515" s="44" t="n">
        <v>11</v>
      </c>
      <c r="D515" s="44" t="n">
        <v>2024</v>
      </c>
      <c r="E515" s="44" t="n">
        <v>8</v>
      </c>
      <c r="F515" s="44" t="s">
        <v>325</v>
      </c>
      <c r="G515" s="44" t="s">
        <v>502</v>
      </c>
      <c r="H515" s="44" t="s">
        <v>140</v>
      </c>
      <c r="I515" s="44" t="s">
        <v>173</v>
      </c>
      <c r="J515" s="44" t="s">
        <v>195</v>
      </c>
      <c r="K515" s="44" t="n">
        <v>2</v>
      </c>
      <c r="L515" s="46" t="n">
        <v>2.68</v>
      </c>
      <c r="M515" s="47" t="n">
        <v>2.13</v>
      </c>
      <c r="N515" s="46" t="n">
        <v>5.25</v>
      </c>
      <c r="O515" s="44" t="s">
        <v>309</v>
      </c>
      <c r="P515" s="44" t="s">
        <v>309</v>
      </c>
      <c r="Q515" s="44" t="s">
        <v>309</v>
      </c>
    </row>
    <row r="516" customFormat="false" ht="15" hidden="false" customHeight="false" outlineLevel="0" collapsed="false">
      <c r="A516" s="44" t="n">
        <v>515</v>
      </c>
      <c r="B516" s="45" t="n">
        <v>45396</v>
      </c>
      <c r="C516" s="44" t="n">
        <v>4</v>
      </c>
      <c r="D516" s="44" t="n">
        <v>2024</v>
      </c>
      <c r="E516" s="44" t="n">
        <v>14</v>
      </c>
      <c r="F516" s="44" t="s">
        <v>312</v>
      </c>
      <c r="G516" s="44" t="s">
        <v>336</v>
      </c>
      <c r="H516" s="44" t="s">
        <v>134</v>
      </c>
      <c r="I516" s="44" t="s">
        <v>175</v>
      </c>
      <c r="J516" s="44" t="s">
        <v>197</v>
      </c>
      <c r="K516" s="44" t="n">
        <v>1</v>
      </c>
      <c r="L516" s="46" t="n">
        <v>12.52</v>
      </c>
      <c r="M516" s="47" t="n">
        <v>0</v>
      </c>
      <c r="N516" s="46" t="n">
        <v>12.52</v>
      </c>
      <c r="O516" s="44" t="s">
        <v>309</v>
      </c>
      <c r="P516" s="44" t="s">
        <v>309</v>
      </c>
      <c r="Q516" s="44" t="s">
        <v>309</v>
      </c>
    </row>
    <row r="517" customFormat="false" ht="15" hidden="false" customHeight="false" outlineLevel="0" collapsed="false">
      <c r="A517" s="44" t="n">
        <v>516</v>
      </c>
      <c r="B517" s="45" t="n">
        <v>45654</v>
      </c>
      <c r="C517" s="44" t="n">
        <v>12</v>
      </c>
      <c r="D517" s="44" t="n">
        <v>2024</v>
      </c>
      <c r="E517" s="44" t="n">
        <v>28</v>
      </c>
      <c r="F517" s="44" t="s">
        <v>318</v>
      </c>
      <c r="G517" s="44" t="s">
        <v>524</v>
      </c>
      <c r="H517" s="44" t="s">
        <v>136</v>
      </c>
      <c r="I517" s="44" t="s">
        <v>176</v>
      </c>
      <c r="J517" s="44" t="s">
        <v>191</v>
      </c>
      <c r="K517" s="44" t="n">
        <v>4</v>
      </c>
      <c r="L517" s="46" t="n">
        <v>82.22</v>
      </c>
      <c r="M517" s="47" t="n">
        <v>3.71</v>
      </c>
      <c r="N517" s="46" t="n">
        <v>316.68</v>
      </c>
      <c r="O517" s="44" t="s">
        <v>309</v>
      </c>
      <c r="P517" s="44" t="s">
        <v>309</v>
      </c>
      <c r="Q517" s="44" t="s">
        <v>309</v>
      </c>
    </row>
    <row r="518" customFormat="false" ht="15" hidden="false" customHeight="false" outlineLevel="0" collapsed="false">
      <c r="A518" s="44" t="n">
        <v>517</v>
      </c>
      <c r="B518" s="45" t="n">
        <v>45546</v>
      </c>
      <c r="C518" s="44" t="n">
        <v>9</v>
      </c>
      <c r="D518" s="44" t="n">
        <v>2024</v>
      </c>
      <c r="E518" s="44" t="n">
        <v>11</v>
      </c>
      <c r="F518" s="44" t="s">
        <v>321</v>
      </c>
      <c r="G518" s="44" t="s">
        <v>333</v>
      </c>
      <c r="H518" s="44" t="s">
        <v>137</v>
      </c>
      <c r="I518" s="44" t="s">
        <v>172</v>
      </c>
      <c r="J518" s="44" t="s">
        <v>206</v>
      </c>
      <c r="K518" s="44" t="n">
        <v>4</v>
      </c>
      <c r="L518" s="46" t="n">
        <v>6.01</v>
      </c>
      <c r="M518" s="47" t="n">
        <v>4.96</v>
      </c>
      <c r="N518" s="46" t="n">
        <v>22.85</v>
      </c>
      <c r="O518" s="44" t="s">
        <v>309</v>
      </c>
      <c r="P518" s="44" t="s">
        <v>309</v>
      </c>
      <c r="Q518" s="44" t="s">
        <v>309</v>
      </c>
    </row>
    <row r="519" customFormat="false" ht="15" hidden="false" customHeight="false" outlineLevel="0" collapsed="false">
      <c r="A519" s="44" t="n">
        <v>518</v>
      </c>
      <c r="B519" s="45" t="n">
        <v>45543</v>
      </c>
      <c r="C519" s="44" t="n">
        <v>9</v>
      </c>
      <c r="D519" s="44" t="n">
        <v>2024</v>
      </c>
      <c r="E519" s="44" t="n">
        <v>8</v>
      </c>
      <c r="F519" s="44" t="s">
        <v>312</v>
      </c>
      <c r="G519" s="44" t="s">
        <v>473</v>
      </c>
      <c r="H519" s="44" t="s">
        <v>134</v>
      </c>
      <c r="I519" s="44" t="s">
        <v>173</v>
      </c>
      <c r="J519" s="44" t="s">
        <v>192</v>
      </c>
      <c r="K519" s="44" t="n">
        <v>4</v>
      </c>
      <c r="L519" s="46" t="n">
        <v>29.18</v>
      </c>
      <c r="M519" s="47" t="n">
        <v>6.18</v>
      </c>
      <c r="N519" s="46" t="n">
        <v>275.53</v>
      </c>
      <c r="O519" s="44" t="s">
        <v>308</v>
      </c>
      <c r="P519" s="44" t="s">
        <v>309</v>
      </c>
      <c r="Q519" s="44" t="s">
        <v>309</v>
      </c>
    </row>
    <row r="520" customFormat="false" ht="15" hidden="false" customHeight="false" outlineLevel="0" collapsed="false">
      <c r="A520" s="44" t="n">
        <v>519</v>
      </c>
      <c r="B520" s="45" t="n">
        <v>45297</v>
      </c>
      <c r="C520" s="44" t="n">
        <v>1</v>
      </c>
      <c r="D520" s="44" t="n">
        <v>2024</v>
      </c>
      <c r="E520" s="44" t="n">
        <v>6</v>
      </c>
      <c r="F520" s="44" t="s">
        <v>318</v>
      </c>
      <c r="G520" s="44" t="s">
        <v>403</v>
      </c>
      <c r="H520" s="44" t="s">
        <v>135</v>
      </c>
      <c r="I520" s="44" t="s">
        <v>176</v>
      </c>
      <c r="J520" s="44" t="s">
        <v>195</v>
      </c>
      <c r="K520" s="44" t="n">
        <v>2</v>
      </c>
      <c r="L520" s="46" t="n">
        <v>30.44</v>
      </c>
      <c r="M520" s="47" t="n">
        <v>1.51</v>
      </c>
      <c r="N520" s="46" t="n">
        <v>22.04</v>
      </c>
      <c r="O520" s="44" t="s">
        <v>308</v>
      </c>
      <c r="P520" s="44" t="s">
        <v>309</v>
      </c>
      <c r="Q520" s="44" t="s">
        <v>309</v>
      </c>
    </row>
    <row r="521" customFormat="false" ht="15" hidden="false" customHeight="false" outlineLevel="0" collapsed="false">
      <c r="A521" s="44" t="n">
        <v>520</v>
      </c>
      <c r="B521" s="45" t="n">
        <v>45518</v>
      </c>
      <c r="C521" s="44" t="n">
        <v>8</v>
      </c>
      <c r="D521" s="44" t="n">
        <v>2024</v>
      </c>
      <c r="E521" s="44" t="n">
        <v>14</v>
      </c>
      <c r="F521" s="44" t="s">
        <v>321</v>
      </c>
      <c r="G521" s="44" t="s">
        <v>539</v>
      </c>
      <c r="H521" s="44" t="s">
        <v>134</v>
      </c>
      <c r="I521" s="44" t="s">
        <v>176</v>
      </c>
      <c r="J521" s="44" t="s">
        <v>191</v>
      </c>
      <c r="K521" s="44" t="n">
        <v>10</v>
      </c>
      <c r="L521" s="46" t="n">
        <v>3.81</v>
      </c>
      <c r="M521" s="47" t="n">
        <v>16.45</v>
      </c>
      <c r="N521" s="46" t="n">
        <v>31.83</v>
      </c>
      <c r="O521" s="44" t="s">
        <v>309</v>
      </c>
      <c r="P521" s="44" t="s">
        <v>309</v>
      </c>
      <c r="Q521" s="44" t="s">
        <v>309</v>
      </c>
    </row>
    <row r="522" customFormat="false" ht="15" hidden="false" customHeight="false" outlineLevel="0" collapsed="false">
      <c r="A522" s="44" t="n">
        <v>521</v>
      </c>
      <c r="B522" s="45" t="n">
        <v>45381</v>
      </c>
      <c r="C522" s="44" t="n">
        <v>3</v>
      </c>
      <c r="D522" s="44" t="n">
        <v>2024</v>
      </c>
      <c r="E522" s="44" t="n">
        <v>30</v>
      </c>
      <c r="F522" s="44" t="s">
        <v>318</v>
      </c>
      <c r="G522" s="44" t="s">
        <v>390</v>
      </c>
      <c r="H522" s="44" t="s">
        <v>135</v>
      </c>
      <c r="I522" s="44" t="s">
        <v>172</v>
      </c>
      <c r="J522" s="44" t="s">
        <v>193</v>
      </c>
      <c r="K522" s="44" t="n">
        <v>1</v>
      </c>
      <c r="L522" s="46" t="n">
        <v>73.19</v>
      </c>
      <c r="M522" s="47" t="n">
        <v>1.17</v>
      </c>
      <c r="N522" s="46" t="n">
        <v>72.33</v>
      </c>
      <c r="O522" s="44" t="s">
        <v>309</v>
      </c>
      <c r="P522" s="44" t="s">
        <v>309</v>
      </c>
      <c r="Q522" s="44" t="s">
        <v>309</v>
      </c>
    </row>
    <row r="523" customFormat="false" ht="15" hidden="false" customHeight="false" outlineLevel="0" collapsed="false">
      <c r="A523" s="44" t="n">
        <v>522</v>
      </c>
      <c r="B523" s="45" t="n">
        <v>45646</v>
      </c>
      <c r="C523" s="44" t="n">
        <v>12</v>
      </c>
      <c r="D523" s="44" t="n">
        <v>2024</v>
      </c>
      <c r="E523" s="44" t="n">
        <v>20</v>
      </c>
      <c r="F523" s="44" t="s">
        <v>325</v>
      </c>
      <c r="G523" s="44" t="s">
        <v>372</v>
      </c>
      <c r="H523" s="44" t="s">
        <v>139</v>
      </c>
      <c r="I523" s="44" t="s">
        <v>174</v>
      </c>
      <c r="J523" s="44" t="s">
        <v>205</v>
      </c>
      <c r="K523" s="44" t="n">
        <v>2</v>
      </c>
      <c r="L523" s="46" t="n">
        <v>26.88</v>
      </c>
      <c r="M523" s="47" t="n">
        <v>0.52</v>
      </c>
      <c r="N523" s="46" t="n">
        <v>53.48</v>
      </c>
      <c r="O523" s="44" t="s">
        <v>309</v>
      </c>
      <c r="P523" s="44" t="s">
        <v>317</v>
      </c>
      <c r="Q523" s="44" t="s">
        <v>309</v>
      </c>
    </row>
    <row r="524" customFormat="false" ht="15" hidden="false" customHeight="false" outlineLevel="0" collapsed="false">
      <c r="A524" s="44" t="n">
        <v>523</v>
      </c>
      <c r="B524" s="45" t="n">
        <v>45449</v>
      </c>
      <c r="C524" s="44" t="n">
        <v>6</v>
      </c>
      <c r="D524" s="44" t="n">
        <v>2024</v>
      </c>
      <c r="E524" s="44" t="n">
        <v>6</v>
      </c>
      <c r="F524" s="44" t="s">
        <v>306</v>
      </c>
      <c r="G524" s="44" t="s">
        <v>347</v>
      </c>
      <c r="H524" s="44" t="s">
        <v>140</v>
      </c>
      <c r="I524" s="44" t="s">
        <v>174</v>
      </c>
      <c r="J524" s="44" t="s">
        <v>206</v>
      </c>
      <c r="K524" s="44" t="n">
        <v>1</v>
      </c>
      <c r="L524" s="46" t="n">
        <v>8.55</v>
      </c>
      <c r="M524" s="47" t="n">
        <v>1.2</v>
      </c>
      <c r="N524" s="46" t="n">
        <v>8.45</v>
      </c>
      <c r="O524" s="44" t="s">
        <v>309</v>
      </c>
      <c r="P524" s="44" t="s">
        <v>309</v>
      </c>
      <c r="Q524" s="44" t="s">
        <v>309</v>
      </c>
    </row>
    <row r="525" customFormat="false" ht="15" hidden="false" customHeight="false" outlineLevel="0" collapsed="false">
      <c r="A525" s="44" t="n">
        <v>524</v>
      </c>
      <c r="B525" s="45" t="n">
        <v>45549</v>
      </c>
      <c r="C525" s="44" t="n">
        <v>9</v>
      </c>
      <c r="D525" s="44" t="n">
        <v>2024</v>
      </c>
      <c r="E525" s="44" t="n">
        <v>14</v>
      </c>
      <c r="F525" s="44" t="s">
        <v>318</v>
      </c>
      <c r="G525" s="44" t="s">
        <v>533</v>
      </c>
      <c r="H525" s="44" t="s">
        <v>136</v>
      </c>
      <c r="I525" s="44" t="s">
        <v>173</v>
      </c>
      <c r="J525" s="44" t="s">
        <v>206</v>
      </c>
      <c r="K525" s="44" t="n">
        <v>1</v>
      </c>
      <c r="L525" s="46" t="n">
        <v>18</v>
      </c>
      <c r="M525" s="47" t="n">
        <v>1.28</v>
      </c>
      <c r="N525" s="46" t="n">
        <v>17.77</v>
      </c>
      <c r="O525" s="44" t="s">
        <v>309</v>
      </c>
      <c r="P525" s="44" t="s">
        <v>309</v>
      </c>
      <c r="Q525" s="44" t="s">
        <v>309</v>
      </c>
    </row>
    <row r="526" customFormat="false" ht="15" hidden="false" customHeight="false" outlineLevel="0" collapsed="false">
      <c r="A526" s="44" t="n">
        <v>525</v>
      </c>
      <c r="B526" s="45" t="n">
        <v>45337</v>
      </c>
      <c r="C526" s="44" t="n">
        <v>2</v>
      </c>
      <c r="D526" s="44" t="n">
        <v>2024</v>
      </c>
      <c r="E526" s="44" t="n">
        <v>15</v>
      </c>
      <c r="F526" s="44" t="s">
        <v>306</v>
      </c>
      <c r="G526" s="44" t="s">
        <v>446</v>
      </c>
      <c r="H526" s="44" t="s">
        <v>134</v>
      </c>
      <c r="I526" s="44" t="s">
        <v>172</v>
      </c>
      <c r="J526" s="44" t="s">
        <v>206</v>
      </c>
      <c r="K526" s="44" t="n">
        <v>5</v>
      </c>
      <c r="L526" s="46" t="n">
        <v>29.18</v>
      </c>
      <c r="M526" s="47" t="n">
        <v>1.905</v>
      </c>
      <c r="N526" s="46" t="n">
        <v>687.92</v>
      </c>
      <c r="O526" s="44" t="s">
        <v>308</v>
      </c>
      <c r="P526" s="44" t="s">
        <v>369</v>
      </c>
      <c r="Q526" s="44" t="s">
        <v>309</v>
      </c>
    </row>
    <row r="527" customFormat="false" ht="15" hidden="false" customHeight="false" outlineLevel="0" collapsed="false">
      <c r="A527" s="44" t="n">
        <v>526</v>
      </c>
      <c r="B527" s="45" t="n">
        <v>45515</v>
      </c>
      <c r="C527" s="44" t="n">
        <v>8</v>
      </c>
      <c r="D527" s="44" t="n">
        <v>2024</v>
      </c>
      <c r="E527" s="44" t="n">
        <v>11</v>
      </c>
      <c r="F527" s="44" t="s">
        <v>312</v>
      </c>
      <c r="G527" s="44" t="s">
        <v>513</v>
      </c>
      <c r="H527" s="44" t="s">
        <v>135</v>
      </c>
      <c r="I527" s="44" t="s">
        <v>176</v>
      </c>
      <c r="J527" s="44" t="s">
        <v>206</v>
      </c>
      <c r="K527" s="44" t="n">
        <v>1</v>
      </c>
      <c r="L527" s="46" t="n">
        <v>35.77</v>
      </c>
      <c r="M527" s="47" t="n">
        <v>0</v>
      </c>
      <c r="N527" s="46" t="n">
        <v>35.77</v>
      </c>
      <c r="O527" s="44" t="s">
        <v>309</v>
      </c>
      <c r="P527" s="44" t="s">
        <v>317</v>
      </c>
      <c r="Q527" s="44" t="s">
        <v>309</v>
      </c>
    </row>
    <row r="528" customFormat="false" ht="15" hidden="false" customHeight="false" outlineLevel="0" collapsed="false">
      <c r="A528" s="44" t="n">
        <v>527</v>
      </c>
      <c r="B528" s="45" t="n">
        <v>45601</v>
      </c>
      <c r="C528" s="44" t="n">
        <v>11</v>
      </c>
      <c r="D528" s="44" t="n">
        <v>2024</v>
      </c>
      <c r="E528" s="44" t="n">
        <v>5</v>
      </c>
      <c r="F528" s="44" t="s">
        <v>310</v>
      </c>
      <c r="G528" s="44" t="s">
        <v>413</v>
      </c>
      <c r="H528" s="44" t="s">
        <v>136</v>
      </c>
      <c r="I528" s="44" t="s">
        <v>172</v>
      </c>
      <c r="J528" s="44" t="s">
        <v>206</v>
      </c>
      <c r="K528" s="44" t="n">
        <v>6</v>
      </c>
      <c r="L528" s="46" t="n">
        <v>21.67</v>
      </c>
      <c r="M528" s="47" t="n">
        <v>7.74</v>
      </c>
      <c r="N528" s="46" t="n">
        <v>481.49</v>
      </c>
      <c r="O528" s="44" t="s">
        <v>308</v>
      </c>
      <c r="P528" s="44" t="s">
        <v>309</v>
      </c>
      <c r="Q528" s="44" t="s">
        <v>309</v>
      </c>
    </row>
    <row r="529" customFormat="false" ht="15" hidden="false" customHeight="false" outlineLevel="0" collapsed="false">
      <c r="A529" s="44" t="n">
        <v>528</v>
      </c>
      <c r="B529" s="45" t="n">
        <v>45331</v>
      </c>
      <c r="C529" s="44" t="n">
        <v>2</v>
      </c>
      <c r="D529" s="44" t="n">
        <v>2024</v>
      </c>
      <c r="E529" s="44" t="n">
        <v>9</v>
      </c>
      <c r="F529" s="44" t="s">
        <v>325</v>
      </c>
      <c r="G529" s="44" t="s">
        <v>329</v>
      </c>
      <c r="H529" s="44" t="s">
        <v>134</v>
      </c>
      <c r="I529" s="44" t="s">
        <v>176</v>
      </c>
      <c r="J529" s="44" t="s">
        <v>197</v>
      </c>
      <c r="K529" s="44" t="n">
        <v>1</v>
      </c>
      <c r="L529" s="46" t="n">
        <v>23.23</v>
      </c>
      <c r="M529" s="47" t="n">
        <v>0</v>
      </c>
      <c r="N529" s="46" t="n">
        <v>23.23</v>
      </c>
      <c r="O529" s="44" t="s">
        <v>309</v>
      </c>
      <c r="P529" s="44" t="s">
        <v>309</v>
      </c>
      <c r="Q529" s="44" t="s">
        <v>309</v>
      </c>
    </row>
    <row r="530" customFormat="false" ht="15" hidden="false" customHeight="false" outlineLevel="0" collapsed="false">
      <c r="A530" s="44" t="n">
        <v>529</v>
      </c>
      <c r="B530" s="45" t="n">
        <v>45652</v>
      </c>
      <c r="C530" s="44" t="n">
        <v>12</v>
      </c>
      <c r="D530" s="44" t="n">
        <v>2024</v>
      </c>
      <c r="E530" s="44" t="n">
        <v>26</v>
      </c>
      <c r="F530" s="44" t="s">
        <v>306</v>
      </c>
      <c r="G530" s="44" t="s">
        <v>433</v>
      </c>
      <c r="H530" s="44" t="s">
        <v>138</v>
      </c>
      <c r="I530" s="44" t="s">
        <v>176</v>
      </c>
      <c r="J530" s="44" t="s">
        <v>191</v>
      </c>
      <c r="K530" s="44" t="n">
        <v>2</v>
      </c>
      <c r="L530" s="46" t="n">
        <v>16.33</v>
      </c>
      <c r="M530" s="47" t="n">
        <v>3.37</v>
      </c>
      <c r="N530" s="46" t="n">
        <v>31.56</v>
      </c>
      <c r="O530" s="44" t="s">
        <v>309</v>
      </c>
      <c r="P530" s="44" t="s">
        <v>309</v>
      </c>
      <c r="Q530" s="44" t="s">
        <v>309</v>
      </c>
    </row>
    <row r="531" customFormat="false" ht="15" hidden="false" customHeight="false" outlineLevel="0" collapsed="false">
      <c r="A531" s="44" t="n">
        <v>530</v>
      </c>
      <c r="B531" s="45" t="n">
        <v>45480</v>
      </c>
      <c r="C531" s="44" t="n">
        <v>7</v>
      </c>
      <c r="D531" s="44" t="n">
        <v>2024</v>
      </c>
      <c r="E531" s="44" t="n">
        <v>7</v>
      </c>
      <c r="F531" s="44" t="s">
        <v>312</v>
      </c>
      <c r="G531" s="44" t="s">
        <v>327</v>
      </c>
      <c r="H531" s="44" t="s">
        <v>135</v>
      </c>
      <c r="I531" s="44" t="s">
        <v>172</v>
      </c>
      <c r="J531" s="44" t="s">
        <v>198</v>
      </c>
      <c r="K531" s="44" t="n">
        <v>2</v>
      </c>
      <c r="L531" s="46" t="n">
        <v>165.86</v>
      </c>
      <c r="M531" s="47" t="n">
        <v>0.46</v>
      </c>
      <c r="N531" s="46" t="n">
        <v>330.19</v>
      </c>
      <c r="O531" s="44" t="s">
        <v>309</v>
      </c>
      <c r="P531" s="44" t="s">
        <v>309</v>
      </c>
      <c r="Q531" s="44" t="s">
        <v>309</v>
      </c>
    </row>
    <row r="532" customFormat="false" ht="15" hidden="false" customHeight="false" outlineLevel="0" collapsed="false">
      <c r="A532" s="44" t="n">
        <v>531</v>
      </c>
      <c r="B532" s="45" t="n">
        <v>45532</v>
      </c>
      <c r="C532" s="44" t="n">
        <v>8</v>
      </c>
      <c r="D532" s="44" t="n">
        <v>2024</v>
      </c>
      <c r="E532" s="44" t="n">
        <v>28</v>
      </c>
      <c r="F532" s="44" t="s">
        <v>321</v>
      </c>
      <c r="G532" s="44" t="s">
        <v>406</v>
      </c>
      <c r="H532" s="44" t="s">
        <v>134</v>
      </c>
      <c r="I532" s="44" t="s">
        <v>172</v>
      </c>
      <c r="J532" s="44" t="s">
        <v>191</v>
      </c>
      <c r="K532" s="44" t="n">
        <v>1</v>
      </c>
      <c r="L532" s="46" t="n">
        <v>29.18</v>
      </c>
      <c r="M532" s="47" t="n">
        <v>1.07</v>
      </c>
      <c r="N532" s="46" t="n">
        <v>26.65</v>
      </c>
      <c r="O532" s="44" t="s">
        <v>308</v>
      </c>
      <c r="P532" s="44" t="s">
        <v>309</v>
      </c>
      <c r="Q532" s="44" t="s">
        <v>309</v>
      </c>
    </row>
    <row r="533" customFormat="false" ht="15" hidden="false" customHeight="false" outlineLevel="0" collapsed="false">
      <c r="A533" s="44" t="n">
        <v>532</v>
      </c>
      <c r="B533" s="45" t="n">
        <v>45479</v>
      </c>
      <c r="C533" s="44" t="n">
        <v>7</v>
      </c>
      <c r="D533" s="44" t="n">
        <v>2024</v>
      </c>
      <c r="E533" s="44" t="n">
        <v>6</v>
      </c>
      <c r="F533" s="44" t="s">
        <v>318</v>
      </c>
      <c r="G533" s="44" t="s">
        <v>514</v>
      </c>
      <c r="H533" s="44" t="s">
        <v>138</v>
      </c>
      <c r="I533" s="44" t="s">
        <v>175</v>
      </c>
      <c r="J533" s="44" t="s">
        <v>199</v>
      </c>
      <c r="K533" s="44" t="n">
        <v>4</v>
      </c>
      <c r="L533" s="46" t="n">
        <v>26.69</v>
      </c>
      <c r="M533" s="47" t="n">
        <v>4.3</v>
      </c>
      <c r="N533" s="46" t="n">
        <v>25.11</v>
      </c>
      <c r="O533" s="44" t="s">
        <v>308</v>
      </c>
      <c r="P533" s="44" t="s">
        <v>309</v>
      </c>
      <c r="Q533" s="44" t="s">
        <v>309</v>
      </c>
    </row>
    <row r="534" customFormat="false" ht="15" hidden="false" customHeight="false" outlineLevel="0" collapsed="false">
      <c r="A534" s="44" t="n">
        <v>533</v>
      </c>
      <c r="B534" s="45" t="n">
        <v>45383</v>
      </c>
      <c r="C534" s="44" t="n">
        <v>4</v>
      </c>
      <c r="D534" s="44" t="n">
        <v>2024</v>
      </c>
      <c r="E534" s="44" t="n">
        <v>1</v>
      </c>
      <c r="F534" s="44" t="s">
        <v>328</v>
      </c>
      <c r="G534" s="44" t="s">
        <v>316</v>
      </c>
      <c r="H534" s="44" t="s">
        <v>140</v>
      </c>
      <c r="I534" s="44" t="s">
        <v>172</v>
      </c>
      <c r="J534" s="44" t="s">
        <v>206</v>
      </c>
      <c r="K534" s="44" t="n">
        <v>2</v>
      </c>
      <c r="L534" s="46" t="n">
        <v>11.31</v>
      </c>
      <c r="M534" s="47" t="n">
        <v>1.69</v>
      </c>
      <c r="N534" s="46" t="n">
        <v>12.03</v>
      </c>
      <c r="O534" s="44" t="s">
        <v>308</v>
      </c>
      <c r="P534" s="44" t="s">
        <v>309</v>
      </c>
      <c r="Q534" s="44" t="s">
        <v>309</v>
      </c>
    </row>
    <row r="535" customFormat="false" ht="15" hidden="false" customHeight="false" outlineLevel="0" collapsed="false">
      <c r="A535" s="44" t="n">
        <v>534</v>
      </c>
      <c r="B535" s="45" t="n">
        <v>45471</v>
      </c>
      <c r="C535" s="44" t="n">
        <v>6</v>
      </c>
      <c r="D535" s="44" t="n">
        <v>2024</v>
      </c>
      <c r="E535" s="44" t="n">
        <v>28</v>
      </c>
      <c r="F535" s="44" t="s">
        <v>325</v>
      </c>
      <c r="G535" s="44" t="s">
        <v>462</v>
      </c>
      <c r="H535" s="44" t="s">
        <v>134</v>
      </c>
      <c r="I535" s="44" t="s">
        <v>174</v>
      </c>
      <c r="J535" s="44" t="s">
        <v>194</v>
      </c>
      <c r="K535" s="44" t="n">
        <v>3</v>
      </c>
      <c r="L535" s="46" t="n">
        <v>43.19</v>
      </c>
      <c r="M535" s="47" t="n">
        <v>4.64</v>
      </c>
      <c r="N535" s="46" t="n">
        <v>123.56</v>
      </c>
      <c r="O535" s="44" t="s">
        <v>309</v>
      </c>
      <c r="P535" s="44" t="s">
        <v>309</v>
      </c>
      <c r="Q535" s="44" t="s">
        <v>309</v>
      </c>
    </row>
    <row r="536" customFormat="false" ht="15" hidden="false" customHeight="false" outlineLevel="0" collapsed="false">
      <c r="A536" s="44" t="n">
        <v>535</v>
      </c>
      <c r="B536" s="45" t="n">
        <v>45622</v>
      </c>
      <c r="C536" s="44" t="n">
        <v>11</v>
      </c>
      <c r="D536" s="44" t="n">
        <v>2024</v>
      </c>
      <c r="E536" s="44" t="n">
        <v>26</v>
      </c>
      <c r="F536" s="44" t="s">
        <v>310</v>
      </c>
      <c r="G536" s="44" t="s">
        <v>448</v>
      </c>
      <c r="H536" s="44" t="s">
        <v>134</v>
      </c>
      <c r="I536" s="44" t="s">
        <v>176</v>
      </c>
      <c r="J536" s="44" t="s">
        <v>192</v>
      </c>
      <c r="K536" s="44" t="n">
        <v>2</v>
      </c>
      <c r="L536" s="46" t="n">
        <v>12.43</v>
      </c>
      <c r="M536" s="47" t="n">
        <v>2.91</v>
      </c>
      <c r="N536" s="46" t="n">
        <v>24.14</v>
      </c>
      <c r="O536" s="44" t="s">
        <v>309</v>
      </c>
      <c r="P536" s="44" t="s">
        <v>309</v>
      </c>
      <c r="Q536" s="44" t="s">
        <v>309</v>
      </c>
    </row>
    <row r="537" customFormat="false" ht="15" hidden="false" customHeight="false" outlineLevel="0" collapsed="false">
      <c r="A537" s="44" t="n">
        <v>536</v>
      </c>
      <c r="B537" s="45" t="n">
        <v>45501</v>
      </c>
      <c r="C537" s="44" t="n">
        <v>7</v>
      </c>
      <c r="D537" s="44" t="n">
        <v>2024</v>
      </c>
      <c r="E537" s="44" t="n">
        <v>28</v>
      </c>
      <c r="F537" s="44" t="s">
        <v>312</v>
      </c>
      <c r="G537" s="44" t="s">
        <v>528</v>
      </c>
      <c r="H537" s="44" t="s">
        <v>135</v>
      </c>
      <c r="I537" s="44" t="s">
        <v>172</v>
      </c>
      <c r="J537" s="44" t="s">
        <v>206</v>
      </c>
      <c r="K537" s="44" t="n">
        <v>3</v>
      </c>
      <c r="L537" s="46" t="n">
        <v>30.44</v>
      </c>
      <c r="M537" s="47" t="n">
        <v>3.91</v>
      </c>
      <c r="N537" s="46" t="n">
        <v>33.87</v>
      </c>
      <c r="O537" s="44" t="s">
        <v>308</v>
      </c>
      <c r="P537" s="44" t="s">
        <v>309</v>
      </c>
      <c r="Q537" s="44" t="s">
        <v>309</v>
      </c>
    </row>
    <row r="538" customFormat="false" ht="15" hidden="false" customHeight="false" outlineLevel="0" collapsed="false">
      <c r="A538" s="44" t="n">
        <v>537</v>
      </c>
      <c r="B538" s="45" t="n">
        <v>45357</v>
      </c>
      <c r="C538" s="44" t="n">
        <v>3</v>
      </c>
      <c r="D538" s="44" t="n">
        <v>2024</v>
      </c>
      <c r="E538" s="44" t="n">
        <v>6</v>
      </c>
      <c r="F538" s="44" t="s">
        <v>321</v>
      </c>
      <c r="G538" s="44" t="s">
        <v>368</v>
      </c>
      <c r="H538" s="44" t="s">
        <v>137</v>
      </c>
      <c r="I538" s="44" t="s">
        <v>172</v>
      </c>
      <c r="J538" s="44" t="s">
        <v>194</v>
      </c>
      <c r="K538" s="44" t="n">
        <v>3</v>
      </c>
      <c r="L538" s="46" t="n">
        <v>28.2</v>
      </c>
      <c r="M538" s="47" t="n">
        <v>4.02</v>
      </c>
      <c r="N538" s="46" t="n">
        <v>70.37</v>
      </c>
      <c r="O538" s="44" t="s">
        <v>308</v>
      </c>
      <c r="P538" s="44" t="s">
        <v>309</v>
      </c>
      <c r="Q538" s="44" t="s">
        <v>309</v>
      </c>
    </row>
    <row r="539" customFormat="false" ht="15" hidden="false" customHeight="false" outlineLevel="0" collapsed="false">
      <c r="A539" s="44" t="n">
        <v>538</v>
      </c>
      <c r="B539" s="45" t="n">
        <v>45380</v>
      </c>
      <c r="C539" s="44" t="n">
        <v>3</v>
      </c>
      <c r="D539" s="44" t="n">
        <v>2024</v>
      </c>
      <c r="E539" s="44" t="n">
        <v>29</v>
      </c>
      <c r="F539" s="44" t="s">
        <v>325</v>
      </c>
      <c r="G539" s="44" t="s">
        <v>507</v>
      </c>
      <c r="H539" s="44" t="s">
        <v>135</v>
      </c>
      <c r="I539" s="44" t="s">
        <v>173</v>
      </c>
      <c r="J539" s="44" t="s">
        <v>206</v>
      </c>
      <c r="K539" s="44" t="n">
        <v>2</v>
      </c>
      <c r="L539" s="46" t="n">
        <v>10.1</v>
      </c>
      <c r="M539" s="47" t="n">
        <v>2.69</v>
      </c>
      <c r="N539" s="46" t="n">
        <v>19.66</v>
      </c>
      <c r="O539" s="44" t="s">
        <v>309</v>
      </c>
      <c r="P539" s="44" t="s">
        <v>309</v>
      </c>
      <c r="Q539" s="44" t="s">
        <v>309</v>
      </c>
    </row>
    <row r="540" customFormat="false" ht="15" hidden="false" customHeight="false" outlineLevel="0" collapsed="false">
      <c r="A540" s="44" t="n">
        <v>539</v>
      </c>
      <c r="B540" s="45" t="n">
        <v>45473</v>
      </c>
      <c r="C540" s="44" t="n">
        <v>6</v>
      </c>
      <c r="D540" s="44" t="n">
        <v>2024</v>
      </c>
      <c r="E540" s="44" t="n">
        <v>30</v>
      </c>
      <c r="F540" s="44" t="s">
        <v>312</v>
      </c>
      <c r="G540" s="44" t="s">
        <v>362</v>
      </c>
      <c r="H540" s="44" t="s">
        <v>135</v>
      </c>
      <c r="I540" s="44" t="s">
        <v>173</v>
      </c>
      <c r="J540" s="44" t="s">
        <v>192</v>
      </c>
      <c r="K540" s="44" t="n">
        <v>4</v>
      </c>
      <c r="L540" s="46" t="n">
        <v>2.79</v>
      </c>
      <c r="M540" s="47" t="n">
        <v>5.1</v>
      </c>
      <c r="N540" s="46" t="n">
        <v>10.59</v>
      </c>
      <c r="O540" s="44" t="s">
        <v>309</v>
      </c>
      <c r="P540" s="44" t="s">
        <v>309</v>
      </c>
      <c r="Q540" s="44" t="s">
        <v>309</v>
      </c>
    </row>
    <row r="541" customFormat="false" ht="15" hidden="false" customHeight="false" outlineLevel="0" collapsed="false">
      <c r="A541" s="44" t="n">
        <v>540</v>
      </c>
      <c r="B541" s="45" t="n">
        <v>45397</v>
      </c>
      <c r="C541" s="44" t="n">
        <v>4</v>
      </c>
      <c r="D541" s="44" t="n">
        <v>2024</v>
      </c>
      <c r="E541" s="44" t="n">
        <v>15</v>
      </c>
      <c r="F541" s="44" t="s">
        <v>328</v>
      </c>
      <c r="G541" s="44" t="s">
        <v>482</v>
      </c>
      <c r="H541" s="44" t="s">
        <v>134</v>
      </c>
      <c r="I541" s="44" t="s">
        <v>176</v>
      </c>
      <c r="J541" s="44" t="s">
        <v>197</v>
      </c>
      <c r="K541" s="44" t="n">
        <v>1</v>
      </c>
      <c r="L541" s="46" t="n">
        <v>13.76</v>
      </c>
      <c r="M541" s="47" t="n">
        <v>1.31</v>
      </c>
      <c r="N541" s="46" t="n">
        <v>13.58</v>
      </c>
      <c r="O541" s="44" t="s">
        <v>309</v>
      </c>
      <c r="P541" s="44" t="s">
        <v>309</v>
      </c>
      <c r="Q541" s="44" t="s">
        <v>309</v>
      </c>
    </row>
    <row r="542" customFormat="false" ht="15" hidden="false" customHeight="false" outlineLevel="0" collapsed="false">
      <c r="A542" s="44" t="n">
        <v>541</v>
      </c>
      <c r="B542" s="45" t="n">
        <v>45322</v>
      </c>
      <c r="C542" s="44" t="n">
        <v>1</v>
      </c>
      <c r="D542" s="44" t="n">
        <v>2024</v>
      </c>
      <c r="E542" s="44" t="n">
        <v>31</v>
      </c>
      <c r="F542" s="44" t="s">
        <v>321</v>
      </c>
      <c r="G542" s="44" t="s">
        <v>355</v>
      </c>
      <c r="H542" s="44" t="s">
        <v>135</v>
      </c>
      <c r="I542" s="44" t="s">
        <v>174</v>
      </c>
      <c r="J542" s="44" t="s">
        <v>206</v>
      </c>
      <c r="K542" s="44" t="n">
        <v>5</v>
      </c>
      <c r="L542" s="46" t="n">
        <v>137.24</v>
      </c>
      <c r="M542" s="47" t="n">
        <v>6.36</v>
      </c>
      <c r="N542" s="46" t="n">
        <v>642.56</v>
      </c>
      <c r="O542" s="44" t="s">
        <v>309</v>
      </c>
      <c r="P542" s="44" t="s">
        <v>309</v>
      </c>
      <c r="Q542" s="44" t="s">
        <v>309</v>
      </c>
    </row>
    <row r="543" customFormat="false" ht="15" hidden="false" customHeight="false" outlineLevel="0" collapsed="false">
      <c r="A543" s="44" t="n">
        <v>542</v>
      </c>
      <c r="B543" s="45" t="n">
        <v>45576</v>
      </c>
      <c r="C543" s="44" t="n">
        <v>10</v>
      </c>
      <c r="D543" s="44" t="n">
        <v>2024</v>
      </c>
      <c r="E543" s="44" t="n">
        <v>11</v>
      </c>
      <c r="F543" s="44" t="s">
        <v>325</v>
      </c>
      <c r="G543" s="44" t="s">
        <v>344</v>
      </c>
      <c r="H543" s="44" t="s">
        <v>135</v>
      </c>
      <c r="I543" s="44" t="s">
        <v>172</v>
      </c>
      <c r="J543" s="44" t="s">
        <v>191</v>
      </c>
      <c r="K543" s="44" t="n">
        <v>1</v>
      </c>
      <c r="L543" s="46" t="n">
        <v>104.1</v>
      </c>
      <c r="M543" s="47" t="n">
        <v>1.32</v>
      </c>
      <c r="N543" s="46" t="n">
        <v>102.73</v>
      </c>
      <c r="O543" s="44" t="s">
        <v>309</v>
      </c>
      <c r="P543" s="44" t="s">
        <v>309</v>
      </c>
      <c r="Q543" s="44" t="s">
        <v>309</v>
      </c>
    </row>
    <row r="544" customFormat="false" ht="15" hidden="false" customHeight="false" outlineLevel="0" collapsed="false">
      <c r="A544" s="44" t="n">
        <v>543</v>
      </c>
      <c r="B544" s="45" t="n">
        <v>45456</v>
      </c>
      <c r="C544" s="44" t="n">
        <v>6</v>
      </c>
      <c r="D544" s="44" t="n">
        <v>2024</v>
      </c>
      <c r="E544" s="44" t="n">
        <v>13</v>
      </c>
      <c r="F544" s="44" t="s">
        <v>306</v>
      </c>
      <c r="G544" s="44" t="s">
        <v>395</v>
      </c>
      <c r="H544" s="44" t="s">
        <v>139</v>
      </c>
      <c r="I544" s="44" t="s">
        <v>172</v>
      </c>
      <c r="J544" s="44" t="s">
        <v>206</v>
      </c>
      <c r="K544" s="44" t="n">
        <v>4</v>
      </c>
      <c r="L544" s="46" t="n">
        <v>18.33</v>
      </c>
      <c r="M544" s="47" t="n">
        <v>3.13</v>
      </c>
      <c r="N544" s="46" t="n">
        <v>5.81</v>
      </c>
      <c r="O544" s="44" t="s">
        <v>308</v>
      </c>
      <c r="P544" s="44" t="s">
        <v>309</v>
      </c>
      <c r="Q544" s="44" t="s">
        <v>309</v>
      </c>
    </row>
    <row r="545" customFormat="false" ht="15" hidden="false" customHeight="false" outlineLevel="0" collapsed="false">
      <c r="A545" s="44" t="n">
        <v>544</v>
      </c>
      <c r="B545" s="45" t="n">
        <v>45375</v>
      </c>
      <c r="C545" s="44" t="n">
        <v>3</v>
      </c>
      <c r="D545" s="44" t="n">
        <v>2024</v>
      </c>
      <c r="E545" s="44" t="n">
        <v>24</v>
      </c>
      <c r="F545" s="44" t="s">
        <v>312</v>
      </c>
      <c r="G545" s="44" t="s">
        <v>480</v>
      </c>
      <c r="H545" s="44" t="s">
        <v>134</v>
      </c>
      <c r="I545" s="44" t="s">
        <v>175</v>
      </c>
      <c r="J545" s="44" t="s">
        <v>192</v>
      </c>
      <c r="K545" s="44" t="n">
        <v>5</v>
      </c>
      <c r="L545" s="46" t="n">
        <v>3.01</v>
      </c>
      <c r="M545" s="47" t="n">
        <v>7.94</v>
      </c>
      <c r="N545" s="46" t="n">
        <v>13.86</v>
      </c>
      <c r="O545" s="44" t="s">
        <v>309</v>
      </c>
      <c r="P545" s="44" t="s">
        <v>309</v>
      </c>
      <c r="Q545" s="44" t="s">
        <v>309</v>
      </c>
    </row>
    <row r="546" customFormat="false" ht="15" hidden="false" customHeight="false" outlineLevel="0" collapsed="false">
      <c r="A546" s="44" t="n">
        <v>545</v>
      </c>
      <c r="B546" s="45" t="n">
        <v>45410</v>
      </c>
      <c r="C546" s="44" t="n">
        <v>4</v>
      </c>
      <c r="D546" s="44" t="n">
        <v>2024</v>
      </c>
      <c r="E546" s="44" t="n">
        <v>28</v>
      </c>
      <c r="F546" s="44" t="s">
        <v>312</v>
      </c>
      <c r="G546" s="44" t="s">
        <v>540</v>
      </c>
      <c r="H546" s="44" t="s">
        <v>134</v>
      </c>
      <c r="I546" s="44" t="s">
        <v>174</v>
      </c>
      <c r="J546" s="44" t="s">
        <v>195</v>
      </c>
      <c r="K546" s="44" t="n">
        <v>3</v>
      </c>
      <c r="L546" s="46" t="n">
        <v>3</v>
      </c>
      <c r="M546" s="47" t="n">
        <v>3.5</v>
      </c>
      <c r="N546" s="46" t="n">
        <v>8.69</v>
      </c>
      <c r="O546" s="44" t="s">
        <v>309</v>
      </c>
      <c r="P546" s="44" t="s">
        <v>309</v>
      </c>
      <c r="Q546" s="44" t="s">
        <v>309</v>
      </c>
    </row>
    <row r="547" customFormat="false" ht="15" hidden="false" customHeight="false" outlineLevel="0" collapsed="false">
      <c r="A547" s="44" t="n">
        <v>546</v>
      </c>
      <c r="B547" s="45" t="n">
        <v>45293</v>
      </c>
      <c r="C547" s="44" t="n">
        <v>1</v>
      </c>
      <c r="D547" s="44" t="n">
        <v>2024</v>
      </c>
      <c r="E547" s="44" t="n">
        <v>2</v>
      </c>
      <c r="F547" s="44" t="s">
        <v>310</v>
      </c>
      <c r="G547" s="44" t="s">
        <v>510</v>
      </c>
      <c r="H547" s="44" t="s">
        <v>135</v>
      </c>
      <c r="I547" s="44" t="s">
        <v>172</v>
      </c>
      <c r="J547" s="44" t="s">
        <v>206</v>
      </c>
      <c r="K547" s="44" t="n">
        <v>1</v>
      </c>
      <c r="L547" s="46" t="n">
        <v>30.44</v>
      </c>
      <c r="M547" s="47" t="n">
        <v>1.905</v>
      </c>
      <c r="N547" s="46" t="n">
        <v>80.24</v>
      </c>
      <c r="O547" s="44" t="s">
        <v>308</v>
      </c>
      <c r="P547" s="44" t="s">
        <v>369</v>
      </c>
      <c r="Q547" s="44" t="s">
        <v>309</v>
      </c>
    </row>
    <row r="548" customFormat="false" ht="15" hidden="false" customHeight="false" outlineLevel="0" collapsed="false">
      <c r="A548" s="44" t="n">
        <v>547</v>
      </c>
      <c r="B548" s="45" t="n">
        <v>45491</v>
      </c>
      <c r="C548" s="44" t="n">
        <v>7</v>
      </c>
      <c r="D548" s="44" t="n">
        <v>2024</v>
      </c>
      <c r="E548" s="44" t="n">
        <v>18</v>
      </c>
      <c r="F548" s="44" t="s">
        <v>306</v>
      </c>
      <c r="G548" s="44" t="s">
        <v>541</v>
      </c>
      <c r="H548" s="44" t="s">
        <v>137</v>
      </c>
      <c r="I548" s="44" t="s">
        <v>172</v>
      </c>
      <c r="J548" s="44" t="s">
        <v>192</v>
      </c>
      <c r="K548" s="44" t="n">
        <v>8</v>
      </c>
      <c r="L548" s="46" t="n">
        <v>28.2</v>
      </c>
      <c r="M548" s="47" t="n">
        <v>12.82</v>
      </c>
      <c r="N548" s="46" t="n">
        <v>601.19</v>
      </c>
      <c r="O548" s="44" t="s">
        <v>308</v>
      </c>
      <c r="P548" s="44" t="s">
        <v>309</v>
      </c>
      <c r="Q548" s="44" t="s">
        <v>309</v>
      </c>
    </row>
    <row r="549" customFormat="false" ht="15" hidden="false" customHeight="false" outlineLevel="0" collapsed="false">
      <c r="A549" s="44" t="n">
        <v>548</v>
      </c>
      <c r="B549" s="45" t="n">
        <v>45615</v>
      </c>
      <c r="C549" s="44" t="n">
        <v>11</v>
      </c>
      <c r="D549" s="44" t="n">
        <v>2024</v>
      </c>
      <c r="E549" s="44" t="n">
        <v>19</v>
      </c>
      <c r="F549" s="44" t="s">
        <v>310</v>
      </c>
      <c r="G549" s="44" t="s">
        <v>540</v>
      </c>
      <c r="H549" s="44" t="s">
        <v>135</v>
      </c>
      <c r="I549" s="44" t="s">
        <v>172</v>
      </c>
      <c r="J549" s="44" t="s">
        <v>191</v>
      </c>
      <c r="K549" s="44" t="n">
        <v>4</v>
      </c>
      <c r="L549" s="46" t="n">
        <v>2.59</v>
      </c>
      <c r="M549" s="47" t="n">
        <v>6.61</v>
      </c>
      <c r="N549" s="46" t="n">
        <v>9.68</v>
      </c>
      <c r="O549" s="44" t="s">
        <v>309</v>
      </c>
      <c r="P549" s="44" t="s">
        <v>309</v>
      </c>
      <c r="Q549" s="44" t="s">
        <v>309</v>
      </c>
    </row>
    <row r="550" customFormat="false" ht="15" hidden="false" customHeight="false" outlineLevel="0" collapsed="false">
      <c r="A550" s="44" t="n">
        <v>549</v>
      </c>
      <c r="B550" s="45" t="n">
        <v>45473</v>
      </c>
      <c r="C550" s="44" t="n">
        <v>6</v>
      </c>
      <c r="D550" s="44" t="n">
        <v>2024</v>
      </c>
      <c r="E550" s="44" t="n">
        <v>30</v>
      </c>
      <c r="F550" s="44" t="s">
        <v>312</v>
      </c>
      <c r="G550" s="44" t="s">
        <v>340</v>
      </c>
      <c r="H550" s="44" t="s">
        <v>136</v>
      </c>
      <c r="I550" s="44" t="s">
        <v>176</v>
      </c>
      <c r="J550" s="44" t="s">
        <v>206</v>
      </c>
      <c r="K550" s="44" t="n">
        <v>1</v>
      </c>
      <c r="L550" s="46" t="n">
        <v>21.67</v>
      </c>
      <c r="M550" s="47" t="n">
        <v>0.43</v>
      </c>
      <c r="N550" s="46" t="n">
        <v>4.05</v>
      </c>
      <c r="O550" s="44" t="s">
        <v>308</v>
      </c>
      <c r="P550" s="44" t="s">
        <v>309</v>
      </c>
      <c r="Q550" s="44" t="s">
        <v>309</v>
      </c>
    </row>
    <row r="551" customFormat="false" ht="15" hidden="false" customHeight="false" outlineLevel="0" collapsed="false">
      <c r="A551" s="44" t="n">
        <v>550</v>
      </c>
      <c r="B551" s="45" t="n">
        <v>45523</v>
      </c>
      <c r="C551" s="44" t="n">
        <v>8</v>
      </c>
      <c r="D551" s="44" t="n">
        <v>2024</v>
      </c>
      <c r="E551" s="44" t="n">
        <v>19</v>
      </c>
      <c r="F551" s="44" t="s">
        <v>328</v>
      </c>
      <c r="G551" s="44" t="s">
        <v>428</v>
      </c>
      <c r="H551" s="44" t="s">
        <v>139</v>
      </c>
      <c r="I551" s="44" t="s">
        <v>172</v>
      </c>
      <c r="J551" s="44" t="s">
        <v>194</v>
      </c>
      <c r="K551" s="44" t="n">
        <v>1</v>
      </c>
      <c r="L551" s="46" t="n">
        <v>18.33</v>
      </c>
      <c r="M551" s="47" t="n">
        <v>0</v>
      </c>
      <c r="N551" s="46" t="n">
        <v>82.48</v>
      </c>
      <c r="O551" s="44" t="s">
        <v>308</v>
      </c>
      <c r="P551" s="44" t="s">
        <v>309</v>
      </c>
      <c r="Q551" s="44" t="s">
        <v>309</v>
      </c>
    </row>
    <row r="552" customFormat="false" ht="15" hidden="false" customHeight="false" outlineLevel="0" collapsed="false">
      <c r="A552" s="44" t="n">
        <v>551</v>
      </c>
      <c r="B552" s="45" t="n">
        <v>45344</v>
      </c>
      <c r="C552" s="44" t="n">
        <v>2</v>
      </c>
      <c r="D552" s="44" t="n">
        <v>2024</v>
      </c>
      <c r="E552" s="44" t="n">
        <v>22</v>
      </c>
      <c r="F552" s="44" t="s">
        <v>306</v>
      </c>
      <c r="G552" s="44" t="s">
        <v>418</v>
      </c>
      <c r="H552" s="44" t="s">
        <v>137</v>
      </c>
      <c r="I552" s="44" t="s">
        <v>176</v>
      </c>
      <c r="J552" s="44" t="s">
        <v>195</v>
      </c>
      <c r="K552" s="44" t="n">
        <v>3</v>
      </c>
      <c r="L552" s="46" t="n">
        <v>6</v>
      </c>
      <c r="M552" s="47" t="n">
        <v>4.8</v>
      </c>
      <c r="N552" s="46" t="n">
        <v>17.14</v>
      </c>
      <c r="O552" s="44" t="s">
        <v>309</v>
      </c>
      <c r="P552" s="44" t="s">
        <v>309</v>
      </c>
      <c r="Q552" s="44" t="s">
        <v>309</v>
      </c>
    </row>
    <row r="553" customFormat="false" ht="15" hidden="false" customHeight="false" outlineLevel="0" collapsed="false">
      <c r="A553" s="44" t="n">
        <v>552</v>
      </c>
      <c r="B553" s="45" t="n">
        <v>45385</v>
      </c>
      <c r="C553" s="44" t="n">
        <v>4</v>
      </c>
      <c r="D553" s="44" t="n">
        <v>2024</v>
      </c>
      <c r="E553" s="44" t="n">
        <v>3</v>
      </c>
      <c r="F553" s="44" t="s">
        <v>321</v>
      </c>
      <c r="G553" s="44" t="s">
        <v>418</v>
      </c>
      <c r="H553" s="44" t="s">
        <v>134</v>
      </c>
      <c r="I553" s="44" t="s">
        <v>174</v>
      </c>
      <c r="J553" s="44" t="s">
        <v>191</v>
      </c>
      <c r="K553" s="44" t="n">
        <v>5</v>
      </c>
      <c r="L553" s="46" t="n">
        <v>43.3</v>
      </c>
      <c r="M553" s="47" t="n">
        <v>5.19</v>
      </c>
      <c r="N553" s="46" t="n">
        <v>205.26</v>
      </c>
      <c r="O553" s="44" t="s">
        <v>309</v>
      </c>
      <c r="P553" s="44" t="s">
        <v>309</v>
      </c>
      <c r="Q553" s="44" t="s">
        <v>309</v>
      </c>
    </row>
    <row r="554" customFormat="false" ht="15" hidden="false" customHeight="false" outlineLevel="0" collapsed="false">
      <c r="A554" s="44" t="n">
        <v>553</v>
      </c>
      <c r="B554" s="45" t="n">
        <v>45563</v>
      </c>
      <c r="C554" s="44" t="n">
        <v>9</v>
      </c>
      <c r="D554" s="44" t="n">
        <v>2024</v>
      </c>
      <c r="E554" s="44" t="n">
        <v>28</v>
      </c>
      <c r="F554" s="44" t="s">
        <v>318</v>
      </c>
      <c r="G554" s="44" t="s">
        <v>533</v>
      </c>
      <c r="H554" s="44" t="s">
        <v>135</v>
      </c>
      <c r="I554" s="44" t="s">
        <v>174</v>
      </c>
      <c r="J554" s="44" t="s">
        <v>199</v>
      </c>
      <c r="K554" s="44" t="n">
        <v>5</v>
      </c>
      <c r="L554" s="46" t="n">
        <v>30.44</v>
      </c>
      <c r="M554" s="47" t="n">
        <v>5.31</v>
      </c>
      <c r="N554" s="46" t="n">
        <v>643.28</v>
      </c>
      <c r="O554" s="44" t="s">
        <v>308</v>
      </c>
      <c r="P554" s="44" t="s">
        <v>309</v>
      </c>
      <c r="Q554" s="44" t="s">
        <v>309</v>
      </c>
    </row>
    <row r="555" customFormat="false" ht="15" hidden="false" customHeight="false" outlineLevel="0" collapsed="false">
      <c r="A555" s="44" t="n">
        <v>554</v>
      </c>
      <c r="B555" s="45" t="n">
        <v>45445</v>
      </c>
      <c r="C555" s="44" t="n">
        <v>6</v>
      </c>
      <c r="D555" s="44" t="n">
        <v>2024</v>
      </c>
      <c r="E555" s="44" t="n">
        <v>2</v>
      </c>
      <c r="F555" s="44" t="s">
        <v>312</v>
      </c>
      <c r="G555" s="44" t="s">
        <v>506</v>
      </c>
      <c r="H555" s="44" t="s">
        <v>139</v>
      </c>
      <c r="I555" s="44" t="s">
        <v>172</v>
      </c>
      <c r="J555" s="44" t="s">
        <v>201</v>
      </c>
      <c r="K555" s="44" t="n">
        <v>5</v>
      </c>
      <c r="L555" s="46" t="n">
        <v>1.81</v>
      </c>
      <c r="M555" s="47" t="n">
        <v>8.34</v>
      </c>
      <c r="N555" s="46" t="n">
        <v>8.3</v>
      </c>
      <c r="O555" s="44" t="s">
        <v>309</v>
      </c>
      <c r="P555" s="44" t="s">
        <v>309</v>
      </c>
      <c r="Q555" s="44" t="s">
        <v>309</v>
      </c>
    </row>
    <row r="556" customFormat="false" ht="15" hidden="false" customHeight="false" outlineLevel="0" collapsed="false">
      <c r="A556" s="44" t="n">
        <v>555</v>
      </c>
      <c r="B556" s="45" t="n">
        <v>45421</v>
      </c>
      <c r="C556" s="44" t="n">
        <v>5</v>
      </c>
      <c r="D556" s="44" t="n">
        <v>2024</v>
      </c>
      <c r="E556" s="44" t="n">
        <v>9</v>
      </c>
      <c r="F556" s="44" t="s">
        <v>306</v>
      </c>
      <c r="G556" s="44" t="s">
        <v>368</v>
      </c>
      <c r="H556" s="44" t="s">
        <v>136</v>
      </c>
      <c r="I556" s="44" t="s">
        <v>172</v>
      </c>
      <c r="J556" s="44" t="s">
        <v>193</v>
      </c>
      <c r="K556" s="44" t="n">
        <v>1</v>
      </c>
      <c r="L556" s="46" t="n">
        <v>21.67</v>
      </c>
      <c r="M556" s="47" t="n">
        <v>1.905</v>
      </c>
      <c r="N556" s="46" t="n">
        <v>6.04</v>
      </c>
      <c r="O556" s="44" t="s">
        <v>308</v>
      </c>
      <c r="P556" s="44" t="s">
        <v>369</v>
      </c>
      <c r="Q556" s="44" t="s">
        <v>309</v>
      </c>
    </row>
    <row r="557" customFormat="false" ht="15" hidden="false" customHeight="false" outlineLevel="0" collapsed="false">
      <c r="A557" s="44" t="n">
        <v>556</v>
      </c>
      <c r="B557" s="45" t="n">
        <v>45452</v>
      </c>
      <c r="C557" s="44" t="n">
        <v>6</v>
      </c>
      <c r="D557" s="44" t="n">
        <v>2024</v>
      </c>
      <c r="E557" s="44" t="n">
        <v>9</v>
      </c>
      <c r="F557" s="44" t="s">
        <v>312</v>
      </c>
      <c r="G557" s="44" t="s">
        <v>340</v>
      </c>
      <c r="H557" s="44" t="s">
        <v>136</v>
      </c>
      <c r="I557" s="44" t="s">
        <v>176</v>
      </c>
      <c r="J557" s="44" t="s">
        <v>206</v>
      </c>
      <c r="K557" s="44" t="n">
        <v>8</v>
      </c>
      <c r="L557" s="46" t="n">
        <v>21.67</v>
      </c>
      <c r="M557" s="47" t="n">
        <v>10.4</v>
      </c>
      <c r="N557" s="46" t="n">
        <v>431.3</v>
      </c>
      <c r="O557" s="44" t="s">
        <v>308</v>
      </c>
      <c r="P557" s="44" t="s">
        <v>309</v>
      </c>
      <c r="Q557" s="44" t="s">
        <v>309</v>
      </c>
    </row>
    <row r="558" customFormat="false" ht="15" hidden="false" customHeight="false" outlineLevel="0" collapsed="false">
      <c r="A558" s="44" t="n">
        <v>557</v>
      </c>
      <c r="B558" s="45" t="n">
        <v>45366</v>
      </c>
      <c r="C558" s="44" t="n">
        <v>3</v>
      </c>
      <c r="D558" s="44" t="n">
        <v>2024</v>
      </c>
      <c r="E558" s="44" t="n">
        <v>15</v>
      </c>
      <c r="F558" s="44" t="s">
        <v>325</v>
      </c>
      <c r="G558" s="44" t="s">
        <v>447</v>
      </c>
      <c r="H558" s="44" t="s">
        <v>140</v>
      </c>
      <c r="I558" s="44" t="s">
        <v>172</v>
      </c>
      <c r="J558" s="44" t="s">
        <v>202</v>
      </c>
      <c r="K558" s="44" t="n">
        <v>2</v>
      </c>
      <c r="L558" s="46" t="n">
        <v>18.67</v>
      </c>
      <c r="M558" s="47" t="n">
        <v>2.73</v>
      </c>
      <c r="N558" s="46" t="n">
        <v>36.32</v>
      </c>
      <c r="O558" s="44" t="s">
        <v>309</v>
      </c>
      <c r="P558" s="44" t="s">
        <v>309</v>
      </c>
      <c r="Q558" s="44" t="s">
        <v>309</v>
      </c>
    </row>
    <row r="559" customFormat="false" ht="15" hidden="false" customHeight="false" outlineLevel="0" collapsed="false">
      <c r="A559" s="44" t="n">
        <v>558</v>
      </c>
      <c r="B559" s="45" t="n">
        <v>45369</v>
      </c>
      <c r="C559" s="44" t="n">
        <v>3</v>
      </c>
      <c r="D559" s="44" t="n">
        <v>2024</v>
      </c>
      <c r="E559" s="44" t="n">
        <v>18</v>
      </c>
      <c r="F559" s="44" t="s">
        <v>328</v>
      </c>
      <c r="G559" s="44" t="s">
        <v>371</v>
      </c>
      <c r="H559" s="44" t="s">
        <v>134</v>
      </c>
      <c r="I559" s="44" t="s">
        <v>174</v>
      </c>
      <c r="J559" s="44" t="s">
        <v>191</v>
      </c>
      <c r="K559" s="44" t="n">
        <v>3</v>
      </c>
      <c r="L559" s="46" t="n">
        <v>5.28</v>
      </c>
      <c r="M559" s="47" t="n">
        <v>4.46</v>
      </c>
      <c r="N559" s="46" t="n">
        <v>15.13</v>
      </c>
      <c r="O559" s="44" t="s">
        <v>309</v>
      </c>
      <c r="P559" s="44" t="s">
        <v>309</v>
      </c>
      <c r="Q559" s="44" t="s">
        <v>309</v>
      </c>
    </row>
    <row r="560" customFormat="false" ht="15" hidden="false" customHeight="false" outlineLevel="0" collapsed="false">
      <c r="A560" s="44" t="n">
        <v>559</v>
      </c>
      <c r="B560" s="45" t="n">
        <v>45294</v>
      </c>
      <c r="C560" s="44" t="n">
        <v>1</v>
      </c>
      <c r="D560" s="44" t="n">
        <v>2024</v>
      </c>
      <c r="E560" s="44" t="n">
        <v>3</v>
      </c>
      <c r="F560" s="44" t="s">
        <v>321</v>
      </c>
      <c r="G560" s="44" t="s">
        <v>331</v>
      </c>
      <c r="H560" s="44" t="s">
        <v>134</v>
      </c>
      <c r="I560" s="44" t="s">
        <v>172</v>
      </c>
      <c r="J560" s="44" t="s">
        <v>193</v>
      </c>
      <c r="K560" s="44" t="n">
        <v>2</v>
      </c>
      <c r="L560" s="46" t="n">
        <v>26.46</v>
      </c>
      <c r="M560" s="47" t="n">
        <v>1.75</v>
      </c>
      <c r="N560" s="46" t="n">
        <v>51.99</v>
      </c>
      <c r="O560" s="44" t="s">
        <v>309</v>
      </c>
      <c r="P560" s="44" t="s">
        <v>309</v>
      </c>
      <c r="Q560" s="44" t="s">
        <v>309</v>
      </c>
    </row>
    <row r="561" customFormat="false" ht="15" hidden="false" customHeight="false" outlineLevel="0" collapsed="false">
      <c r="A561" s="44" t="n">
        <v>560</v>
      </c>
      <c r="B561" s="45" t="n">
        <v>45477</v>
      </c>
      <c r="C561" s="44" t="n">
        <v>7</v>
      </c>
      <c r="D561" s="44" t="n">
        <v>2024</v>
      </c>
      <c r="E561" s="44" t="n">
        <v>4</v>
      </c>
      <c r="F561" s="44" t="s">
        <v>306</v>
      </c>
      <c r="G561" s="44" t="s">
        <v>339</v>
      </c>
      <c r="H561" s="44" t="s">
        <v>134</v>
      </c>
      <c r="I561" s="44" t="s">
        <v>172</v>
      </c>
      <c r="J561" s="44" t="s">
        <v>202</v>
      </c>
      <c r="K561" s="44" t="n">
        <v>4</v>
      </c>
      <c r="L561" s="46" t="n">
        <v>29.18</v>
      </c>
      <c r="M561" s="47" t="n">
        <v>1.905</v>
      </c>
      <c r="N561" s="46" t="n">
        <v>11.56</v>
      </c>
      <c r="O561" s="44" t="s">
        <v>308</v>
      </c>
      <c r="P561" s="44" t="s">
        <v>369</v>
      </c>
      <c r="Q561" s="44" t="s">
        <v>309</v>
      </c>
    </row>
    <row r="562" customFormat="false" ht="15" hidden="false" customHeight="false" outlineLevel="0" collapsed="false">
      <c r="A562" s="44" t="n">
        <v>561</v>
      </c>
      <c r="B562" s="45" t="n">
        <v>45349</v>
      </c>
      <c r="C562" s="44" t="n">
        <v>2</v>
      </c>
      <c r="D562" s="44" t="n">
        <v>2024</v>
      </c>
      <c r="E562" s="44" t="n">
        <v>27</v>
      </c>
      <c r="F562" s="44" t="s">
        <v>310</v>
      </c>
      <c r="G562" s="44" t="s">
        <v>541</v>
      </c>
      <c r="H562" s="44" t="s">
        <v>137</v>
      </c>
      <c r="I562" s="44" t="s">
        <v>176</v>
      </c>
      <c r="J562" s="44" t="s">
        <v>206</v>
      </c>
      <c r="K562" s="44" t="n">
        <v>2</v>
      </c>
      <c r="L562" s="46" t="n">
        <v>6.19</v>
      </c>
      <c r="M562" s="47" t="n">
        <v>3.13</v>
      </c>
      <c r="N562" s="46" t="n">
        <v>11.99</v>
      </c>
      <c r="O562" s="44" t="s">
        <v>309</v>
      </c>
      <c r="P562" s="44" t="s">
        <v>309</v>
      </c>
      <c r="Q562" s="44" t="s">
        <v>309</v>
      </c>
    </row>
    <row r="563" customFormat="false" ht="15" hidden="false" customHeight="false" outlineLevel="0" collapsed="false">
      <c r="A563" s="44" t="n">
        <v>562</v>
      </c>
      <c r="B563" s="45" t="n">
        <v>45601</v>
      </c>
      <c r="C563" s="44" t="n">
        <v>11</v>
      </c>
      <c r="D563" s="44" t="n">
        <v>2024</v>
      </c>
      <c r="E563" s="44" t="n">
        <v>5</v>
      </c>
      <c r="F563" s="44" t="s">
        <v>310</v>
      </c>
      <c r="G563" s="44" t="s">
        <v>400</v>
      </c>
      <c r="H563" s="44" t="s">
        <v>136</v>
      </c>
      <c r="I563" s="44" t="s">
        <v>173</v>
      </c>
      <c r="J563" s="44" t="s">
        <v>191</v>
      </c>
      <c r="K563" s="44" t="n">
        <v>3</v>
      </c>
      <c r="L563" s="46" t="n">
        <v>6</v>
      </c>
      <c r="M563" s="47" t="n">
        <v>1.57</v>
      </c>
      <c r="N563" s="46" t="n">
        <v>17.72</v>
      </c>
      <c r="O563" s="44" t="s">
        <v>309</v>
      </c>
      <c r="P563" s="44" t="s">
        <v>309</v>
      </c>
      <c r="Q563" s="44" t="s">
        <v>309</v>
      </c>
    </row>
    <row r="564" customFormat="false" ht="15" hidden="false" customHeight="false" outlineLevel="0" collapsed="false">
      <c r="A564" s="44" t="n">
        <v>563</v>
      </c>
      <c r="B564" s="45" t="n">
        <v>45459</v>
      </c>
      <c r="C564" s="44" t="n">
        <v>6</v>
      </c>
      <c r="D564" s="44" t="n">
        <v>2024</v>
      </c>
      <c r="E564" s="44" t="n">
        <v>16</v>
      </c>
      <c r="F564" s="44" t="s">
        <v>312</v>
      </c>
      <c r="G564" s="44" t="s">
        <v>346</v>
      </c>
      <c r="H564" s="44" t="s">
        <v>135</v>
      </c>
      <c r="I564" s="44" t="s">
        <v>176</v>
      </c>
      <c r="J564" s="44" t="s">
        <v>191</v>
      </c>
      <c r="K564" s="44" t="n">
        <v>2</v>
      </c>
      <c r="L564" s="46" t="n">
        <v>66.59</v>
      </c>
      <c r="M564" s="47" t="n">
        <v>2.48</v>
      </c>
      <c r="N564" s="46" t="n">
        <v>129.88</v>
      </c>
      <c r="O564" s="44" t="s">
        <v>309</v>
      </c>
      <c r="P564" s="44" t="s">
        <v>309</v>
      </c>
      <c r="Q564" s="44" t="s">
        <v>309</v>
      </c>
    </row>
    <row r="565" customFormat="false" ht="15" hidden="false" customHeight="false" outlineLevel="0" collapsed="false">
      <c r="A565" s="44" t="n">
        <v>564</v>
      </c>
      <c r="B565" s="45" t="n">
        <v>45590</v>
      </c>
      <c r="C565" s="44" t="n">
        <v>10</v>
      </c>
      <c r="D565" s="44" t="n">
        <v>2024</v>
      </c>
      <c r="E565" s="44" t="n">
        <v>25</v>
      </c>
      <c r="F565" s="44" t="s">
        <v>325</v>
      </c>
      <c r="G565" s="44" t="s">
        <v>334</v>
      </c>
      <c r="H565" s="44" t="s">
        <v>138</v>
      </c>
      <c r="I565" s="44" t="s">
        <v>172</v>
      </c>
      <c r="J565" s="44" t="s">
        <v>191</v>
      </c>
      <c r="K565" s="44" t="n">
        <v>2</v>
      </c>
      <c r="L565" s="46" t="n">
        <v>104.81</v>
      </c>
      <c r="M565" s="47" t="n">
        <v>2.38</v>
      </c>
      <c r="N565" s="46" t="n">
        <v>204.63</v>
      </c>
      <c r="O565" s="44" t="s">
        <v>309</v>
      </c>
      <c r="P565" s="44" t="s">
        <v>309</v>
      </c>
      <c r="Q565" s="44" t="s">
        <v>309</v>
      </c>
    </row>
    <row r="566" customFormat="false" ht="15" hidden="false" customHeight="false" outlineLevel="0" collapsed="false">
      <c r="A566" s="44" t="n">
        <v>565</v>
      </c>
      <c r="B566" s="45" t="n">
        <v>45429</v>
      </c>
      <c r="C566" s="44" t="n">
        <v>5</v>
      </c>
      <c r="D566" s="44" t="n">
        <v>2024</v>
      </c>
      <c r="E566" s="44" t="n">
        <v>17</v>
      </c>
      <c r="F566" s="44" t="s">
        <v>325</v>
      </c>
      <c r="G566" s="44" t="s">
        <v>313</v>
      </c>
      <c r="H566" s="44" t="s">
        <v>139</v>
      </c>
      <c r="I566" s="44" t="s">
        <v>172</v>
      </c>
      <c r="J566" s="44" t="s">
        <v>191</v>
      </c>
      <c r="K566" s="44" t="n">
        <v>1</v>
      </c>
      <c r="L566" s="46" t="n">
        <v>14.63</v>
      </c>
      <c r="M566" s="47" t="n">
        <v>1.06</v>
      </c>
      <c r="N566" s="46" t="n">
        <v>14.47</v>
      </c>
      <c r="O566" s="44" t="s">
        <v>309</v>
      </c>
      <c r="P566" s="44" t="s">
        <v>309</v>
      </c>
      <c r="Q566" s="44" t="s">
        <v>309</v>
      </c>
    </row>
    <row r="567" customFormat="false" ht="15" hidden="false" customHeight="false" outlineLevel="0" collapsed="false">
      <c r="A567" s="44" t="n">
        <v>566</v>
      </c>
      <c r="B567" s="45" t="n">
        <v>45484</v>
      </c>
      <c r="C567" s="44" t="n">
        <v>7</v>
      </c>
      <c r="D567" s="44" t="n">
        <v>2024</v>
      </c>
      <c r="E567" s="44" t="n">
        <v>11</v>
      </c>
      <c r="F567" s="44" t="s">
        <v>306</v>
      </c>
      <c r="G567" s="44" t="s">
        <v>347</v>
      </c>
      <c r="H567" s="44" t="s">
        <v>134</v>
      </c>
      <c r="I567" s="44" t="s">
        <v>173</v>
      </c>
      <c r="J567" s="44" t="s">
        <v>195</v>
      </c>
      <c r="K567" s="44" t="n">
        <v>10</v>
      </c>
      <c r="L567" s="46" t="n">
        <v>73.46</v>
      </c>
      <c r="M567" s="47" t="n">
        <v>13.42</v>
      </c>
      <c r="N567" s="46" t="n">
        <v>636.02</v>
      </c>
      <c r="O567" s="44" t="s">
        <v>309</v>
      </c>
      <c r="P567" s="44" t="s">
        <v>317</v>
      </c>
      <c r="Q567" s="44" t="s">
        <v>309</v>
      </c>
    </row>
    <row r="568" customFormat="false" ht="15" hidden="false" customHeight="false" outlineLevel="0" collapsed="false">
      <c r="A568" s="44" t="n">
        <v>567</v>
      </c>
      <c r="B568" s="45" t="n">
        <v>45306</v>
      </c>
      <c r="C568" s="44" t="n">
        <v>1</v>
      </c>
      <c r="D568" s="44" t="n">
        <v>2024</v>
      </c>
      <c r="E568" s="44" t="n">
        <v>15</v>
      </c>
      <c r="F568" s="44" t="s">
        <v>328</v>
      </c>
      <c r="G568" s="44" t="s">
        <v>542</v>
      </c>
      <c r="H568" s="44" t="s">
        <v>140</v>
      </c>
      <c r="I568" s="44" t="s">
        <v>172</v>
      </c>
      <c r="J568" s="44" t="s">
        <v>196</v>
      </c>
      <c r="K568" s="44" t="n">
        <v>4</v>
      </c>
      <c r="L568" s="46" t="n">
        <v>11.31</v>
      </c>
      <c r="M568" s="47" t="n">
        <v>5.08</v>
      </c>
      <c r="N568" s="46" t="n">
        <v>87.48</v>
      </c>
      <c r="O568" s="44" t="s">
        <v>308</v>
      </c>
      <c r="P568" s="44" t="s">
        <v>309</v>
      </c>
      <c r="Q568" s="44" t="s">
        <v>309</v>
      </c>
    </row>
    <row r="569" customFormat="false" ht="15" hidden="false" customHeight="false" outlineLevel="0" collapsed="false">
      <c r="A569" s="44" t="n">
        <v>568</v>
      </c>
      <c r="B569" s="45" t="n">
        <v>45536</v>
      </c>
      <c r="C569" s="44" t="n">
        <v>9</v>
      </c>
      <c r="D569" s="44" t="n">
        <v>2024</v>
      </c>
      <c r="E569" s="44" t="n">
        <v>1</v>
      </c>
      <c r="F569" s="44" t="s">
        <v>312</v>
      </c>
      <c r="G569" s="44" t="s">
        <v>543</v>
      </c>
      <c r="H569" s="44" t="s">
        <v>139</v>
      </c>
      <c r="I569" s="44" t="s">
        <v>172</v>
      </c>
      <c r="J569" s="44" t="s">
        <v>206</v>
      </c>
      <c r="K569" s="44" t="n">
        <v>2</v>
      </c>
      <c r="L569" s="46" t="n">
        <v>18.33</v>
      </c>
      <c r="M569" s="47" t="n">
        <v>3.37</v>
      </c>
      <c r="N569" s="46" t="n">
        <v>40.74</v>
      </c>
      <c r="O569" s="44" t="s">
        <v>308</v>
      </c>
      <c r="P569" s="44" t="s">
        <v>309</v>
      </c>
      <c r="Q569" s="44" t="s">
        <v>309</v>
      </c>
    </row>
    <row r="570" customFormat="false" ht="15" hidden="false" customHeight="false" outlineLevel="0" collapsed="false">
      <c r="A570" s="44" t="n">
        <v>569</v>
      </c>
      <c r="B570" s="45" t="n">
        <v>45648</v>
      </c>
      <c r="C570" s="44" t="n">
        <v>12</v>
      </c>
      <c r="D570" s="44" t="n">
        <v>2024</v>
      </c>
      <c r="E570" s="44" t="n">
        <v>22</v>
      </c>
      <c r="F570" s="44" t="s">
        <v>312</v>
      </c>
      <c r="G570" s="44" t="s">
        <v>396</v>
      </c>
      <c r="H570" s="44" t="s">
        <v>140</v>
      </c>
      <c r="I570" s="44" t="s">
        <v>172</v>
      </c>
      <c r="J570" s="44" t="s">
        <v>196</v>
      </c>
      <c r="K570" s="44" t="n">
        <v>1</v>
      </c>
      <c r="L570" s="46" t="n">
        <v>11.31</v>
      </c>
      <c r="M570" s="47" t="n">
        <v>0.54</v>
      </c>
      <c r="N570" s="46" t="n">
        <v>41.14</v>
      </c>
      <c r="O570" s="44" t="s">
        <v>308</v>
      </c>
      <c r="P570" s="44" t="s">
        <v>309</v>
      </c>
      <c r="Q570" s="44" t="s">
        <v>309</v>
      </c>
    </row>
    <row r="571" customFormat="false" ht="15" hidden="false" customHeight="false" outlineLevel="0" collapsed="false">
      <c r="A571" s="44" t="n">
        <v>570</v>
      </c>
      <c r="B571" s="45" t="n">
        <v>45370</v>
      </c>
      <c r="C571" s="44" t="n">
        <v>3</v>
      </c>
      <c r="D571" s="44" t="n">
        <v>2024</v>
      </c>
      <c r="E571" s="44" t="n">
        <v>19</v>
      </c>
      <c r="F571" s="44" t="s">
        <v>310</v>
      </c>
      <c r="G571" s="44" t="s">
        <v>472</v>
      </c>
      <c r="H571" s="44" t="s">
        <v>139</v>
      </c>
      <c r="I571" s="44" t="s">
        <v>176</v>
      </c>
      <c r="J571" s="44" t="s">
        <v>191</v>
      </c>
      <c r="K571" s="44" t="n">
        <v>2</v>
      </c>
      <c r="L571" s="46" t="n">
        <v>18.33</v>
      </c>
      <c r="M571" s="47" t="n">
        <v>1.905</v>
      </c>
      <c r="N571" s="46" t="n">
        <v>2.91</v>
      </c>
      <c r="O571" s="44" t="s">
        <v>308</v>
      </c>
      <c r="P571" s="44" t="s">
        <v>369</v>
      </c>
      <c r="Q571" s="44" t="s">
        <v>309</v>
      </c>
    </row>
    <row r="572" customFormat="false" ht="15" hidden="false" customHeight="false" outlineLevel="0" collapsed="false">
      <c r="A572" s="44" t="n">
        <v>571</v>
      </c>
      <c r="B572" s="45" t="n">
        <v>45356</v>
      </c>
      <c r="C572" s="44" t="n">
        <v>3</v>
      </c>
      <c r="D572" s="44" t="n">
        <v>2024</v>
      </c>
      <c r="E572" s="44" t="n">
        <v>5</v>
      </c>
      <c r="F572" s="44" t="s">
        <v>310</v>
      </c>
      <c r="G572" s="44" t="s">
        <v>375</v>
      </c>
      <c r="H572" s="44" t="s">
        <v>135</v>
      </c>
      <c r="I572" s="44" t="s">
        <v>173</v>
      </c>
      <c r="J572" s="44" t="s">
        <v>194</v>
      </c>
      <c r="K572" s="44" t="n">
        <v>1</v>
      </c>
      <c r="L572" s="46" t="n">
        <v>30.44</v>
      </c>
      <c r="M572" s="47" t="n">
        <v>0</v>
      </c>
      <c r="N572" s="46" t="n">
        <v>2.53</v>
      </c>
      <c r="O572" s="44" t="s">
        <v>308</v>
      </c>
      <c r="P572" s="44" t="s">
        <v>309</v>
      </c>
      <c r="Q572" s="44" t="s">
        <v>309</v>
      </c>
    </row>
    <row r="573" customFormat="false" ht="15" hidden="false" customHeight="false" outlineLevel="0" collapsed="false">
      <c r="A573" s="44" t="n">
        <v>572</v>
      </c>
      <c r="B573" s="45" t="n">
        <v>45642</v>
      </c>
      <c r="C573" s="44" t="n">
        <v>12</v>
      </c>
      <c r="D573" s="44" t="n">
        <v>2024</v>
      </c>
      <c r="E573" s="44" t="n">
        <v>16</v>
      </c>
      <c r="F573" s="44" t="s">
        <v>328</v>
      </c>
      <c r="G573" s="44" t="s">
        <v>377</v>
      </c>
      <c r="H573" s="44" t="s">
        <v>139</v>
      </c>
      <c r="I573" s="44" t="s">
        <v>172</v>
      </c>
      <c r="J573" s="44" t="s">
        <v>206</v>
      </c>
      <c r="K573" s="44" t="n">
        <v>2</v>
      </c>
      <c r="L573" s="46" t="n">
        <v>12.45</v>
      </c>
      <c r="M573" s="47" t="n">
        <v>0.2</v>
      </c>
      <c r="N573" s="46" t="n">
        <v>24.85</v>
      </c>
      <c r="O573" s="44" t="s">
        <v>309</v>
      </c>
      <c r="P573" s="44" t="s">
        <v>317</v>
      </c>
      <c r="Q573" s="44" t="s">
        <v>309</v>
      </c>
    </row>
    <row r="574" customFormat="false" ht="15" hidden="false" customHeight="false" outlineLevel="0" collapsed="false">
      <c r="A574" s="44" t="n">
        <v>573</v>
      </c>
      <c r="B574" s="45" t="n">
        <v>45399</v>
      </c>
      <c r="C574" s="44" t="n">
        <v>4</v>
      </c>
      <c r="D574" s="44" t="n">
        <v>2024</v>
      </c>
      <c r="E574" s="44" t="n">
        <v>17</v>
      </c>
      <c r="F574" s="44" t="s">
        <v>321</v>
      </c>
      <c r="G574" s="44" t="s">
        <v>393</v>
      </c>
      <c r="H574" s="44" t="s">
        <v>138</v>
      </c>
      <c r="I574" s="44" t="s">
        <v>176</v>
      </c>
      <c r="J574" s="44" t="s">
        <v>200</v>
      </c>
      <c r="K574" s="44" t="n">
        <v>2</v>
      </c>
      <c r="L574" s="46" t="n">
        <v>139.42</v>
      </c>
      <c r="M574" s="47" t="n">
        <v>2.42</v>
      </c>
      <c r="N574" s="46" t="n">
        <v>272.09</v>
      </c>
      <c r="O574" s="44" t="s">
        <v>309</v>
      </c>
      <c r="P574" s="44" t="s">
        <v>309</v>
      </c>
      <c r="Q574" s="44" t="s">
        <v>309</v>
      </c>
    </row>
    <row r="575" customFormat="false" ht="15" hidden="false" customHeight="false" outlineLevel="0" collapsed="false">
      <c r="A575" s="44" t="n">
        <v>574</v>
      </c>
      <c r="B575" s="45" t="n">
        <v>45519</v>
      </c>
      <c r="C575" s="44" t="n">
        <v>8</v>
      </c>
      <c r="D575" s="44" t="n">
        <v>2024</v>
      </c>
      <c r="E575" s="44" t="n">
        <v>15</v>
      </c>
      <c r="F575" s="44" t="s">
        <v>306</v>
      </c>
      <c r="G575" s="44" t="s">
        <v>520</v>
      </c>
      <c r="H575" s="44" t="s">
        <v>135</v>
      </c>
      <c r="I575" s="44" t="s">
        <v>176</v>
      </c>
      <c r="J575" s="44" t="s">
        <v>206</v>
      </c>
      <c r="K575" s="44" t="n">
        <v>1</v>
      </c>
      <c r="L575" s="46" t="n">
        <v>30.44</v>
      </c>
      <c r="M575" s="47" t="n">
        <v>0</v>
      </c>
      <c r="N575" s="46" t="n">
        <v>8.94</v>
      </c>
      <c r="O575" s="44" t="s">
        <v>308</v>
      </c>
      <c r="P575" s="44" t="s">
        <v>309</v>
      </c>
      <c r="Q575" s="44" t="s">
        <v>309</v>
      </c>
    </row>
    <row r="576" customFormat="false" ht="15" hidden="false" customHeight="false" outlineLevel="0" collapsed="false">
      <c r="A576" s="44" t="n">
        <v>575</v>
      </c>
      <c r="B576" s="45" t="n">
        <v>45431</v>
      </c>
      <c r="C576" s="44" t="n">
        <v>5</v>
      </c>
      <c r="D576" s="44" t="n">
        <v>2024</v>
      </c>
      <c r="E576" s="44" t="n">
        <v>19</v>
      </c>
      <c r="F576" s="44" t="s">
        <v>312</v>
      </c>
      <c r="G576" s="44" t="s">
        <v>544</v>
      </c>
      <c r="H576" s="44" t="s">
        <v>139</v>
      </c>
      <c r="I576" s="44" t="s">
        <v>172</v>
      </c>
      <c r="J576" s="44" t="s">
        <v>206</v>
      </c>
      <c r="K576" s="44" t="n">
        <v>2</v>
      </c>
      <c r="L576" s="46" t="n">
        <v>3.81</v>
      </c>
      <c r="M576" s="47" t="n">
        <v>2.28</v>
      </c>
      <c r="N576" s="46" t="n">
        <v>7.45</v>
      </c>
      <c r="O576" s="44" t="s">
        <v>309</v>
      </c>
      <c r="P576" s="44" t="s">
        <v>309</v>
      </c>
      <c r="Q576" s="44" t="s">
        <v>309</v>
      </c>
    </row>
    <row r="577" customFormat="false" ht="15" hidden="false" customHeight="false" outlineLevel="0" collapsed="false">
      <c r="A577" s="44" t="n">
        <v>576</v>
      </c>
      <c r="B577" s="45" t="n">
        <v>45422</v>
      </c>
      <c r="C577" s="44" t="n">
        <v>5</v>
      </c>
      <c r="D577" s="44" t="n">
        <v>2024</v>
      </c>
      <c r="E577" s="44" t="n">
        <v>10</v>
      </c>
      <c r="F577" s="44" t="s">
        <v>325</v>
      </c>
      <c r="G577" s="44" t="s">
        <v>455</v>
      </c>
      <c r="H577" s="44" t="s">
        <v>135</v>
      </c>
      <c r="I577" s="44" t="s">
        <v>174</v>
      </c>
      <c r="J577" s="44" t="s">
        <v>191</v>
      </c>
      <c r="K577" s="44" t="n">
        <v>4</v>
      </c>
      <c r="L577" s="46" t="n">
        <v>30.44</v>
      </c>
      <c r="M577" s="47" t="n">
        <v>5.42</v>
      </c>
      <c r="N577" s="46" t="n">
        <v>105.44</v>
      </c>
      <c r="O577" s="44" t="s">
        <v>308</v>
      </c>
      <c r="P577" s="44" t="s">
        <v>309</v>
      </c>
      <c r="Q577" s="44" t="s">
        <v>309</v>
      </c>
    </row>
    <row r="578" customFormat="false" ht="15" hidden="false" customHeight="false" outlineLevel="0" collapsed="false">
      <c r="A578" s="44" t="n">
        <v>577</v>
      </c>
      <c r="B578" s="45" t="n">
        <v>45630</v>
      </c>
      <c r="C578" s="44" t="n">
        <v>12</v>
      </c>
      <c r="D578" s="44" t="n">
        <v>2024</v>
      </c>
      <c r="E578" s="44" t="n">
        <v>4</v>
      </c>
      <c r="F578" s="44" t="s">
        <v>321</v>
      </c>
      <c r="G578" s="44" t="s">
        <v>545</v>
      </c>
      <c r="H578" s="44" t="s">
        <v>135</v>
      </c>
      <c r="I578" s="44" t="s">
        <v>172</v>
      </c>
      <c r="J578" s="44" t="s">
        <v>199</v>
      </c>
      <c r="K578" s="44" t="n">
        <v>5</v>
      </c>
      <c r="L578" s="46" t="n">
        <v>2.62</v>
      </c>
      <c r="M578" s="47" t="n">
        <v>5.11</v>
      </c>
      <c r="N578" s="46" t="n">
        <v>12.43</v>
      </c>
      <c r="O578" s="44" t="s">
        <v>309</v>
      </c>
      <c r="P578" s="44" t="s">
        <v>317</v>
      </c>
      <c r="Q578" s="44" t="s">
        <v>309</v>
      </c>
    </row>
    <row r="579" customFormat="false" ht="15" hidden="false" customHeight="false" outlineLevel="0" collapsed="false">
      <c r="A579" s="44" t="n">
        <v>578</v>
      </c>
      <c r="B579" s="45" t="n">
        <v>45311</v>
      </c>
      <c r="C579" s="44" t="n">
        <v>1</v>
      </c>
      <c r="D579" s="44" t="n">
        <v>2024</v>
      </c>
      <c r="E579" s="44" t="n">
        <v>20</v>
      </c>
      <c r="F579" s="44" t="s">
        <v>318</v>
      </c>
      <c r="G579" s="44" t="s">
        <v>371</v>
      </c>
      <c r="H579" s="44" t="s">
        <v>135</v>
      </c>
      <c r="I579" s="44" t="s">
        <v>174</v>
      </c>
      <c r="J579" s="44" t="s">
        <v>191</v>
      </c>
      <c r="K579" s="44" t="n">
        <v>3</v>
      </c>
      <c r="L579" s="46" t="n">
        <v>14.46</v>
      </c>
      <c r="M579" s="47" t="n">
        <v>4.7</v>
      </c>
      <c r="N579" s="46" t="n">
        <v>41.34</v>
      </c>
      <c r="O579" s="44" t="s">
        <v>309</v>
      </c>
      <c r="P579" s="44" t="s">
        <v>309</v>
      </c>
      <c r="Q579" s="44" t="s">
        <v>309</v>
      </c>
    </row>
    <row r="580" customFormat="false" ht="15" hidden="false" customHeight="false" outlineLevel="0" collapsed="false">
      <c r="A580" s="44" t="n">
        <v>579</v>
      </c>
      <c r="B580" s="45" t="n">
        <v>45418</v>
      </c>
      <c r="C580" s="44" t="n">
        <v>5</v>
      </c>
      <c r="D580" s="44" t="n">
        <v>2024</v>
      </c>
      <c r="E580" s="44" t="n">
        <v>6</v>
      </c>
      <c r="F580" s="44" t="s">
        <v>328</v>
      </c>
      <c r="G580" s="44" t="s">
        <v>354</v>
      </c>
      <c r="H580" s="44" t="s">
        <v>137</v>
      </c>
      <c r="I580" s="44" t="s">
        <v>173</v>
      </c>
      <c r="J580" s="44" t="s">
        <v>194</v>
      </c>
      <c r="K580" s="44" t="n">
        <v>5</v>
      </c>
      <c r="L580" s="46" t="n">
        <v>133.59</v>
      </c>
      <c r="M580" s="47" t="n">
        <v>6.07</v>
      </c>
      <c r="N580" s="46" t="n">
        <v>627.41</v>
      </c>
      <c r="O580" s="44" t="s">
        <v>309</v>
      </c>
      <c r="P580" s="44" t="s">
        <v>317</v>
      </c>
      <c r="Q580" s="44" t="s">
        <v>309</v>
      </c>
    </row>
    <row r="581" customFormat="false" ht="15" hidden="false" customHeight="false" outlineLevel="0" collapsed="false">
      <c r="A581" s="44" t="n">
        <v>580</v>
      </c>
      <c r="B581" s="45" t="n">
        <v>45551</v>
      </c>
      <c r="C581" s="44" t="n">
        <v>9</v>
      </c>
      <c r="D581" s="44" t="n">
        <v>2024</v>
      </c>
      <c r="E581" s="44" t="n">
        <v>16</v>
      </c>
      <c r="F581" s="44" t="s">
        <v>328</v>
      </c>
      <c r="G581" s="44" t="s">
        <v>545</v>
      </c>
      <c r="H581" s="44" t="s">
        <v>139</v>
      </c>
      <c r="I581" s="44" t="s">
        <v>174</v>
      </c>
      <c r="J581" s="44" t="s">
        <v>200</v>
      </c>
      <c r="K581" s="44" t="n">
        <v>1</v>
      </c>
      <c r="L581" s="46" t="n">
        <v>18.33</v>
      </c>
      <c r="M581" s="47" t="n">
        <v>1.905</v>
      </c>
      <c r="N581" s="46" t="n">
        <v>47.33</v>
      </c>
      <c r="O581" s="44" t="s">
        <v>308</v>
      </c>
      <c r="P581" s="44" t="s">
        <v>369</v>
      </c>
      <c r="Q581" s="44" t="s">
        <v>309</v>
      </c>
    </row>
    <row r="582" customFormat="false" ht="15" hidden="false" customHeight="false" outlineLevel="0" collapsed="false">
      <c r="A582" s="44" t="n">
        <v>581</v>
      </c>
      <c r="B582" s="45" t="n">
        <v>45508</v>
      </c>
      <c r="C582" s="44" t="n">
        <v>8</v>
      </c>
      <c r="D582" s="44" t="n">
        <v>2024</v>
      </c>
      <c r="E582" s="44" t="n">
        <v>4</v>
      </c>
      <c r="F582" s="44" t="s">
        <v>312</v>
      </c>
      <c r="G582" s="44" t="s">
        <v>425</v>
      </c>
      <c r="H582" s="44" t="s">
        <v>135</v>
      </c>
      <c r="I582" s="44" t="s">
        <v>172</v>
      </c>
      <c r="J582" s="44" t="s">
        <v>206</v>
      </c>
      <c r="K582" s="44" t="n">
        <v>1</v>
      </c>
      <c r="L582" s="46" t="n">
        <v>9.91</v>
      </c>
      <c r="M582" s="47" t="n">
        <v>0</v>
      </c>
      <c r="N582" s="46" t="n">
        <v>9.91</v>
      </c>
      <c r="O582" s="44" t="s">
        <v>309</v>
      </c>
      <c r="P582" s="44" t="s">
        <v>309</v>
      </c>
      <c r="Q582" s="44" t="s">
        <v>309</v>
      </c>
    </row>
    <row r="583" customFormat="false" ht="15" hidden="false" customHeight="false" outlineLevel="0" collapsed="false">
      <c r="A583" s="44" t="n">
        <v>582</v>
      </c>
      <c r="B583" s="45" t="n">
        <v>45309</v>
      </c>
      <c r="C583" s="44" t="n">
        <v>1</v>
      </c>
      <c r="D583" s="44" t="n">
        <v>2024</v>
      </c>
      <c r="E583" s="44" t="n">
        <v>18</v>
      </c>
      <c r="F583" s="44" t="s">
        <v>306</v>
      </c>
      <c r="G583" s="44" t="s">
        <v>479</v>
      </c>
      <c r="H583" s="44" t="s">
        <v>135</v>
      </c>
      <c r="I583" s="44" t="s">
        <v>176</v>
      </c>
      <c r="J583" s="44" t="s">
        <v>199</v>
      </c>
      <c r="K583" s="44" t="n">
        <v>1</v>
      </c>
      <c r="L583" s="46" t="n">
        <v>30.44</v>
      </c>
      <c r="M583" s="47" t="n">
        <v>0.82</v>
      </c>
      <c r="N583" s="46" t="n">
        <v>17.19</v>
      </c>
      <c r="O583" s="44" t="s">
        <v>308</v>
      </c>
      <c r="P583" s="44" t="s">
        <v>309</v>
      </c>
      <c r="Q583" s="44" t="s">
        <v>309</v>
      </c>
    </row>
    <row r="584" customFormat="false" ht="15" hidden="false" customHeight="false" outlineLevel="0" collapsed="false">
      <c r="A584" s="44" t="n">
        <v>583</v>
      </c>
      <c r="B584" s="45" t="n">
        <v>45413</v>
      </c>
      <c r="C584" s="44" t="n">
        <v>5</v>
      </c>
      <c r="D584" s="44" t="n">
        <v>2024</v>
      </c>
      <c r="E584" s="44" t="n">
        <v>1</v>
      </c>
      <c r="F584" s="44" t="s">
        <v>321</v>
      </c>
      <c r="G584" s="44" t="s">
        <v>439</v>
      </c>
      <c r="H584" s="44" t="s">
        <v>134</v>
      </c>
      <c r="I584" s="44" t="s">
        <v>174</v>
      </c>
      <c r="J584" s="44" t="s">
        <v>191</v>
      </c>
      <c r="K584" s="44" t="n">
        <v>1</v>
      </c>
      <c r="L584" s="46" t="n">
        <v>37.15</v>
      </c>
      <c r="M584" s="47" t="n">
        <v>1.67</v>
      </c>
      <c r="N584" s="46" t="n">
        <v>36.53</v>
      </c>
      <c r="O584" s="44" t="s">
        <v>309</v>
      </c>
      <c r="P584" s="44" t="s">
        <v>317</v>
      </c>
      <c r="Q584" s="44" t="s">
        <v>309</v>
      </c>
    </row>
    <row r="585" customFormat="false" ht="15" hidden="false" customHeight="false" outlineLevel="0" collapsed="false">
      <c r="A585" s="44" t="n">
        <v>584</v>
      </c>
      <c r="B585" s="45" t="n">
        <v>45300</v>
      </c>
      <c r="C585" s="44" t="n">
        <v>1</v>
      </c>
      <c r="D585" s="44" t="n">
        <v>2024</v>
      </c>
      <c r="E585" s="44" t="n">
        <v>9</v>
      </c>
      <c r="F585" s="44" t="s">
        <v>310</v>
      </c>
      <c r="G585" s="44" t="s">
        <v>344</v>
      </c>
      <c r="H585" s="44" t="s">
        <v>138</v>
      </c>
      <c r="I585" s="44" t="s">
        <v>176</v>
      </c>
      <c r="J585" s="44" t="s">
        <v>191</v>
      </c>
      <c r="K585" s="44" t="n">
        <v>5</v>
      </c>
      <c r="L585" s="46" t="n">
        <v>26.69</v>
      </c>
      <c r="M585" s="47" t="n">
        <v>5.66</v>
      </c>
      <c r="N585" s="46" t="n">
        <v>359.86</v>
      </c>
      <c r="O585" s="44" t="s">
        <v>308</v>
      </c>
      <c r="P585" s="44" t="s">
        <v>309</v>
      </c>
      <c r="Q585" s="44" t="s">
        <v>309</v>
      </c>
    </row>
    <row r="586" customFormat="false" ht="15" hidden="false" customHeight="false" outlineLevel="0" collapsed="false">
      <c r="A586" s="44" t="n">
        <v>585</v>
      </c>
      <c r="B586" s="45" t="n">
        <v>45651</v>
      </c>
      <c r="C586" s="44" t="n">
        <v>12</v>
      </c>
      <c r="D586" s="44" t="n">
        <v>2024</v>
      </c>
      <c r="E586" s="44" t="n">
        <v>25</v>
      </c>
      <c r="F586" s="44" t="s">
        <v>321</v>
      </c>
      <c r="G586" s="44" t="s">
        <v>546</v>
      </c>
      <c r="H586" s="44" t="s">
        <v>138</v>
      </c>
      <c r="I586" s="44" t="s">
        <v>176</v>
      </c>
      <c r="J586" s="44" t="s">
        <v>194</v>
      </c>
      <c r="K586" s="44" t="n">
        <v>8</v>
      </c>
      <c r="L586" s="46" t="n">
        <v>4.61</v>
      </c>
      <c r="M586" s="47" t="n">
        <v>13.07</v>
      </c>
      <c r="N586" s="46" t="n">
        <v>32.06</v>
      </c>
      <c r="O586" s="44" t="s">
        <v>309</v>
      </c>
      <c r="P586" s="44" t="s">
        <v>317</v>
      </c>
      <c r="Q586" s="44" t="s">
        <v>309</v>
      </c>
    </row>
    <row r="587" customFormat="false" ht="15" hidden="false" customHeight="false" outlineLevel="0" collapsed="false">
      <c r="A587" s="44" t="n">
        <v>586</v>
      </c>
      <c r="B587" s="45" t="n">
        <v>45325</v>
      </c>
      <c r="C587" s="44" t="n">
        <v>2</v>
      </c>
      <c r="D587" s="44" t="n">
        <v>2024</v>
      </c>
      <c r="E587" s="44" t="n">
        <v>3</v>
      </c>
      <c r="F587" s="44" t="s">
        <v>318</v>
      </c>
      <c r="G587" s="44" t="s">
        <v>458</v>
      </c>
      <c r="H587" s="44" t="s">
        <v>134</v>
      </c>
      <c r="I587" s="44" t="s">
        <v>176</v>
      </c>
      <c r="J587" s="44" t="s">
        <v>194</v>
      </c>
      <c r="K587" s="44" t="n">
        <v>1</v>
      </c>
      <c r="L587" s="46" t="n">
        <v>76.24</v>
      </c>
      <c r="M587" s="47" t="n">
        <v>1.78</v>
      </c>
      <c r="N587" s="46" t="n">
        <v>74.88</v>
      </c>
      <c r="O587" s="44" t="s">
        <v>309</v>
      </c>
      <c r="P587" s="44" t="s">
        <v>309</v>
      </c>
      <c r="Q587" s="44" t="s">
        <v>309</v>
      </c>
    </row>
    <row r="588" customFormat="false" ht="15" hidden="false" customHeight="false" outlineLevel="0" collapsed="false">
      <c r="A588" s="44" t="n">
        <v>587</v>
      </c>
      <c r="B588" s="45" t="n">
        <v>45380</v>
      </c>
      <c r="C588" s="44" t="n">
        <v>3</v>
      </c>
      <c r="D588" s="44" t="n">
        <v>2024</v>
      </c>
      <c r="E588" s="44" t="n">
        <v>29</v>
      </c>
      <c r="F588" s="44" t="s">
        <v>325</v>
      </c>
      <c r="G588" s="44" t="s">
        <v>372</v>
      </c>
      <c r="H588" s="44" t="s">
        <v>134</v>
      </c>
      <c r="I588" s="44" t="s">
        <v>172</v>
      </c>
      <c r="J588" s="44" t="s">
        <v>194</v>
      </c>
      <c r="K588" s="44" t="n">
        <v>3</v>
      </c>
      <c r="L588" s="46" t="n">
        <v>4.22</v>
      </c>
      <c r="M588" s="47" t="n">
        <v>3.99</v>
      </c>
      <c r="N588" s="46" t="n">
        <v>12.15</v>
      </c>
      <c r="O588" s="44" t="s">
        <v>309</v>
      </c>
      <c r="P588" s="44" t="s">
        <v>309</v>
      </c>
      <c r="Q588" s="44" t="s">
        <v>309</v>
      </c>
    </row>
    <row r="589" customFormat="false" ht="15" hidden="false" customHeight="false" outlineLevel="0" collapsed="false">
      <c r="A589" s="44" t="n">
        <v>588</v>
      </c>
      <c r="B589" s="45" t="n">
        <v>45354</v>
      </c>
      <c r="C589" s="44" t="n">
        <v>3</v>
      </c>
      <c r="D589" s="44" t="n">
        <v>2024</v>
      </c>
      <c r="E589" s="44" t="n">
        <v>3</v>
      </c>
      <c r="F589" s="44" t="s">
        <v>312</v>
      </c>
      <c r="G589" s="44" t="s">
        <v>434</v>
      </c>
      <c r="H589" s="44" t="s">
        <v>140</v>
      </c>
      <c r="I589" s="44" t="s">
        <v>172</v>
      </c>
      <c r="J589" s="44" t="s">
        <v>206</v>
      </c>
      <c r="K589" s="44" t="n">
        <v>1</v>
      </c>
      <c r="L589" s="46" t="n">
        <v>35.35</v>
      </c>
      <c r="M589" s="47" t="n">
        <v>0</v>
      </c>
      <c r="N589" s="46" t="n">
        <v>35.35</v>
      </c>
      <c r="O589" s="44" t="s">
        <v>309</v>
      </c>
      <c r="P589" s="44" t="s">
        <v>317</v>
      </c>
      <c r="Q589" s="44" t="s">
        <v>309</v>
      </c>
    </row>
    <row r="590" customFormat="false" ht="15" hidden="false" customHeight="false" outlineLevel="0" collapsed="false">
      <c r="A590" s="44" t="n">
        <v>589</v>
      </c>
      <c r="B590" s="45" t="n">
        <v>45521</v>
      </c>
      <c r="C590" s="44" t="n">
        <v>8</v>
      </c>
      <c r="D590" s="44" t="n">
        <v>2024</v>
      </c>
      <c r="E590" s="44" t="n">
        <v>17</v>
      </c>
      <c r="F590" s="44" t="s">
        <v>318</v>
      </c>
      <c r="G590" s="44" t="s">
        <v>547</v>
      </c>
      <c r="H590" s="44" t="s">
        <v>140</v>
      </c>
      <c r="I590" s="44" t="s">
        <v>173</v>
      </c>
      <c r="J590" s="44" t="s">
        <v>206</v>
      </c>
      <c r="K590" s="44" t="n">
        <v>2</v>
      </c>
      <c r="L590" s="46" t="n">
        <v>18.63</v>
      </c>
      <c r="M590" s="47" t="n">
        <v>0.5</v>
      </c>
      <c r="N590" s="46" t="n">
        <v>37.07</v>
      </c>
      <c r="O590" s="44" t="s">
        <v>309</v>
      </c>
      <c r="P590" s="44" t="s">
        <v>309</v>
      </c>
      <c r="Q590" s="44" t="s">
        <v>309</v>
      </c>
    </row>
    <row r="591" customFormat="false" ht="15" hidden="false" customHeight="false" outlineLevel="0" collapsed="false">
      <c r="A591" s="44" t="n">
        <v>590</v>
      </c>
      <c r="B591" s="45" t="n">
        <v>45311</v>
      </c>
      <c r="C591" s="44" t="n">
        <v>1</v>
      </c>
      <c r="D591" s="44" t="n">
        <v>2024</v>
      </c>
      <c r="E591" s="44" t="n">
        <v>20</v>
      </c>
      <c r="F591" s="44" t="s">
        <v>318</v>
      </c>
      <c r="G591" s="44" t="s">
        <v>419</v>
      </c>
      <c r="H591" s="44" t="s">
        <v>135</v>
      </c>
      <c r="I591" s="44" t="s">
        <v>173</v>
      </c>
      <c r="J591" s="44" t="s">
        <v>198</v>
      </c>
      <c r="K591" s="44" t="n">
        <v>2</v>
      </c>
      <c r="L591" s="46" t="n">
        <v>149.73</v>
      </c>
      <c r="M591" s="47" t="n">
        <v>1.9</v>
      </c>
      <c r="N591" s="46" t="n">
        <v>293.77</v>
      </c>
      <c r="O591" s="44" t="s">
        <v>309</v>
      </c>
      <c r="P591" s="44" t="s">
        <v>309</v>
      </c>
      <c r="Q591" s="44" t="s">
        <v>309</v>
      </c>
    </row>
    <row r="592" customFormat="false" ht="15" hidden="false" customHeight="false" outlineLevel="0" collapsed="false">
      <c r="A592" s="44" t="n">
        <v>591</v>
      </c>
      <c r="B592" s="45" t="n">
        <v>45425</v>
      </c>
      <c r="C592" s="44" t="n">
        <v>5</v>
      </c>
      <c r="D592" s="44" t="n">
        <v>2024</v>
      </c>
      <c r="E592" s="44" t="n">
        <v>13</v>
      </c>
      <c r="F592" s="44" t="s">
        <v>328</v>
      </c>
      <c r="G592" s="44" t="s">
        <v>366</v>
      </c>
      <c r="H592" s="44" t="s">
        <v>137</v>
      </c>
      <c r="I592" s="44" t="s">
        <v>176</v>
      </c>
      <c r="J592" s="44" t="s">
        <v>192</v>
      </c>
      <c r="K592" s="44" t="n">
        <v>1</v>
      </c>
      <c r="L592" s="46" t="n">
        <v>12.33</v>
      </c>
      <c r="M592" s="47" t="n">
        <v>0</v>
      </c>
      <c r="N592" s="46" t="n">
        <v>12.33</v>
      </c>
      <c r="O592" s="44" t="s">
        <v>309</v>
      </c>
      <c r="P592" s="44" t="s">
        <v>309</v>
      </c>
      <c r="Q592" s="44" t="s">
        <v>309</v>
      </c>
    </row>
    <row r="593" customFormat="false" ht="15" hidden="false" customHeight="false" outlineLevel="0" collapsed="false">
      <c r="A593" s="44" t="n">
        <v>592</v>
      </c>
      <c r="B593" s="45" t="n">
        <v>45421</v>
      </c>
      <c r="C593" s="44" t="n">
        <v>5</v>
      </c>
      <c r="D593" s="44" t="n">
        <v>2024</v>
      </c>
      <c r="E593" s="44" t="n">
        <v>9</v>
      </c>
      <c r="F593" s="44" t="s">
        <v>306</v>
      </c>
      <c r="G593" s="44" t="s">
        <v>386</v>
      </c>
      <c r="H593" s="44" t="s">
        <v>137</v>
      </c>
      <c r="I593" s="44" t="s">
        <v>172</v>
      </c>
      <c r="J593" s="44" t="s">
        <v>191</v>
      </c>
      <c r="K593" s="44" t="n">
        <v>2</v>
      </c>
      <c r="L593" s="46" t="n">
        <v>28.2</v>
      </c>
      <c r="M593" s="47" t="n">
        <v>1.45</v>
      </c>
      <c r="N593" s="46" t="n">
        <v>29.96</v>
      </c>
      <c r="O593" s="44" t="s">
        <v>308</v>
      </c>
      <c r="P593" s="44" t="s">
        <v>309</v>
      </c>
      <c r="Q593" s="44" t="s">
        <v>309</v>
      </c>
    </row>
    <row r="594" customFormat="false" ht="15" hidden="false" customHeight="false" outlineLevel="0" collapsed="false">
      <c r="A594" s="44" t="n">
        <v>593</v>
      </c>
      <c r="B594" s="45" t="n">
        <v>45496</v>
      </c>
      <c r="C594" s="44" t="n">
        <v>7</v>
      </c>
      <c r="D594" s="44" t="n">
        <v>2024</v>
      </c>
      <c r="E594" s="44" t="n">
        <v>23</v>
      </c>
      <c r="F594" s="44" t="s">
        <v>310</v>
      </c>
      <c r="G594" s="44" t="s">
        <v>489</v>
      </c>
      <c r="H594" s="44" t="s">
        <v>135</v>
      </c>
      <c r="I594" s="44" t="s">
        <v>174</v>
      </c>
      <c r="J594" s="44" t="s">
        <v>191</v>
      </c>
      <c r="K594" s="44" t="n">
        <v>2</v>
      </c>
      <c r="L594" s="46" t="n">
        <v>163.64</v>
      </c>
      <c r="M594" s="47" t="n">
        <v>0.84</v>
      </c>
      <c r="N594" s="46" t="n">
        <v>324.53</v>
      </c>
      <c r="O594" s="44" t="s">
        <v>309</v>
      </c>
      <c r="P594" s="44" t="s">
        <v>317</v>
      </c>
      <c r="Q594" s="44" t="s">
        <v>309</v>
      </c>
    </row>
    <row r="595" customFormat="false" ht="15" hidden="false" customHeight="false" outlineLevel="0" collapsed="false">
      <c r="A595" s="44" t="n">
        <v>594</v>
      </c>
      <c r="B595" s="45" t="n">
        <v>45556</v>
      </c>
      <c r="C595" s="44" t="n">
        <v>9</v>
      </c>
      <c r="D595" s="44" t="n">
        <v>2024</v>
      </c>
      <c r="E595" s="44" t="n">
        <v>21</v>
      </c>
      <c r="F595" s="44" t="s">
        <v>318</v>
      </c>
      <c r="G595" s="44" t="s">
        <v>372</v>
      </c>
      <c r="H595" s="44" t="s">
        <v>138</v>
      </c>
      <c r="I595" s="44" t="s">
        <v>172</v>
      </c>
      <c r="J595" s="44" t="s">
        <v>193</v>
      </c>
      <c r="K595" s="44" t="n">
        <v>8</v>
      </c>
      <c r="L595" s="46" t="n">
        <v>15.73</v>
      </c>
      <c r="M595" s="47" t="n">
        <v>12.07</v>
      </c>
      <c r="N595" s="46" t="n">
        <v>110.65</v>
      </c>
      <c r="O595" s="44" t="s">
        <v>309</v>
      </c>
      <c r="P595" s="44" t="s">
        <v>309</v>
      </c>
      <c r="Q595" s="44" t="s">
        <v>309</v>
      </c>
    </row>
    <row r="596" customFormat="false" ht="15" hidden="false" customHeight="false" outlineLevel="0" collapsed="false">
      <c r="A596" s="44" t="n">
        <v>595</v>
      </c>
      <c r="B596" s="45" t="n">
        <v>45566</v>
      </c>
      <c r="C596" s="44" t="n">
        <v>10</v>
      </c>
      <c r="D596" s="44" t="n">
        <v>2024</v>
      </c>
      <c r="E596" s="44" t="n">
        <v>1</v>
      </c>
      <c r="F596" s="44" t="s">
        <v>310</v>
      </c>
      <c r="G596" s="44" t="s">
        <v>463</v>
      </c>
      <c r="H596" s="44" t="s">
        <v>134</v>
      </c>
      <c r="I596" s="44" t="s">
        <v>172</v>
      </c>
      <c r="J596" s="44" t="s">
        <v>205</v>
      </c>
      <c r="K596" s="44" t="n">
        <v>2</v>
      </c>
      <c r="L596" s="46" t="n">
        <v>102.18</v>
      </c>
      <c r="M596" s="47" t="n">
        <v>1.77</v>
      </c>
      <c r="N596" s="46" t="n">
        <v>200.74</v>
      </c>
      <c r="O596" s="44" t="s">
        <v>309</v>
      </c>
      <c r="P596" s="44" t="s">
        <v>309</v>
      </c>
      <c r="Q596" s="44" t="s">
        <v>309</v>
      </c>
    </row>
    <row r="597" customFormat="false" ht="15" hidden="false" customHeight="false" outlineLevel="0" collapsed="false">
      <c r="A597" s="44" t="n">
        <v>596</v>
      </c>
      <c r="B597" s="45" t="n">
        <v>45636</v>
      </c>
      <c r="C597" s="44" t="n">
        <v>12</v>
      </c>
      <c r="D597" s="44" t="n">
        <v>2024</v>
      </c>
      <c r="E597" s="44" t="n">
        <v>10</v>
      </c>
      <c r="F597" s="44" t="s">
        <v>310</v>
      </c>
      <c r="G597" s="44" t="s">
        <v>389</v>
      </c>
      <c r="H597" s="44" t="s">
        <v>136</v>
      </c>
      <c r="I597" s="44" t="s">
        <v>172</v>
      </c>
      <c r="J597" s="44" t="s">
        <v>194</v>
      </c>
      <c r="K597" s="44" t="n">
        <v>1</v>
      </c>
      <c r="L597" s="46" t="n">
        <v>4.52</v>
      </c>
      <c r="M597" s="47" t="n">
        <v>1.11</v>
      </c>
      <c r="N597" s="46" t="n">
        <v>4.47</v>
      </c>
      <c r="O597" s="44" t="s">
        <v>309</v>
      </c>
      <c r="P597" s="44" t="s">
        <v>317</v>
      </c>
      <c r="Q597" s="44" t="s">
        <v>309</v>
      </c>
    </row>
    <row r="598" customFormat="false" ht="15" hidden="false" customHeight="false" outlineLevel="0" collapsed="false">
      <c r="A598" s="44" t="n">
        <v>597</v>
      </c>
      <c r="B598" s="45" t="n">
        <v>45596</v>
      </c>
      <c r="C598" s="44" t="n">
        <v>10</v>
      </c>
      <c r="D598" s="44" t="n">
        <v>2024</v>
      </c>
      <c r="E598" s="44" t="n">
        <v>31</v>
      </c>
      <c r="F598" s="44" t="s">
        <v>306</v>
      </c>
      <c r="G598" s="44" t="s">
        <v>378</v>
      </c>
      <c r="H598" s="44" t="s">
        <v>136</v>
      </c>
      <c r="I598" s="44" t="s">
        <v>174</v>
      </c>
      <c r="J598" s="44" t="s">
        <v>198</v>
      </c>
      <c r="K598" s="44" t="n">
        <v>2</v>
      </c>
      <c r="L598" s="46" t="n">
        <v>69.7</v>
      </c>
      <c r="M598" s="47" t="n">
        <v>0.51</v>
      </c>
      <c r="N598" s="46" t="n">
        <v>138.69</v>
      </c>
      <c r="O598" s="44" t="s">
        <v>309</v>
      </c>
      <c r="P598" s="44" t="s">
        <v>309</v>
      </c>
      <c r="Q598" s="44" t="s">
        <v>309</v>
      </c>
    </row>
    <row r="599" customFormat="false" ht="15" hidden="false" customHeight="false" outlineLevel="0" collapsed="false">
      <c r="A599" s="44" t="n">
        <v>598</v>
      </c>
      <c r="B599" s="45" t="n">
        <v>45655</v>
      </c>
      <c r="C599" s="44" t="n">
        <v>12</v>
      </c>
      <c r="D599" s="44" t="n">
        <v>2024</v>
      </c>
      <c r="E599" s="44" t="n">
        <v>29</v>
      </c>
      <c r="F599" s="44" t="s">
        <v>312</v>
      </c>
      <c r="G599" s="44" t="s">
        <v>468</v>
      </c>
      <c r="H599" s="44" t="s">
        <v>136</v>
      </c>
      <c r="I599" s="44" t="s">
        <v>172</v>
      </c>
      <c r="J599" s="44" t="s">
        <v>193</v>
      </c>
      <c r="K599" s="44" t="n">
        <v>1</v>
      </c>
      <c r="L599" s="46" t="n">
        <v>21.67</v>
      </c>
      <c r="M599" s="47" t="n">
        <v>0</v>
      </c>
      <c r="N599" s="46" t="n">
        <v>7.25</v>
      </c>
      <c r="O599" s="44" t="s">
        <v>308</v>
      </c>
      <c r="P599" s="44" t="s">
        <v>309</v>
      </c>
      <c r="Q599" s="44" t="s">
        <v>309</v>
      </c>
    </row>
    <row r="600" customFormat="false" ht="15" hidden="false" customHeight="false" outlineLevel="0" collapsed="false">
      <c r="A600" s="44" t="n">
        <v>599</v>
      </c>
      <c r="B600" s="45" t="n">
        <v>45412</v>
      </c>
      <c r="C600" s="44" t="n">
        <v>4</v>
      </c>
      <c r="D600" s="44" t="n">
        <v>2024</v>
      </c>
      <c r="E600" s="44" t="n">
        <v>30</v>
      </c>
      <c r="F600" s="44" t="s">
        <v>310</v>
      </c>
      <c r="G600" s="44" t="s">
        <v>469</v>
      </c>
      <c r="H600" s="44" t="s">
        <v>138</v>
      </c>
      <c r="I600" s="44" t="s">
        <v>176</v>
      </c>
      <c r="J600" s="44" t="s">
        <v>191</v>
      </c>
      <c r="K600" s="44" t="n">
        <v>1</v>
      </c>
      <c r="L600" s="46" t="n">
        <v>3.88</v>
      </c>
      <c r="M600" s="47" t="n">
        <v>0.4</v>
      </c>
      <c r="N600" s="46" t="n">
        <v>3.86</v>
      </c>
      <c r="O600" s="44" t="s">
        <v>309</v>
      </c>
      <c r="P600" s="44" t="s">
        <v>309</v>
      </c>
      <c r="Q600" s="44" t="s">
        <v>309</v>
      </c>
    </row>
    <row r="601" customFormat="false" ht="15" hidden="false" customHeight="false" outlineLevel="0" collapsed="false">
      <c r="A601" s="44" t="n">
        <v>600</v>
      </c>
      <c r="B601" s="45" t="n">
        <v>45617</v>
      </c>
      <c r="C601" s="44" t="n">
        <v>11</v>
      </c>
      <c r="D601" s="44" t="n">
        <v>2024</v>
      </c>
      <c r="E601" s="44" t="n">
        <v>21</v>
      </c>
      <c r="F601" s="44" t="s">
        <v>306</v>
      </c>
      <c r="G601" s="44" t="s">
        <v>334</v>
      </c>
      <c r="H601" s="44" t="s">
        <v>139</v>
      </c>
      <c r="I601" s="44" t="s">
        <v>173</v>
      </c>
      <c r="J601" s="44" t="s">
        <v>205</v>
      </c>
      <c r="K601" s="44" t="n">
        <v>5</v>
      </c>
      <c r="L601" s="46" t="n">
        <v>38.99</v>
      </c>
      <c r="M601" s="47" t="n">
        <v>7.43</v>
      </c>
      <c r="N601" s="46" t="n">
        <v>180.47</v>
      </c>
      <c r="O601" s="44" t="s">
        <v>309</v>
      </c>
      <c r="P601" s="44" t="s">
        <v>309</v>
      </c>
      <c r="Q601" s="44" t="s">
        <v>309</v>
      </c>
    </row>
    <row r="602" customFormat="false" ht="15" hidden="false" customHeight="false" outlineLevel="0" collapsed="false">
      <c r="A602" s="44" t="n">
        <v>601</v>
      </c>
      <c r="B602" s="45" t="n">
        <v>45572</v>
      </c>
      <c r="C602" s="44" t="n">
        <v>10</v>
      </c>
      <c r="D602" s="44" t="n">
        <v>2024</v>
      </c>
      <c r="E602" s="44" t="n">
        <v>7</v>
      </c>
      <c r="F602" s="44" t="s">
        <v>328</v>
      </c>
      <c r="G602" s="44" t="s">
        <v>426</v>
      </c>
      <c r="H602" s="44" t="s">
        <v>138</v>
      </c>
      <c r="I602" s="44" t="s">
        <v>174</v>
      </c>
      <c r="J602" s="44" t="s">
        <v>191</v>
      </c>
      <c r="K602" s="44" t="n">
        <v>8</v>
      </c>
      <c r="L602" s="46" t="n">
        <v>55.98</v>
      </c>
      <c r="M602" s="47" t="n">
        <v>13.14</v>
      </c>
      <c r="N602" s="46" t="n">
        <v>388.99</v>
      </c>
      <c r="O602" s="44" t="s">
        <v>309</v>
      </c>
      <c r="P602" s="44" t="s">
        <v>309</v>
      </c>
      <c r="Q602" s="44" t="s">
        <v>309</v>
      </c>
    </row>
    <row r="603" customFormat="false" ht="15" hidden="false" customHeight="false" outlineLevel="0" collapsed="false">
      <c r="A603" s="44" t="n">
        <v>602</v>
      </c>
      <c r="B603" s="45" t="n">
        <v>45546</v>
      </c>
      <c r="C603" s="44" t="n">
        <v>9</v>
      </c>
      <c r="D603" s="44" t="n">
        <v>2024</v>
      </c>
      <c r="E603" s="44" t="n">
        <v>11</v>
      </c>
      <c r="F603" s="44" t="s">
        <v>321</v>
      </c>
      <c r="G603" s="44" t="s">
        <v>478</v>
      </c>
      <c r="H603" s="44" t="s">
        <v>135</v>
      </c>
      <c r="I603" s="44" t="s">
        <v>176</v>
      </c>
      <c r="J603" s="44" t="s">
        <v>206</v>
      </c>
      <c r="K603" s="44" t="n">
        <v>1</v>
      </c>
      <c r="L603" s="46" t="n">
        <v>4.56</v>
      </c>
      <c r="M603" s="47" t="n">
        <v>0</v>
      </c>
      <c r="N603" s="46" t="n">
        <v>4.56</v>
      </c>
      <c r="O603" s="44" t="s">
        <v>309</v>
      </c>
      <c r="P603" s="44" t="s">
        <v>309</v>
      </c>
      <c r="Q603" s="44" t="s">
        <v>309</v>
      </c>
    </row>
    <row r="604" customFormat="false" ht="15" hidden="false" customHeight="false" outlineLevel="0" collapsed="false">
      <c r="A604" s="44" t="n">
        <v>603</v>
      </c>
      <c r="B604" s="45" t="n">
        <v>45533</v>
      </c>
      <c r="C604" s="44" t="n">
        <v>8</v>
      </c>
      <c r="D604" s="44" t="n">
        <v>2024</v>
      </c>
      <c r="E604" s="44" t="n">
        <v>29</v>
      </c>
      <c r="F604" s="44" t="s">
        <v>306</v>
      </c>
      <c r="G604" s="44" t="s">
        <v>414</v>
      </c>
      <c r="H604" s="44" t="s">
        <v>136</v>
      </c>
      <c r="I604" s="44" t="s">
        <v>176</v>
      </c>
      <c r="J604" s="44" t="s">
        <v>206</v>
      </c>
      <c r="K604" s="44" t="n">
        <v>5</v>
      </c>
      <c r="L604" s="46" t="n">
        <v>30.91</v>
      </c>
      <c r="M604" s="47" t="n">
        <v>7.9</v>
      </c>
      <c r="N604" s="46" t="n">
        <v>142.34</v>
      </c>
      <c r="O604" s="44" t="s">
        <v>309</v>
      </c>
      <c r="P604" s="44" t="s">
        <v>309</v>
      </c>
      <c r="Q604" s="44" t="s">
        <v>309</v>
      </c>
    </row>
    <row r="605" customFormat="false" ht="15" hidden="false" customHeight="false" outlineLevel="0" collapsed="false">
      <c r="A605" s="44" t="n">
        <v>604</v>
      </c>
      <c r="B605" s="45" t="n">
        <v>45578</v>
      </c>
      <c r="C605" s="44" t="n">
        <v>10</v>
      </c>
      <c r="D605" s="44" t="n">
        <v>2024</v>
      </c>
      <c r="E605" s="44" t="n">
        <v>13</v>
      </c>
      <c r="F605" s="44" t="s">
        <v>312</v>
      </c>
      <c r="G605" s="44" t="s">
        <v>489</v>
      </c>
      <c r="H605" s="44" t="s">
        <v>139</v>
      </c>
      <c r="I605" s="44" t="s">
        <v>173</v>
      </c>
      <c r="J605" s="44" t="s">
        <v>193</v>
      </c>
      <c r="K605" s="44" t="n">
        <v>5</v>
      </c>
      <c r="L605" s="46" t="n">
        <v>87.89</v>
      </c>
      <c r="M605" s="47" t="n">
        <v>7.69</v>
      </c>
      <c r="N605" s="46" t="n">
        <v>405.66</v>
      </c>
      <c r="O605" s="44" t="s">
        <v>309</v>
      </c>
      <c r="P605" s="44" t="s">
        <v>309</v>
      </c>
      <c r="Q605" s="44" t="s">
        <v>309</v>
      </c>
    </row>
    <row r="606" customFormat="false" ht="15" hidden="false" customHeight="false" outlineLevel="0" collapsed="false">
      <c r="A606" s="44" t="n">
        <v>605</v>
      </c>
      <c r="B606" s="45" t="n">
        <v>45636</v>
      </c>
      <c r="C606" s="44" t="n">
        <v>12</v>
      </c>
      <c r="D606" s="44" t="n">
        <v>2024</v>
      </c>
      <c r="E606" s="44" t="n">
        <v>10</v>
      </c>
      <c r="F606" s="44" t="s">
        <v>310</v>
      </c>
      <c r="G606" s="44" t="s">
        <v>374</v>
      </c>
      <c r="H606" s="44" t="s">
        <v>135</v>
      </c>
      <c r="I606" s="44" t="s">
        <v>176</v>
      </c>
      <c r="J606" s="44" t="s">
        <v>197</v>
      </c>
      <c r="K606" s="44" t="n">
        <v>1</v>
      </c>
      <c r="L606" s="46" t="n">
        <v>6.17</v>
      </c>
      <c r="M606" s="47" t="n">
        <v>0.52</v>
      </c>
      <c r="N606" s="46" t="n">
        <v>6.14</v>
      </c>
      <c r="O606" s="44" t="s">
        <v>309</v>
      </c>
      <c r="P606" s="44" t="s">
        <v>309</v>
      </c>
      <c r="Q606" s="44" t="s">
        <v>309</v>
      </c>
    </row>
    <row r="607" customFormat="false" ht="15" hidden="false" customHeight="false" outlineLevel="0" collapsed="false">
      <c r="A607" s="44" t="n">
        <v>606</v>
      </c>
      <c r="B607" s="45" t="n">
        <v>45517</v>
      </c>
      <c r="C607" s="44" t="n">
        <v>8</v>
      </c>
      <c r="D607" s="44" t="n">
        <v>2024</v>
      </c>
      <c r="E607" s="44" t="n">
        <v>13</v>
      </c>
      <c r="F607" s="44" t="s">
        <v>310</v>
      </c>
      <c r="G607" s="44" t="s">
        <v>489</v>
      </c>
      <c r="H607" s="44" t="s">
        <v>134</v>
      </c>
      <c r="I607" s="44" t="s">
        <v>176</v>
      </c>
      <c r="J607" s="44" t="s">
        <v>204</v>
      </c>
      <c r="K607" s="44" t="n">
        <v>4</v>
      </c>
      <c r="L607" s="46" t="n">
        <v>43.07</v>
      </c>
      <c r="M607" s="47" t="n">
        <v>5.08</v>
      </c>
      <c r="N607" s="46" t="n">
        <v>163.53</v>
      </c>
      <c r="O607" s="44" t="s">
        <v>309</v>
      </c>
      <c r="P607" s="44" t="s">
        <v>309</v>
      </c>
      <c r="Q607" s="44" t="s">
        <v>309</v>
      </c>
    </row>
    <row r="608" customFormat="false" ht="15" hidden="false" customHeight="false" outlineLevel="0" collapsed="false">
      <c r="A608" s="44" t="n">
        <v>607</v>
      </c>
      <c r="B608" s="45" t="n">
        <v>45299</v>
      </c>
      <c r="C608" s="44" t="n">
        <v>1</v>
      </c>
      <c r="D608" s="44" t="n">
        <v>2024</v>
      </c>
      <c r="E608" s="44" t="n">
        <v>8</v>
      </c>
      <c r="F608" s="44" t="s">
        <v>328</v>
      </c>
      <c r="G608" s="44" t="s">
        <v>399</v>
      </c>
      <c r="H608" s="44" t="s">
        <v>138</v>
      </c>
      <c r="I608" s="44" t="s">
        <v>176</v>
      </c>
      <c r="J608" s="44" t="s">
        <v>191</v>
      </c>
      <c r="K608" s="44" t="n">
        <v>1</v>
      </c>
      <c r="L608" s="46" t="n">
        <v>3.87</v>
      </c>
      <c r="M608" s="47" t="n">
        <v>0</v>
      </c>
      <c r="N608" s="46" t="n">
        <v>3.87</v>
      </c>
      <c r="O608" s="44" t="s">
        <v>309</v>
      </c>
      <c r="P608" s="44" t="s">
        <v>309</v>
      </c>
      <c r="Q608" s="44" t="s">
        <v>309</v>
      </c>
    </row>
    <row r="609" customFormat="false" ht="15" hidden="false" customHeight="false" outlineLevel="0" collapsed="false">
      <c r="A609" s="44" t="n">
        <v>608</v>
      </c>
      <c r="B609" s="45" t="n">
        <v>45517</v>
      </c>
      <c r="C609" s="44" t="n">
        <v>8</v>
      </c>
      <c r="D609" s="44" t="n">
        <v>2024</v>
      </c>
      <c r="E609" s="44" t="n">
        <v>13</v>
      </c>
      <c r="F609" s="44" t="s">
        <v>310</v>
      </c>
      <c r="G609" s="44" t="s">
        <v>548</v>
      </c>
      <c r="H609" s="44" t="s">
        <v>135</v>
      </c>
      <c r="I609" s="44" t="s">
        <v>173</v>
      </c>
      <c r="J609" s="44" t="s">
        <v>192</v>
      </c>
      <c r="K609" s="44" t="n">
        <v>1</v>
      </c>
      <c r="L609" s="46" t="n">
        <v>89.5</v>
      </c>
      <c r="M609" s="47" t="n">
        <v>0</v>
      </c>
      <c r="N609" s="46" t="n">
        <v>89.5</v>
      </c>
      <c r="O609" s="44" t="s">
        <v>309</v>
      </c>
      <c r="P609" s="44" t="s">
        <v>309</v>
      </c>
      <c r="Q609" s="44" t="s">
        <v>309</v>
      </c>
    </row>
    <row r="610" customFormat="false" ht="15" hidden="false" customHeight="false" outlineLevel="0" collapsed="false">
      <c r="A610" s="44" t="n">
        <v>609</v>
      </c>
      <c r="B610" s="45" t="n">
        <v>45381</v>
      </c>
      <c r="C610" s="44" t="n">
        <v>3</v>
      </c>
      <c r="D610" s="44" t="n">
        <v>2024</v>
      </c>
      <c r="E610" s="44" t="n">
        <v>30</v>
      </c>
      <c r="F610" s="44" t="s">
        <v>318</v>
      </c>
      <c r="G610" s="44" t="s">
        <v>326</v>
      </c>
      <c r="H610" s="44" t="s">
        <v>136</v>
      </c>
      <c r="I610" s="44" t="s">
        <v>172</v>
      </c>
      <c r="J610" s="44" t="s">
        <v>191</v>
      </c>
      <c r="K610" s="44" t="n">
        <v>8</v>
      </c>
      <c r="L610" s="46" t="n">
        <v>21.67</v>
      </c>
      <c r="M610" s="47" t="n">
        <v>1.905</v>
      </c>
      <c r="N610" s="46" t="n">
        <v>325.72</v>
      </c>
      <c r="O610" s="44" t="s">
        <v>308</v>
      </c>
      <c r="P610" s="44" t="s">
        <v>369</v>
      </c>
      <c r="Q610" s="44" t="s">
        <v>309</v>
      </c>
    </row>
    <row r="611" customFormat="false" ht="15" hidden="false" customHeight="false" outlineLevel="0" collapsed="false">
      <c r="A611" s="44" t="n">
        <v>610</v>
      </c>
      <c r="B611" s="45" t="n">
        <v>45518</v>
      </c>
      <c r="C611" s="44" t="n">
        <v>8</v>
      </c>
      <c r="D611" s="44" t="n">
        <v>2024</v>
      </c>
      <c r="E611" s="44" t="n">
        <v>14</v>
      </c>
      <c r="F611" s="44" t="s">
        <v>321</v>
      </c>
      <c r="G611" s="44" t="s">
        <v>411</v>
      </c>
      <c r="H611" s="44" t="s">
        <v>135</v>
      </c>
      <c r="I611" s="44" t="s">
        <v>173</v>
      </c>
      <c r="J611" s="44" t="s">
        <v>206</v>
      </c>
      <c r="K611" s="44" t="n">
        <v>3</v>
      </c>
      <c r="L611" s="46" t="n">
        <v>8.55</v>
      </c>
      <c r="M611" s="47" t="n">
        <v>4.59</v>
      </c>
      <c r="N611" s="46" t="n">
        <v>24.47</v>
      </c>
      <c r="O611" s="44" t="s">
        <v>309</v>
      </c>
      <c r="P611" s="44" t="s">
        <v>309</v>
      </c>
      <c r="Q611" s="44" t="s">
        <v>309</v>
      </c>
    </row>
    <row r="612" customFormat="false" ht="15" hidden="false" customHeight="false" outlineLevel="0" collapsed="false">
      <c r="A612" s="44" t="n">
        <v>611</v>
      </c>
      <c r="B612" s="45" t="n">
        <v>45654</v>
      </c>
      <c r="C612" s="44" t="n">
        <v>12</v>
      </c>
      <c r="D612" s="44" t="n">
        <v>2024</v>
      </c>
      <c r="E612" s="44" t="n">
        <v>28</v>
      </c>
      <c r="F612" s="44" t="s">
        <v>318</v>
      </c>
      <c r="G612" s="44" t="s">
        <v>531</v>
      </c>
      <c r="H612" s="44" t="s">
        <v>135</v>
      </c>
      <c r="I612" s="44" t="s">
        <v>174</v>
      </c>
      <c r="J612" s="44" t="s">
        <v>195</v>
      </c>
      <c r="K612" s="44" t="n">
        <v>1</v>
      </c>
      <c r="L612" s="46" t="n">
        <v>102.01</v>
      </c>
      <c r="M612" s="47" t="n">
        <v>1.21</v>
      </c>
      <c r="N612" s="46" t="n">
        <v>100.78</v>
      </c>
      <c r="O612" s="44" t="s">
        <v>309</v>
      </c>
      <c r="P612" s="44" t="s">
        <v>309</v>
      </c>
      <c r="Q612" s="44" t="s">
        <v>309</v>
      </c>
    </row>
    <row r="613" customFormat="false" ht="15" hidden="false" customHeight="false" outlineLevel="0" collapsed="false">
      <c r="A613" s="44" t="n">
        <v>612</v>
      </c>
      <c r="B613" s="45" t="n">
        <v>45329</v>
      </c>
      <c r="C613" s="44" t="n">
        <v>2</v>
      </c>
      <c r="D613" s="44" t="n">
        <v>2024</v>
      </c>
      <c r="E613" s="44" t="n">
        <v>7</v>
      </c>
      <c r="F613" s="44" t="s">
        <v>321</v>
      </c>
      <c r="G613" s="44" t="s">
        <v>529</v>
      </c>
      <c r="H613" s="44" t="s">
        <v>136</v>
      </c>
      <c r="I613" s="44" t="s">
        <v>174</v>
      </c>
      <c r="J613" s="44" t="s">
        <v>196</v>
      </c>
      <c r="K613" s="44" t="n">
        <v>1</v>
      </c>
      <c r="L613" s="46" t="n">
        <v>4.87</v>
      </c>
      <c r="M613" s="47" t="n">
        <v>1.44</v>
      </c>
      <c r="N613" s="46" t="n">
        <v>4.8</v>
      </c>
      <c r="O613" s="44" t="s">
        <v>309</v>
      </c>
      <c r="P613" s="44" t="s">
        <v>317</v>
      </c>
      <c r="Q613" s="44" t="s">
        <v>309</v>
      </c>
    </row>
    <row r="614" customFormat="false" ht="15" hidden="false" customHeight="false" outlineLevel="0" collapsed="false">
      <c r="A614" s="44" t="n">
        <v>613</v>
      </c>
      <c r="B614" s="45" t="n">
        <v>45553</v>
      </c>
      <c r="C614" s="44" t="n">
        <v>9</v>
      </c>
      <c r="D614" s="44" t="n">
        <v>2024</v>
      </c>
      <c r="E614" s="44" t="n">
        <v>18</v>
      </c>
      <c r="F614" s="44" t="s">
        <v>321</v>
      </c>
      <c r="G614" s="44" t="s">
        <v>465</v>
      </c>
      <c r="H614" s="44" t="s">
        <v>134</v>
      </c>
      <c r="I614" s="44" t="s">
        <v>172</v>
      </c>
      <c r="J614" s="44" t="s">
        <v>192</v>
      </c>
      <c r="K614" s="44" t="n">
        <v>1</v>
      </c>
      <c r="L614" s="46" t="n">
        <v>167.89</v>
      </c>
      <c r="M614" s="47" t="n">
        <v>0</v>
      </c>
      <c r="N614" s="46" t="n">
        <v>167.89</v>
      </c>
      <c r="O614" s="44" t="s">
        <v>309</v>
      </c>
      <c r="P614" s="44" t="s">
        <v>309</v>
      </c>
      <c r="Q614" s="44" t="s">
        <v>309</v>
      </c>
    </row>
    <row r="615" customFormat="false" ht="15" hidden="false" customHeight="false" outlineLevel="0" collapsed="false">
      <c r="A615" s="44" t="n">
        <v>614</v>
      </c>
      <c r="B615" s="45" t="n">
        <v>45344</v>
      </c>
      <c r="C615" s="44" t="n">
        <v>2</v>
      </c>
      <c r="D615" s="44" t="n">
        <v>2024</v>
      </c>
      <c r="E615" s="44" t="n">
        <v>22</v>
      </c>
      <c r="F615" s="44" t="s">
        <v>306</v>
      </c>
      <c r="G615" s="44" t="s">
        <v>435</v>
      </c>
      <c r="H615" s="44" t="s">
        <v>135</v>
      </c>
      <c r="I615" s="44" t="s">
        <v>172</v>
      </c>
      <c r="J615" s="44" t="s">
        <v>206</v>
      </c>
      <c r="K615" s="44" t="n">
        <v>4</v>
      </c>
      <c r="L615" s="46" t="n">
        <v>30.44</v>
      </c>
      <c r="M615" s="47" t="n">
        <v>6.63</v>
      </c>
      <c r="N615" s="46" t="n">
        <v>9.56</v>
      </c>
      <c r="O615" s="44" t="s">
        <v>308</v>
      </c>
      <c r="P615" s="44" t="s">
        <v>309</v>
      </c>
      <c r="Q615" s="44" t="s">
        <v>309</v>
      </c>
    </row>
    <row r="616" customFormat="false" ht="15" hidden="false" customHeight="false" outlineLevel="0" collapsed="false">
      <c r="A616" s="44" t="n">
        <v>615</v>
      </c>
      <c r="B616" s="45" t="n">
        <v>45477</v>
      </c>
      <c r="C616" s="44" t="n">
        <v>7</v>
      </c>
      <c r="D616" s="44" t="n">
        <v>2024</v>
      </c>
      <c r="E616" s="44" t="n">
        <v>4</v>
      </c>
      <c r="F616" s="44" t="s">
        <v>306</v>
      </c>
      <c r="G616" s="44" t="s">
        <v>476</v>
      </c>
      <c r="H616" s="44" t="s">
        <v>139</v>
      </c>
      <c r="I616" s="44" t="s">
        <v>176</v>
      </c>
      <c r="J616" s="44" t="s">
        <v>206</v>
      </c>
      <c r="K616" s="44" t="n">
        <v>1</v>
      </c>
      <c r="L616" s="46" t="n">
        <v>45.18</v>
      </c>
      <c r="M616" s="47" t="n">
        <v>0</v>
      </c>
      <c r="N616" s="46" t="n">
        <v>45.18</v>
      </c>
      <c r="O616" s="44" t="s">
        <v>309</v>
      </c>
      <c r="P616" s="44" t="s">
        <v>309</v>
      </c>
      <c r="Q616" s="44" t="s">
        <v>309</v>
      </c>
    </row>
    <row r="617" customFormat="false" ht="15" hidden="false" customHeight="false" outlineLevel="0" collapsed="false">
      <c r="A617" s="44" t="n">
        <v>616</v>
      </c>
      <c r="B617" s="45" t="n">
        <v>45507</v>
      </c>
      <c r="C617" s="44" t="n">
        <v>8</v>
      </c>
      <c r="D617" s="44" t="n">
        <v>2024</v>
      </c>
      <c r="E617" s="44" t="n">
        <v>3</v>
      </c>
      <c r="F617" s="44" t="s">
        <v>318</v>
      </c>
      <c r="G617" s="44" t="s">
        <v>526</v>
      </c>
      <c r="H617" s="44" t="s">
        <v>137</v>
      </c>
      <c r="I617" s="44" t="s">
        <v>174</v>
      </c>
      <c r="J617" s="44" t="s">
        <v>206</v>
      </c>
      <c r="K617" s="44" t="n">
        <v>1</v>
      </c>
      <c r="L617" s="46" t="n">
        <v>66.81</v>
      </c>
      <c r="M617" s="47" t="n">
        <v>0</v>
      </c>
      <c r="N617" s="46" t="n">
        <v>66.81</v>
      </c>
      <c r="O617" s="44" t="s">
        <v>309</v>
      </c>
      <c r="P617" s="44" t="s">
        <v>317</v>
      </c>
      <c r="Q617" s="44" t="s">
        <v>309</v>
      </c>
    </row>
    <row r="618" customFormat="false" ht="15" hidden="false" customHeight="false" outlineLevel="0" collapsed="false">
      <c r="A618" s="44" t="n">
        <v>617</v>
      </c>
      <c r="B618" s="45" t="n">
        <v>45366</v>
      </c>
      <c r="C618" s="44" t="n">
        <v>3</v>
      </c>
      <c r="D618" s="44" t="n">
        <v>2024</v>
      </c>
      <c r="E618" s="44" t="n">
        <v>15</v>
      </c>
      <c r="F618" s="44" t="s">
        <v>325</v>
      </c>
      <c r="G618" s="44" t="s">
        <v>442</v>
      </c>
      <c r="H618" s="44" t="s">
        <v>134</v>
      </c>
      <c r="I618" s="44" t="s">
        <v>174</v>
      </c>
      <c r="J618" s="44" t="s">
        <v>206</v>
      </c>
      <c r="K618" s="44" t="n">
        <v>1</v>
      </c>
      <c r="L618" s="46" t="n">
        <v>3</v>
      </c>
      <c r="M618" s="47" t="n">
        <v>0</v>
      </c>
      <c r="N618" s="46" t="n">
        <v>3</v>
      </c>
      <c r="O618" s="44" t="s">
        <v>309</v>
      </c>
      <c r="P618" s="44" t="s">
        <v>309</v>
      </c>
      <c r="Q618" s="44" t="s">
        <v>309</v>
      </c>
    </row>
    <row r="619" customFormat="false" ht="15" hidden="false" customHeight="false" outlineLevel="0" collapsed="false">
      <c r="A619" s="44" t="n">
        <v>618</v>
      </c>
      <c r="B619" s="45" t="n">
        <v>45398</v>
      </c>
      <c r="C619" s="44" t="n">
        <v>4</v>
      </c>
      <c r="D619" s="44" t="n">
        <v>2024</v>
      </c>
      <c r="E619" s="44" t="n">
        <v>16</v>
      </c>
      <c r="F619" s="44" t="s">
        <v>310</v>
      </c>
      <c r="G619" s="44" t="s">
        <v>500</v>
      </c>
      <c r="H619" s="44" t="s">
        <v>138</v>
      </c>
      <c r="I619" s="44" t="s">
        <v>176</v>
      </c>
      <c r="J619" s="44" t="s">
        <v>206</v>
      </c>
      <c r="K619" s="44" t="n">
        <v>2</v>
      </c>
      <c r="L619" s="46" t="n">
        <v>26.69</v>
      </c>
      <c r="M619" s="47" t="n">
        <v>1.905</v>
      </c>
      <c r="N619" s="46" t="n">
        <v>195.8</v>
      </c>
      <c r="O619" s="44" t="s">
        <v>308</v>
      </c>
      <c r="P619" s="44" t="s">
        <v>369</v>
      </c>
      <c r="Q619" s="44" t="s">
        <v>309</v>
      </c>
    </row>
    <row r="620" customFormat="false" ht="15" hidden="false" customHeight="false" outlineLevel="0" collapsed="false">
      <c r="A620" s="44" t="n">
        <v>619</v>
      </c>
      <c r="B620" s="45" t="n">
        <v>45558</v>
      </c>
      <c r="C620" s="44" t="n">
        <v>9</v>
      </c>
      <c r="D620" s="44" t="n">
        <v>2024</v>
      </c>
      <c r="E620" s="44" t="n">
        <v>23</v>
      </c>
      <c r="F620" s="44" t="s">
        <v>328</v>
      </c>
      <c r="G620" s="44" t="s">
        <v>469</v>
      </c>
      <c r="H620" s="44" t="s">
        <v>139</v>
      </c>
      <c r="I620" s="44" t="s">
        <v>173</v>
      </c>
      <c r="J620" s="44" t="s">
        <v>198</v>
      </c>
      <c r="K620" s="44" t="n">
        <v>1</v>
      </c>
      <c r="L620" s="46" t="n">
        <v>20.44</v>
      </c>
      <c r="M620" s="47" t="n">
        <v>0.83</v>
      </c>
      <c r="N620" s="46" t="n">
        <v>20.27</v>
      </c>
      <c r="O620" s="44" t="s">
        <v>309</v>
      </c>
      <c r="P620" s="44" t="s">
        <v>309</v>
      </c>
      <c r="Q620" s="44" t="s">
        <v>309</v>
      </c>
    </row>
    <row r="621" customFormat="false" ht="15" hidden="false" customHeight="false" outlineLevel="0" collapsed="false">
      <c r="A621" s="44" t="n">
        <v>620</v>
      </c>
      <c r="B621" s="45" t="n">
        <v>45330</v>
      </c>
      <c r="C621" s="44" t="n">
        <v>2</v>
      </c>
      <c r="D621" s="44" t="n">
        <v>2024</v>
      </c>
      <c r="E621" s="44" t="n">
        <v>8</v>
      </c>
      <c r="F621" s="44" t="s">
        <v>306</v>
      </c>
      <c r="G621" s="44" t="s">
        <v>502</v>
      </c>
      <c r="H621" s="44" t="s">
        <v>134</v>
      </c>
      <c r="I621" s="44" t="s">
        <v>174</v>
      </c>
      <c r="J621" s="44" t="s">
        <v>191</v>
      </c>
      <c r="K621" s="44" t="n">
        <v>3</v>
      </c>
      <c r="L621" s="46" t="n">
        <v>112.94</v>
      </c>
      <c r="M621" s="47" t="n">
        <v>2.6</v>
      </c>
      <c r="N621" s="46" t="n">
        <v>330.01</v>
      </c>
      <c r="O621" s="44" t="s">
        <v>309</v>
      </c>
      <c r="P621" s="44" t="s">
        <v>309</v>
      </c>
      <c r="Q621" s="44" t="s">
        <v>309</v>
      </c>
    </row>
    <row r="622" customFormat="false" ht="15" hidden="false" customHeight="false" outlineLevel="0" collapsed="false">
      <c r="A622" s="44" t="n">
        <v>621</v>
      </c>
      <c r="B622" s="45" t="n">
        <v>45293</v>
      </c>
      <c r="C622" s="44" t="n">
        <v>1</v>
      </c>
      <c r="D622" s="44" t="n">
        <v>2024</v>
      </c>
      <c r="E622" s="44" t="n">
        <v>2</v>
      </c>
      <c r="F622" s="44" t="s">
        <v>310</v>
      </c>
      <c r="G622" s="44" t="s">
        <v>528</v>
      </c>
      <c r="H622" s="44" t="s">
        <v>139</v>
      </c>
      <c r="I622" s="44" t="s">
        <v>174</v>
      </c>
      <c r="J622" s="44" t="s">
        <v>195</v>
      </c>
      <c r="K622" s="44" t="n">
        <v>6</v>
      </c>
      <c r="L622" s="46" t="n">
        <v>3.3</v>
      </c>
      <c r="M622" s="47" t="n">
        <v>7.23</v>
      </c>
      <c r="N622" s="46" t="n">
        <v>18.37</v>
      </c>
      <c r="O622" s="44" t="s">
        <v>309</v>
      </c>
      <c r="P622" s="44" t="s">
        <v>309</v>
      </c>
      <c r="Q622" s="44" t="s">
        <v>309</v>
      </c>
    </row>
    <row r="623" customFormat="false" ht="15" hidden="false" customHeight="false" outlineLevel="0" collapsed="false">
      <c r="A623" s="44" t="n">
        <v>622</v>
      </c>
      <c r="B623" s="45" t="n">
        <v>45308</v>
      </c>
      <c r="C623" s="44" t="n">
        <v>1</v>
      </c>
      <c r="D623" s="44" t="n">
        <v>2024</v>
      </c>
      <c r="E623" s="44" t="n">
        <v>17</v>
      </c>
      <c r="F623" s="44" t="s">
        <v>321</v>
      </c>
      <c r="G623" s="44" t="s">
        <v>497</v>
      </c>
      <c r="H623" s="44" t="s">
        <v>136</v>
      </c>
      <c r="I623" s="44" t="s">
        <v>173</v>
      </c>
      <c r="J623" s="44" t="s">
        <v>206</v>
      </c>
      <c r="K623" s="44" t="n">
        <v>1</v>
      </c>
      <c r="L623" s="46" t="n">
        <v>4.06</v>
      </c>
      <c r="M623" s="47" t="n">
        <v>0.87</v>
      </c>
      <c r="N623" s="46" t="n">
        <v>4.02</v>
      </c>
      <c r="O623" s="44" t="s">
        <v>309</v>
      </c>
      <c r="P623" s="44" t="s">
        <v>309</v>
      </c>
      <c r="Q623" s="44" t="s">
        <v>309</v>
      </c>
    </row>
    <row r="624" customFormat="false" ht="15" hidden="false" customHeight="false" outlineLevel="0" collapsed="false">
      <c r="A624" s="44" t="n">
        <v>623</v>
      </c>
      <c r="B624" s="45" t="n">
        <v>45556</v>
      </c>
      <c r="C624" s="44" t="n">
        <v>9</v>
      </c>
      <c r="D624" s="44" t="n">
        <v>2024</v>
      </c>
      <c r="E624" s="44" t="n">
        <v>21</v>
      </c>
      <c r="F624" s="44" t="s">
        <v>318</v>
      </c>
      <c r="G624" s="44" t="s">
        <v>472</v>
      </c>
      <c r="H624" s="44" t="s">
        <v>137</v>
      </c>
      <c r="I624" s="44" t="s">
        <v>173</v>
      </c>
      <c r="J624" s="44" t="s">
        <v>205</v>
      </c>
      <c r="K624" s="44" t="n">
        <v>1</v>
      </c>
      <c r="L624" s="46" t="n">
        <v>15.15</v>
      </c>
      <c r="M624" s="47" t="n">
        <v>0</v>
      </c>
      <c r="N624" s="46" t="n">
        <v>15.15</v>
      </c>
      <c r="O624" s="44" t="s">
        <v>309</v>
      </c>
      <c r="P624" s="44" t="s">
        <v>309</v>
      </c>
      <c r="Q624" s="44" t="s">
        <v>309</v>
      </c>
    </row>
    <row r="625" customFormat="false" ht="15" hidden="false" customHeight="false" outlineLevel="0" collapsed="false">
      <c r="A625" s="44" t="n">
        <v>624</v>
      </c>
      <c r="B625" s="45" t="n">
        <v>45473</v>
      </c>
      <c r="C625" s="44" t="n">
        <v>6</v>
      </c>
      <c r="D625" s="44" t="n">
        <v>2024</v>
      </c>
      <c r="E625" s="44" t="n">
        <v>30</v>
      </c>
      <c r="F625" s="44" t="s">
        <v>312</v>
      </c>
      <c r="G625" s="44" t="s">
        <v>358</v>
      </c>
      <c r="H625" s="44" t="s">
        <v>135</v>
      </c>
      <c r="I625" s="44" t="s">
        <v>173</v>
      </c>
      <c r="J625" s="44" t="s">
        <v>193</v>
      </c>
      <c r="K625" s="44" t="n">
        <v>2</v>
      </c>
      <c r="L625" s="46" t="n">
        <v>67.83</v>
      </c>
      <c r="M625" s="47" t="n">
        <v>2.21</v>
      </c>
      <c r="N625" s="46" t="n">
        <v>132.66</v>
      </c>
      <c r="O625" s="44" t="s">
        <v>309</v>
      </c>
      <c r="P625" s="44" t="s">
        <v>309</v>
      </c>
      <c r="Q625" s="44" t="s">
        <v>309</v>
      </c>
    </row>
    <row r="626" customFormat="false" ht="15" hidden="false" customHeight="false" outlineLevel="0" collapsed="false">
      <c r="A626" s="44" t="n">
        <v>625</v>
      </c>
      <c r="B626" s="45" t="n">
        <v>45497</v>
      </c>
      <c r="C626" s="44" t="n">
        <v>7</v>
      </c>
      <c r="D626" s="44" t="n">
        <v>2024</v>
      </c>
      <c r="E626" s="44" t="n">
        <v>24</v>
      </c>
      <c r="F626" s="44" t="s">
        <v>321</v>
      </c>
      <c r="G626" s="44" t="s">
        <v>320</v>
      </c>
      <c r="H626" s="44" t="s">
        <v>136</v>
      </c>
      <c r="I626" s="44" t="s">
        <v>176</v>
      </c>
      <c r="J626" s="44" t="s">
        <v>191</v>
      </c>
      <c r="K626" s="44" t="n">
        <v>1</v>
      </c>
      <c r="L626" s="46" t="n">
        <v>4.26</v>
      </c>
      <c r="M626" s="47" t="n">
        <v>1</v>
      </c>
      <c r="N626" s="46" t="n">
        <v>4.22</v>
      </c>
      <c r="O626" s="44" t="s">
        <v>309</v>
      </c>
      <c r="P626" s="44" t="s">
        <v>309</v>
      </c>
      <c r="Q626" s="44" t="s">
        <v>309</v>
      </c>
    </row>
    <row r="627" customFormat="false" ht="15" hidden="false" customHeight="false" outlineLevel="0" collapsed="false">
      <c r="A627" s="44" t="n">
        <v>626</v>
      </c>
      <c r="B627" s="45" t="n">
        <v>45337</v>
      </c>
      <c r="C627" s="44" t="n">
        <v>2</v>
      </c>
      <c r="D627" s="44" t="n">
        <v>2024</v>
      </c>
      <c r="E627" s="44" t="n">
        <v>15</v>
      </c>
      <c r="F627" s="44" t="s">
        <v>306</v>
      </c>
      <c r="G627" s="44" t="s">
        <v>416</v>
      </c>
      <c r="H627" s="44" t="s">
        <v>140</v>
      </c>
      <c r="I627" s="44" t="s">
        <v>172</v>
      </c>
      <c r="J627" s="44" t="s">
        <v>206</v>
      </c>
      <c r="K627" s="44" t="n">
        <v>1</v>
      </c>
      <c r="L627" s="46" t="n">
        <v>8.49</v>
      </c>
      <c r="M627" s="47" t="n">
        <v>0</v>
      </c>
      <c r="N627" s="46" t="n">
        <v>8.49</v>
      </c>
      <c r="O627" s="44" t="s">
        <v>309</v>
      </c>
      <c r="P627" s="44" t="s">
        <v>309</v>
      </c>
      <c r="Q627" s="44" t="s">
        <v>309</v>
      </c>
    </row>
    <row r="628" customFormat="false" ht="15" hidden="false" customHeight="false" outlineLevel="0" collapsed="false">
      <c r="A628" s="44" t="n">
        <v>627</v>
      </c>
      <c r="B628" s="45" t="n">
        <v>45493</v>
      </c>
      <c r="C628" s="44" t="n">
        <v>7</v>
      </c>
      <c r="D628" s="44" t="n">
        <v>2024</v>
      </c>
      <c r="E628" s="44" t="n">
        <v>20</v>
      </c>
      <c r="F628" s="44" t="s">
        <v>318</v>
      </c>
      <c r="G628" s="44" t="s">
        <v>428</v>
      </c>
      <c r="H628" s="44" t="s">
        <v>136</v>
      </c>
      <c r="I628" s="44" t="s">
        <v>173</v>
      </c>
      <c r="J628" s="44" t="s">
        <v>194</v>
      </c>
      <c r="K628" s="44" t="n">
        <v>1</v>
      </c>
      <c r="L628" s="46" t="n">
        <v>21.67</v>
      </c>
      <c r="M628" s="47" t="n">
        <v>0</v>
      </c>
      <c r="N628" s="46" t="n">
        <v>4.77</v>
      </c>
      <c r="O628" s="44" t="s">
        <v>308</v>
      </c>
      <c r="P628" s="44" t="s">
        <v>309</v>
      </c>
      <c r="Q628" s="44" t="s">
        <v>309</v>
      </c>
    </row>
    <row r="629" customFormat="false" ht="15" hidden="false" customHeight="false" outlineLevel="0" collapsed="false">
      <c r="A629" s="44" t="n">
        <v>628</v>
      </c>
      <c r="B629" s="45" t="n">
        <v>45427</v>
      </c>
      <c r="C629" s="44" t="n">
        <v>5</v>
      </c>
      <c r="D629" s="44" t="n">
        <v>2024</v>
      </c>
      <c r="E629" s="44" t="n">
        <v>15</v>
      </c>
      <c r="F629" s="44" t="s">
        <v>321</v>
      </c>
      <c r="G629" s="44" t="s">
        <v>478</v>
      </c>
      <c r="H629" s="44" t="s">
        <v>134</v>
      </c>
      <c r="I629" s="44" t="s">
        <v>172</v>
      </c>
      <c r="J629" s="44" t="s">
        <v>196</v>
      </c>
      <c r="K629" s="44" t="n">
        <v>1</v>
      </c>
      <c r="L629" s="46" t="n">
        <v>29.18</v>
      </c>
      <c r="M629" s="47" t="n">
        <v>0.73</v>
      </c>
      <c r="N629" s="46" t="n">
        <v>2.98</v>
      </c>
      <c r="O629" s="44" t="s">
        <v>308</v>
      </c>
      <c r="P629" s="44" t="s">
        <v>309</v>
      </c>
      <c r="Q629" s="44" t="s">
        <v>309</v>
      </c>
    </row>
    <row r="630" customFormat="false" ht="15" hidden="false" customHeight="false" outlineLevel="0" collapsed="false">
      <c r="A630" s="44" t="n">
        <v>629</v>
      </c>
      <c r="B630" s="45" t="n">
        <v>45552</v>
      </c>
      <c r="C630" s="44" t="n">
        <v>9</v>
      </c>
      <c r="D630" s="44" t="n">
        <v>2024</v>
      </c>
      <c r="E630" s="44" t="n">
        <v>17</v>
      </c>
      <c r="F630" s="44" t="s">
        <v>310</v>
      </c>
      <c r="G630" s="44" t="s">
        <v>326</v>
      </c>
      <c r="H630" s="44" t="s">
        <v>136</v>
      </c>
      <c r="I630" s="44" t="s">
        <v>172</v>
      </c>
      <c r="J630" s="44" t="s">
        <v>199</v>
      </c>
      <c r="K630" s="44" t="n">
        <v>5</v>
      </c>
      <c r="L630" s="46" t="n">
        <v>4.39</v>
      </c>
      <c r="M630" s="47" t="n">
        <v>7.83</v>
      </c>
      <c r="N630" s="46" t="n">
        <v>20.23</v>
      </c>
      <c r="O630" s="44" t="s">
        <v>309</v>
      </c>
      <c r="P630" s="44" t="s">
        <v>309</v>
      </c>
      <c r="Q630" s="44" t="s">
        <v>309</v>
      </c>
    </row>
    <row r="631" customFormat="false" ht="15" hidden="false" customHeight="false" outlineLevel="0" collapsed="false">
      <c r="A631" s="44" t="n">
        <v>630</v>
      </c>
      <c r="B631" s="45" t="n">
        <v>45399</v>
      </c>
      <c r="C631" s="44" t="n">
        <v>4</v>
      </c>
      <c r="D631" s="44" t="n">
        <v>2024</v>
      </c>
      <c r="E631" s="44" t="n">
        <v>17</v>
      </c>
      <c r="F631" s="44" t="s">
        <v>321</v>
      </c>
      <c r="G631" s="44" t="s">
        <v>460</v>
      </c>
      <c r="H631" s="44" t="s">
        <v>135</v>
      </c>
      <c r="I631" s="44" t="s">
        <v>173</v>
      </c>
      <c r="J631" s="44" t="s">
        <v>200</v>
      </c>
      <c r="K631" s="44" t="n">
        <v>2</v>
      </c>
      <c r="L631" s="46" t="n">
        <v>3.34</v>
      </c>
      <c r="M631" s="47" t="n">
        <v>1.58</v>
      </c>
      <c r="N631" s="46" t="n">
        <v>6.57</v>
      </c>
      <c r="O631" s="44" t="s">
        <v>309</v>
      </c>
      <c r="P631" s="44" t="s">
        <v>309</v>
      </c>
      <c r="Q631" s="44" t="s">
        <v>309</v>
      </c>
    </row>
    <row r="632" customFormat="false" ht="15" hidden="false" customHeight="false" outlineLevel="0" collapsed="false">
      <c r="A632" s="44" t="n">
        <v>631</v>
      </c>
      <c r="B632" s="45" t="n">
        <v>45436</v>
      </c>
      <c r="C632" s="44" t="n">
        <v>5</v>
      </c>
      <c r="D632" s="44" t="n">
        <v>2024</v>
      </c>
      <c r="E632" s="44" t="n">
        <v>24</v>
      </c>
      <c r="F632" s="44" t="s">
        <v>325</v>
      </c>
      <c r="G632" s="44" t="s">
        <v>497</v>
      </c>
      <c r="H632" s="44" t="s">
        <v>139</v>
      </c>
      <c r="I632" s="44" t="s">
        <v>173</v>
      </c>
      <c r="J632" s="44" t="s">
        <v>197</v>
      </c>
      <c r="K632" s="44" t="n">
        <v>1</v>
      </c>
      <c r="L632" s="46" t="n">
        <v>6.64</v>
      </c>
      <c r="M632" s="47" t="n">
        <v>0</v>
      </c>
      <c r="N632" s="46" t="n">
        <v>6.64</v>
      </c>
      <c r="O632" s="44" t="s">
        <v>309</v>
      </c>
      <c r="P632" s="44" t="s">
        <v>309</v>
      </c>
      <c r="Q632" s="44" t="s">
        <v>309</v>
      </c>
    </row>
    <row r="633" customFormat="false" ht="15" hidden="false" customHeight="false" outlineLevel="0" collapsed="false">
      <c r="A633" s="44" t="n">
        <v>632</v>
      </c>
      <c r="B633" s="45" t="n">
        <v>45311</v>
      </c>
      <c r="C633" s="44" t="n">
        <v>1</v>
      </c>
      <c r="D633" s="44" t="n">
        <v>2024</v>
      </c>
      <c r="E633" s="44" t="n">
        <v>20</v>
      </c>
      <c r="F633" s="44" t="s">
        <v>318</v>
      </c>
      <c r="G633" s="44" t="s">
        <v>432</v>
      </c>
      <c r="H633" s="44" t="s">
        <v>135</v>
      </c>
      <c r="I633" s="44" t="s">
        <v>173</v>
      </c>
      <c r="J633" s="44" t="s">
        <v>206</v>
      </c>
      <c r="K633" s="44" t="n">
        <v>1</v>
      </c>
      <c r="L633" s="46" t="n">
        <v>47.69</v>
      </c>
      <c r="M633" s="47" t="n">
        <v>0</v>
      </c>
      <c r="N633" s="46" t="n">
        <v>47.69</v>
      </c>
      <c r="O633" s="44" t="s">
        <v>309</v>
      </c>
      <c r="P633" s="44" t="s">
        <v>309</v>
      </c>
      <c r="Q633" s="44" t="s">
        <v>309</v>
      </c>
    </row>
    <row r="634" customFormat="false" ht="15" hidden="false" customHeight="false" outlineLevel="0" collapsed="false">
      <c r="A634" s="44" t="n">
        <v>633</v>
      </c>
      <c r="B634" s="45" t="n">
        <v>45507</v>
      </c>
      <c r="C634" s="44" t="n">
        <v>8</v>
      </c>
      <c r="D634" s="44" t="n">
        <v>2024</v>
      </c>
      <c r="E634" s="44" t="n">
        <v>3</v>
      </c>
      <c r="F634" s="44" t="s">
        <v>318</v>
      </c>
      <c r="G634" s="44" t="s">
        <v>388</v>
      </c>
      <c r="H634" s="44" t="s">
        <v>138</v>
      </c>
      <c r="I634" s="44" t="s">
        <v>172</v>
      </c>
      <c r="J634" s="44" t="s">
        <v>191</v>
      </c>
      <c r="K634" s="44" t="n">
        <v>2</v>
      </c>
      <c r="L634" s="46" t="n">
        <v>26.69</v>
      </c>
      <c r="M634" s="47" t="n">
        <v>1.905</v>
      </c>
      <c r="N634" s="46" t="n">
        <v>168.01</v>
      </c>
      <c r="O634" s="44" t="s">
        <v>308</v>
      </c>
      <c r="P634" s="44" t="s">
        <v>369</v>
      </c>
      <c r="Q634" s="44" t="s">
        <v>309</v>
      </c>
    </row>
    <row r="635" customFormat="false" ht="15" hidden="false" customHeight="false" outlineLevel="0" collapsed="false">
      <c r="A635" s="44" t="n">
        <v>634</v>
      </c>
      <c r="B635" s="45" t="n">
        <v>45466</v>
      </c>
      <c r="C635" s="44" t="n">
        <v>6</v>
      </c>
      <c r="D635" s="44" t="n">
        <v>2024</v>
      </c>
      <c r="E635" s="44" t="n">
        <v>23</v>
      </c>
      <c r="F635" s="44" t="s">
        <v>312</v>
      </c>
      <c r="G635" s="44" t="s">
        <v>510</v>
      </c>
      <c r="H635" s="44" t="s">
        <v>137</v>
      </c>
      <c r="I635" s="44" t="s">
        <v>173</v>
      </c>
      <c r="J635" s="44" t="s">
        <v>206</v>
      </c>
      <c r="K635" s="44" t="n">
        <v>2</v>
      </c>
      <c r="L635" s="46" t="n">
        <v>6</v>
      </c>
      <c r="M635" s="47" t="n">
        <v>0.67</v>
      </c>
      <c r="N635" s="46" t="n">
        <v>11.92</v>
      </c>
      <c r="O635" s="44" t="s">
        <v>309</v>
      </c>
      <c r="P635" s="44" t="s">
        <v>317</v>
      </c>
      <c r="Q635" s="44" t="s">
        <v>309</v>
      </c>
    </row>
    <row r="636" customFormat="false" ht="15" hidden="false" customHeight="false" outlineLevel="0" collapsed="false">
      <c r="A636" s="44" t="n">
        <v>635</v>
      </c>
      <c r="B636" s="45" t="n">
        <v>45645</v>
      </c>
      <c r="C636" s="44" t="n">
        <v>12</v>
      </c>
      <c r="D636" s="44" t="n">
        <v>2024</v>
      </c>
      <c r="E636" s="44" t="n">
        <v>19</v>
      </c>
      <c r="F636" s="44" t="s">
        <v>306</v>
      </c>
      <c r="G636" s="44" t="s">
        <v>320</v>
      </c>
      <c r="H636" s="44" t="s">
        <v>135</v>
      </c>
      <c r="I636" s="44" t="s">
        <v>175</v>
      </c>
      <c r="J636" s="44" t="s">
        <v>199</v>
      </c>
      <c r="K636" s="44" t="n">
        <v>6</v>
      </c>
      <c r="L636" s="46" t="n">
        <v>30.44</v>
      </c>
      <c r="M636" s="47" t="n">
        <v>9.68</v>
      </c>
      <c r="N636" s="46" t="n">
        <v>46.01</v>
      </c>
      <c r="O636" s="44" t="s">
        <v>308</v>
      </c>
      <c r="P636" s="44" t="s">
        <v>309</v>
      </c>
      <c r="Q636" s="44" t="s">
        <v>309</v>
      </c>
    </row>
    <row r="637" customFormat="false" ht="15" hidden="false" customHeight="false" outlineLevel="0" collapsed="false">
      <c r="A637" s="44" t="n">
        <v>636</v>
      </c>
      <c r="B637" s="45" t="n">
        <v>45417</v>
      </c>
      <c r="C637" s="44" t="n">
        <v>5</v>
      </c>
      <c r="D637" s="44" t="n">
        <v>2024</v>
      </c>
      <c r="E637" s="44" t="n">
        <v>5</v>
      </c>
      <c r="F637" s="44" t="s">
        <v>312</v>
      </c>
      <c r="G637" s="44" t="s">
        <v>490</v>
      </c>
      <c r="H637" s="44" t="s">
        <v>135</v>
      </c>
      <c r="I637" s="44" t="s">
        <v>174</v>
      </c>
      <c r="J637" s="44" t="s">
        <v>193</v>
      </c>
      <c r="K637" s="44" t="n">
        <v>1</v>
      </c>
      <c r="L637" s="46" t="n">
        <v>127.28</v>
      </c>
      <c r="M637" s="47" t="n">
        <v>1.03</v>
      </c>
      <c r="N637" s="46" t="n">
        <v>125.97</v>
      </c>
      <c r="O637" s="44" t="s">
        <v>309</v>
      </c>
      <c r="P637" s="44" t="s">
        <v>309</v>
      </c>
      <c r="Q637" s="44" t="s">
        <v>309</v>
      </c>
    </row>
    <row r="638" customFormat="false" ht="15" hidden="false" customHeight="false" outlineLevel="0" collapsed="false">
      <c r="A638" s="44" t="n">
        <v>637</v>
      </c>
      <c r="B638" s="45" t="n">
        <v>45551</v>
      </c>
      <c r="C638" s="44" t="n">
        <v>9</v>
      </c>
      <c r="D638" s="44" t="n">
        <v>2024</v>
      </c>
      <c r="E638" s="44" t="n">
        <v>16</v>
      </c>
      <c r="F638" s="44" t="s">
        <v>328</v>
      </c>
      <c r="G638" s="44" t="s">
        <v>366</v>
      </c>
      <c r="H638" s="44" t="s">
        <v>137</v>
      </c>
      <c r="I638" s="44" t="s">
        <v>172</v>
      </c>
      <c r="J638" s="44" t="s">
        <v>199</v>
      </c>
      <c r="K638" s="44" t="n">
        <v>3</v>
      </c>
      <c r="L638" s="46" t="n">
        <v>6.55</v>
      </c>
      <c r="M638" s="47" t="n">
        <v>4.84</v>
      </c>
      <c r="N638" s="46" t="n">
        <v>18.7</v>
      </c>
      <c r="O638" s="44" t="s">
        <v>309</v>
      </c>
      <c r="P638" s="44" t="s">
        <v>309</v>
      </c>
      <c r="Q638" s="44" t="s">
        <v>309</v>
      </c>
    </row>
    <row r="639" customFormat="false" ht="15" hidden="false" customHeight="false" outlineLevel="0" collapsed="false">
      <c r="A639" s="44" t="n">
        <v>638</v>
      </c>
      <c r="B639" s="45" t="n">
        <v>45614</v>
      </c>
      <c r="C639" s="44" t="n">
        <v>11</v>
      </c>
      <c r="D639" s="44" t="n">
        <v>2024</v>
      </c>
      <c r="E639" s="44" t="n">
        <v>18</v>
      </c>
      <c r="F639" s="44" t="s">
        <v>328</v>
      </c>
      <c r="G639" s="44" t="s">
        <v>313</v>
      </c>
      <c r="H639" s="44" t="s">
        <v>134</v>
      </c>
      <c r="I639" s="44" t="s">
        <v>173</v>
      </c>
      <c r="J639" s="44" t="s">
        <v>206</v>
      </c>
      <c r="K639" s="44" t="n">
        <v>1</v>
      </c>
      <c r="L639" s="46" t="n">
        <v>3.08</v>
      </c>
      <c r="M639" s="47" t="n">
        <v>0.1</v>
      </c>
      <c r="N639" s="46" t="n">
        <v>3.08</v>
      </c>
      <c r="O639" s="44" t="s">
        <v>309</v>
      </c>
      <c r="P639" s="44" t="s">
        <v>309</v>
      </c>
      <c r="Q639" s="44" t="s">
        <v>309</v>
      </c>
    </row>
    <row r="640" customFormat="false" ht="15" hidden="false" customHeight="false" outlineLevel="0" collapsed="false">
      <c r="A640" s="44" t="n">
        <v>639</v>
      </c>
      <c r="B640" s="45" t="n">
        <v>45655</v>
      </c>
      <c r="C640" s="44" t="n">
        <v>12</v>
      </c>
      <c r="D640" s="44" t="n">
        <v>2024</v>
      </c>
      <c r="E640" s="44" t="n">
        <v>29</v>
      </c>
      <c r="F640" s="44" t="s">
        <v>312</v>
      </c>
      <c r="G640" s="44" t="s">
        <v>436</v>
      </c>
      <c r="H640" s="44" t="s">
        <v>136</v>
      </c>
      <c r="I640" s="44" t="s">
        <v>172</v>
      </c>
      <c r="J640" s="44" t="s">
        <v>206</v>
      </c>
      <c r="K640" s="44" t="n">
        <v>2</v>
      </c>
      <c r="L640" s="46" t="n">
        <v>55.41</v>
      </c>
      <c r="M640" s="47" t="n">
        <v>0.21</v>
      </c>
      <c r="N640" s="46" t="n">
        <v>110.59</v>
      </c>
      <c r="O640" s="44" t="s">
        <v>309</v>
      </c>
      <c r="P640" s="44" t="s">
        <v>309</v>
      </c>
      <c r="Q640" s="44" t="s">
        <v>309</v>
      </c>
    </row>
    <row r="641" customFormat="false" ht="15" hidden="false" customHeight="false" outlineLevel="0" collapsed="false">
      <c r="A641" s="44" t="n">
        <v>640</v>
      </c>
      <c r="B641" s="45" t="n">
        <v>45523</v>
      </c>
      <c r="C641" s="44" t="n">
        <v>8</v>
      </c>
      <c r="D641" s="44" t="n">
        <v>2024</v>
      </c>
      <c r="E641" s="44" t="n">
        <v>19</v>
      </c>
      <c r="F641" s="44" t="s">
        <v>328</v>
      </c>
      <c r="G641" s="44" t="s">
        <v>326</v>
      </c>
      <c r="H641" s="44" t="s">
        <v>137</v>
      </c>
      <c r="I641" s="44" t="s">
        <v>173</v>
      </c>
      <c r="J641" s="44" t="s">
        <v>191</v>
      </c>
      <c r="K641" s="44" t="n">
        <v>2</v>
      </c>
      <c r="L641" s="46" t="n">
        <v>28.2</v>
      </c>
      <c r="M641" s="47" t="n">
        <v>2.77</v>
      </c>
      <c r="N641" s="46" t="n">
        <v>33.33</v>
      </c>
      <c r="O641" s="44" t="s">
        <v>308</v>
      </c>
      <c r="P641" s="44" t="s">
        <v>309</v>
      </c>
      <c r="Q641" s="44" t="s">
        <v>309</v>
      </c>
    </row>
    <row r="642" customFormat="false" ht="15" hidden="false" customHeight="false" outlineLevel="0" collapsed="false">
      <c r="A642" s="44" t="n">
        <v>641</v>
      </c>
      <c r="B642" s="45" t="n">
        <v>45512</v>
      </c>
      <c r="C642" s="44" t="n">
        <v>8</v>
      </c>
      <c r="D642" s="44" t="n">
        <v>2024</v>
      </c>
      <c r="E642" s="44" t="n">
        <v>8</v>
      </c>
      <c r="F642" s="44" t="s">
        <v>306</v>
      </c>
      <c r="G642" s="44" t="s">
        <v>307</v>
      </c>
      <c r="H642" s="44" t="s">
        <v>135</v>
      </c>
      <c r="I642" s="44" t="s">
        <v>174</v>
      </c>
      <c r="J642" s="44" t="s">
        <v>191</v>
      </c>
      <c r="K642" s="44" t="n">
        <v>10</v>
      </c>
      <c r="L642" s="46" t="n">
        <v>10</v>
      </c>
      <c r="M642" s="47" t="n">
        <v>12.97</v>
      </c>
      <c r="N642" s="46" t="n">
        <v>87.03</v>
      </c>
      <c r="O642" s="44" t="s">
        <v>309</v>
      </c>
      <c r="P642" s="44" t="s">
        <v>317</v>
      </c>
      <c r="Q642" s="44" t="s">
        <v>309</v>
      </c>
    </row>
    <row r="643" customFormat="false" ht="15" hidden="false" customHeight="false" outlineLevel="0" collapsed="false">
      <c r="A643" s="44" t="n">
        <v>642</v>
      </c>
      <c r="B643" s="45" t="n">
        <v>45439</v>
      </c>
      <c r="C643" s="44" t="n">
        <v>5</v>
      </c>
      <c r="D643" s="44" t="n">
        <v>2024</v>
      </c>
      <c r="E643" s="44" t="n">
        <v>27</v>
      </c>
      <c r="F643" s="44" t="s">
        <v>328</v>
      </c>
      <c r="G643" s="44" t="s">
        <v>336</v>
      </c>
      <c r="H643" s="44" t="s">
        <v>134</v>
      </c>
      <c r="I643" s="44" t="s">
        <v>174</v>
      </c>
      <c r="J643" s="44" t="s">
        <v>194</v>
      </c>
      <c r="K643" s="44" t="n">
        <v>1</v>
      </c>
      <c r="L643" s="46" t="n">
        <v>19.35</v>
      </c>
      <c r="M643" s="47" t="n">
        <v>0.58</v>
      </c>
      <c r="N643" s="46" t="n">
        <v>19.24</v>
      </c>
      <c r="O643" s="44" t="s">
        <v>309</v>
      </c>
      <c r="P643" s="44" t="s">
        <v>309</v>
      </c>
      <c r="Q643" s="44" t="s">
        <v>309</v>
      </c>
    </row>
    <row r="644" customFormat="false" ht="15" hidden="false" customHeight="false" outlineLevel="0" collapsed="false">
      <c r="A644" s="44" t="n">
        <v>643</v>
      </c>
      <c r="B644" s="45" t="n">
        <v>45454</v>
      </c>
      <c r="C644" s="44" t="n">
        <v>6</v>
      </c>
      <c r="D644" s="44" t="n">
        <v>2024</v>
      </c>
      <c r="E644" s="44" t="n">
        <v>11</v>
      </c>
      <c r="F644" s="44" t="s">
        <v>310</v>
      </c>
      <c r="G644" s="44" t="s">
        <v>549</v>
      </c>
      <c r="H644" s="44" t="s">
        <v>134</v>
      </c>
      <c r="I644" s="44" t="s">
        <v>174</v>
      </c>
      <c r="J644" s="44" t="s">
        <v>192</v>
      </c>
      <c r="K644" s="44" t="n">
        <v>3</v>
      </c>
      <c r="L644" s="46" t="n">
        <v>5.06</v>
      </c>
      <c r="M644" s="47" t="n">
        <v>4.39</v>
      </c>
      <c r="N644" s="46" t="n">
        <v>14.51</v>
      </c>
      <c r="O644" s="44" t="s">
        <v>309</v>
      </c>
      <c r="P644" s="44" t="s">
        <v>309</v>
      </c>
      <c r="Q644" s="44" t="s">
        <v>309</v>
      </c>
    </row>
    <row r="645" customFormat="false" ht="15" hidden="false" customHeight="false" outlineLevel="0" collapsed="false">
      <c r="A645" s="44" t="n">
        <v>644</v>
      </c>
      <c r="B645" s="45" t="n">
        <v>45616</v>
      </c>
      <c r="C645" s="44" t="n">
        <v>11</v>
      </c>
      <c r="D645" s="44" t="n">
        <v>2024</v>
      </c>
      <c r="E645" s="44" t="n">
        <v>20</v>
      </c>
      <c r="F645" s="44" t="s">
        <v>321</v>
      </c>
      <c r="G645" s="44" t="s">
        <v>401</v>
      </c>
      <c r="H645" s="44" t="s">
        <v>136</v>
      </c>
      <c r="I645" s="44" t="s">
        <v>172</v>
      </c>
      <c r="J645" s="44" t="s">
        <v>192</v>
      </c>
      <c r="K645" s="44" t="n">
        <v>1</v>
      </c>
      <c r="L645" s="46" t="n">
        <v>35.92</v>
      </c>
      <c r="M645" s="47" t="n">
        <v>0.03</v>
      </c>
      <c r="N645" s="46" t="n">
        <v>35.91</v>
      </c>
      <c r="O645" s="44" t="s">
        <v>309</v>
      </c>
      <c r="P645" s="44" t="s">
        <v>317</v>
      </c>
      <c r="Q645" s="44" t="s">
        <v>309</v>
      </c>
    </row>
    <row r="646" customFormat="false" ht="15" hidden="false" customHeight="false" outlineLevel="0" collapsed="false">
      <c r="A646" s="44" t="n">
        <v>645</v>
      </c>
      <c r="B646" s="45" t="n">
        <v>45579</v>
      </c>
      <c r="C646" s="44" t="n">
        <v>10</v>
      </c>
      <c r="D646" s="44" t="n">
        <v>2024</v>
      </c>
      <c r="E646" s="44" t="n">
        <v>14</v>
      </c>
      <c r="F646" s="44" t="s">
        <v>328</v>
      </c>
      <c r="G646" s="44" t="s">
        <v>467</v>
      </c>
      <c r="H646" s="44" t="s">
        <v>136</v>
      </c>
      <c r="I646" s="44" t="s">
        <v>176</v>
      </c>
      <c r="J646" s="44" t="s">
        <v>197</v>
      </c>
      <c r="K646" s="44" t="n">
        <v>2</v>
      </c>
      <c r="L646" s="46" t="n">
        <v>141.76</v>
      </c>
      <c r="M646" s="47" t="n">
        <v>1.53</v>
      </c>
      <c r="N646" s="46" t="n">
        <v>279.18</v>
      </c>
      <c r="O646" s="44" t="s">
        <v>309</v>
      </c>
      <c r="P646" s="44" t="s">
        <v>309</v>
      </c>
      <c r="Q646" s="44" t="s">
        <v>309</v>
      </c>
    </row>
    <row r="647" customFormat="false" ht="15" hidden="false" customHeight="false" outlineLevel="0" collapsed="false">
      <c r="A647" s="44" t="n">
        <v>646</v>
      </c>
      <c r="B647" s="45" t="n">
        <v>45613</v>
      </c>
      <c r="C647" s="44" t="n">
        <v>11</v>
      </c>
      <c r="D647" s="44" t="n">
        <v>2024</v>
      </c>
      <c r="E647" s="44" t="n">
        <v>17</v>
      </c>
      <c r="F647" s="44" t="s">
        <v>312</v>
      </c>
      <c r="G647" s="44" t="s">
        <v>351</v>
      </c>
      <c r="H647" s="44" t="s">
        <v>139</v>
      </c>
      <c r="I647" s="44" t="s">
        <v>174</v>
      </c>
      <c r="J647" s="44" t="s">
        <v>206</v>
      </c>
      <c r="K647" s="44" t="n">
        <v>2</v>
      </c>
      <c r="L647" s="46" t="n">
        <v>30.6</v>
      </c>
      <c r="M647" s="47" t="n">
        <v>0.62</v>
      </c>
      <c r="N647" s="46" t="n">
        <v>60.82</v>
      </c>
      <c r="O647" s="44" t="s">
        <v>309</v>
      </c>
      <c r="P647" s="44" t="s">
        <v>317</v>
      </c>
      <c r="Q647" s="44" t="s">
        <v>309</v>
      </c>
    </row>
    <row r="648" customFormat="false" ht="15" hidden="false" customHeight="false" outlineLevel="0" collapsed="false">
      <c r="A648" s="44" t="n">
        <v>647</v>
      </c>
      <c r="B648" s="45" t="n">
        <v>45564</v>
      </c>
      <c r="C648" s="44" t="n">
        <v>9</v>
      </c>
      <c r="D648" s="44" t="n">
        <v>2024</v>
      </c>
      <c r="E648" s="44" t="n">
        <v>29</v>
      </c>
      <c r="F648" s="44" t="s">
        <v>312</v>
      </c>
      <c r="G648" s="44" t="s">
        <v>546</v>
      </c>
      <c r="H648" s="44" t="s">
        <v>135</v>
      </c>
      <c r="I648" s="44" t="s">
        <v>176</v>
      </c>
      <c r="J648" s="44" t="s">
        <v>191</v>
      </c>
      <c r="K648" s="44" t="n">
        <v>1</v>
      </c>
      <c r="L648" s="46" t="n">
        <v>3.23</v>
      </c>
      <c r="M648" s="47" t="n">
        <v>1.44</v>
      </c>
      <c r="N648" s="46" t="n">
        <v>3.18</v>
      </c>
      <c r="O648" s="44" t="s">
        <v>309</v>
      </c>
      <c r="P648" s="44" t="s">
        <v>309</v>
      </c>
      <c r="Q648" s="44" t="s">
        <v>309</v>
      </c>
    </row>
    <row r="649" customFormat="false" ht="15" hidden="false" customHeight="false" outlineLevel="0" collapsed="false">
      <c r="A649" s="44" t="n">
        <v>648</v>
      </c>
      <c r="B649" s="45" t="n">
        <v>45581</v>
      </c>
      <c r="C649" s="44" t="n">
        <v>10</v>
      </c>
      <c r="D649" s="44" t="n">
        <v>2024</v>
      </c>
      <c r="E649" s="44" t="n">
        <v>16</v>
      </c>
      <c r="F649" s="44" t="s">
        <v>321</v>
      </c>
      <c r="G649" s="44" t="s">
        <v>511</v>
      </c>
      <c r="H649" s="44" t="s">
        <v>137</v>
      </c>
      <c r="I649" s="44" t="s">
        <v>173</v>
      </c>
      <c r="J649" s="44" t="s">
        <v>194</v>
      </c>
      <c r="K649" s="44" t="n">
        <v>2</v>
      </c>
      <c r="L649" s="46" t="n">
        <v>53.39</v>
      </c>
      <c r="M649" s="47" t="n">
        <v>1.53</v>
      </c>
      <c r="N649" s="46" t="n">
        <v>105.15</v>
      </c>
      <c r="O649" s="44" t="s">
        <v>309</v>
      </c>
      <c r="P649" s="44" t="s">
        <v>309</v>
      </c>
      <c r="Q649" s="44" t="s">
        <v>309</v>
      </c>
    </row>
    <row r="650" customFormat="false" ht="15" hidden="false" customHeight="false" outlineLevel="0" collapsed="false">
      <c r="A650" s="44" t="n">
        <v>649</v>
      </c>
      <c r="B650" s="45" t="n">
        <v>45294</v>
      </c>
      <c r="C650" s="44" t="n">
        <v>1</v>
      </c>
      <c r="D650" s="44" t="n">
        <v>2024</v>
      </c>
      <c r="E650" s="44" t="n">
        <v>3</v>
      </c>
      <c r="F650" s="44" t="s">
        <v>321</v>
      </c>
      <c r="G650" s="44" t="s">
        <v>448</v>
      </c>
      <c r="H650" s="44" t="s">
        <v>139</v>
      </c>
      <c r="I650" s="44" t="s">
        <v>173</v>
      </c>
      <c r="J650" s="44" t="s">
        <v>192</v>
      </c>
      <c r="K650" s="44" t="n">
        <v>2</v>
      </c>
      <c r="L650" s="46" t="n">
        <v>18.33</v>
      </c>
      <c r="M650" s="47" t="n">
        <v>2.5</v>
      </c>
      <c r="N650" s="46" t="n">
        <v>35.74</v>
      </c>
      <c r="O650" s="44" t="s">
        <v>309</v>
      </c>
      <c r="P650" s="44" t="s">
        <v>309</v>
      </c>
      <c r="Q650" s="44" t="s">
        <v>309</v>
      </c>
    </row>
    <row r="651" customFormat="false" ht="15" hidden="false" customHeight="false" outlineLevel="0" collapsed="false">
      <c r="A651" s="44" t="n">
        <v>650</v>
      </c>
      <c r="B651" s="45" t="n">
        <v>45547</v>
      </c>
      <c r="C651" s="44" t="n">
        <v>9</v>
      </c>
      <c r="D651" s="44" t="n">
        <v>2024</v>
      </c>
      <c r="E651" s="44" t="n">
        <v>12</v>
      </c>
      <c r="F651" s="44" t="s">
        <v>306</v>
      </c>
      <c r="G651" s="44" t="s">
        <v>378</v>
      </c>
      <c r="H651" s="44" t="s">
        <v>138</v>
      </c>
      <c r="I651" s="44" t="s">
        <v>176</v>
      </c>
      <c r="J651" s="44" t="s">
        <v>196</v>
      </c>
      <c r="K651" s="44" t="n">
        <v>1</v>
      </c>
      <c r="L651" s="46" t="n">
        <v>3.5</v>
      </c>
      <c r="M651" s="47" t="n">
        <v>0.86</v>
      </c>
      <c r="N651" s="46" t="n">
        <v>3.47</v>
      </c>
      <c r="O651" s="44" t="s">
        <v>309</v>
      </c>
      <c r="P651" s="44" t="s">
        <v>317</v>
      </c>
      <c r="Q651" s="44" t="s">
        <v>309</v>
      </c>
    </row>
    <row r="652" customFormat="false" ht="15" hidden="false" customHeight="false" outlineLevel="0" collapsed="false">
      <c r="A652" s="44" t="n">
        <v>651</v>
      </c>
      <c r="B652" s="45" t="n">
        <v>45628</v>
      </c>
      <c r="C652" s="44" t="n">
        <v>12</v>
      </c>
      <c r="D652" s="44" t="n">
        <v>2024</v>
      </c>
      <c r="E652" s="44" t="n">
        <v>2</v>
      </c>
      <c r="F652" s="44" t="s">
        <v>328</v>
      </c>
      <c r="G652" s="44" t="s">
        <v>419</v>
      </c>
      <c r="H652" s="44" t="s">
        <v>134</v>
      </c>
      <c r="I652" s="44" t="s">
        <v>176</v>
      </c>
      <c r="J652" s="44" t="s">
        <v>206</v>
      </c>
      <c r="K652" s="44" t="n">
        <v>1</v>
      </c>
      <c r="L652" s="46" t="n">
        <v>228.99</v>
      </c>
      <c r="M652" s="47" t="n">
        <v>0</v>
      </c>
      <c r="N652" s="46" t="n">
        <v>228.99</v>
      </c>
      <c r="O652" s="44" t="s">
        <v>309</v>
      </c>
      <c r="P652" s="44" t="s">
        <v>309</v>
      </c>
      <c r="Q652" s="44" t="s">
        <v>309</v>
      </c>
    </row>
    <row r="653" customFormat="false" ht="15" hidden="false" customHeight="false" outlineLevel="0" collapsed="false">
      <c r="A653" s="44" t="n">
        <v>652</v>
      </c>
      <c r="B653" s="45" t="n">
        <v>45499</v>
      </c>
      <c r="C653" s="44" t="n">
        <v>7</v>
      </c>
      <c r="D653" s="44" t="n">
        <v>2024</v>
      </c>
      <c r="E653" s="44" t="n">
        <v>26</v>
      </c>
      <c r="F653" s="44" t="s">
        <v>325</v>
      </c>
      <c r="G653" s="44" t="s">
        <v>358</v>
      </c>
      <c r="H653" s="44" t="s">
        <v>136</v>
      </c>
      <c r="I653" s="44" t="s">
        <v>173</v>
      </c>
      <c r="J653" s="44" t="s">
        <v>191</v>
      </c>
      <c r="K653" s="44" t="n">
        <v>3</v>
      </c>
      <c r="L653" s="46" t="n">
        <v>21.67</v>
      </c>
      <c r="M653" s="47" t="n">
        <v>2.15</v>
      </c>
      <c r="N653" s="46" t="n">
        <v>307.23</v>
      </c>
      <c r="O653" s="44" t="s">
        <v>308</v>
      </c>
      <c r="P653" s="44" t="s">
        <v>309</v>
      </c>
      <c r="Q653" s="44" t="s">
        <v>309</v>
      </c>
    </row>
    <row r="654" customFormat="false" ht="15" hidden="false" customHeight="false" outlineLevel="0" collapsed="false">
      <c r="A654" s="44" t="n">
        <v>653</v>
      </c>
      <c r="B654" s="45" t="n">
        <v>45530</v>
      </c>
      <c r="C654" s="44" t="n">
        <v>8</v>
      </c>
      <c r="D654" s="44" t="n">
        <v>2024</v>
      </c>
      <c r="E654" s="44" t="n">
        <v>26</v>
      </c>
      <c r="F654" s="44" t="s">
        <v>328</v>
      </c>
      <c r="G654" s="44" t="s">
        <v>335</v>
      </c>
      <c r="H654" s="44" t="s">
        <v>134</v>
      </c>
      <c r="I654" s="44" t="s">
        <v>176</v>
      </c>
      <c r="J654" s="44" t="s">
        <v>194</v>
      </c>
      <c r="K654" s="44" t="n">
        <v>3</v>
      </c>
      <c r="L654" s="46" t="n">
        <v>38.89</v>
      </c>
      <c r="M654" s="47" t="n">
        <v>4.38</v>
      </c>
      <c r="N654" s="46" t="n">
        <v>111.56</v>
      </c>
      <c r="O654" s="44" t="s">
        <v>309</v>
      </c>
      <c r="P654" s="44" t="s">
        <v>309</v>
      </c>
      <c r="Q654" s="44" t="s">
        <v>309</v>
      </c>
    </row>
    <row r="655" customFormat="false" ht="15" hidden="false" customHeight="false" outlineLevel="0" collapsed="false">
      <c r="A655" s="44" t="n">
        <v>654</v>
      </c>
      <c r="B655" s="45" t="n">
        <v>45439</v>
      </c>
      <c r="C655" s="44" t="n">
        <v>5</v>
      </c>
      <c r="D655" s="44" t="n">
        <v>2024</v>
      </c>
      <c r="E655" s="44" t="n">
        <v>27</v>
      </c>
      <c r="F655" s="44" t="s">
        <v>328</v>
      </c>
      <c r="G655" s="44" t="s">
        <v>518</v>
      </c>
      <c r="H655" s="44" t="s">
        <v>136</v>
      </c>
      <c r="I655" s="44" t="s">
        <v>172</v>
      </c>
      <c r="J655" s="44" t="s">
        <v>193</v>
      </c>
      <c r="K655" s="44" t="n">
        <v>1</v>
      </c>
      <c r="L655" s="46" t="n">
        <v>21.67</v>
      </c>
      <c r="M655" s="47" t="n">
        <v>0</v>
      </c>
      <c r="N655" s="46" t="n">
        <v>98.73</v>
      </c>
      <c r="O655" s="44" t="s">
        <v>308</v>
      </c>
      <c r="P655" s="44" t="s">
        <v>309</v>
      </c>
      <c r="Q655" s="44" t="s">
        <v>309</v>
      </c>
    </row>
    <row r="656" customFormat="false" ht="15" hidden="false" customHeight="false" outlineLevel="0" collapsed="false">
      <c r="A656" s="44" t="n">
        <v>655</v>
      </c>
      <c r="B656" s="45" t="n">
        <v>45473</v>
      </c>
      <c r="C656" s="44" t="n">
        <v>6</v>
      </c>
      <c r="D656" s="44" t="n">
        <v>2024</v>
      </c>
      <c r="E656" s="44" t="n">
        <v>30</v>
      </c>
      <c r="F656" s="44" t="s">
        <v>312</v>
      </c>
      <c r="G656" s="44" t="s">
        <v>442</v>
      </c>
      <c r="H656" s="44" t="s">
        <v>137</v>
      </c>
      <c r="I656" s="44" t="s">
        <v>173</v>
      </c>
      <c r="J656" s="44" t="s">
        <v>206</v>
      </c>
      <c r="K656" s="44" t="n">
        <v>1</v>
      </c>
      <c r="L656" s="46" t="n">
        <v>25.21</v>
      </c>
      <c r="M656" s="47" t="n">
        <v>0.07</v>
      </c>
      <c r="N656" s="46" t="n">
        <v>25.19</v>
      </c>
      <c r="O656" s="44" t="s">
        <v>309</v>
      </c>
      <c r="P656" s="44" t="s">
        <v>309</v>
      </c>
      <c r="Q656" s="44" t="s">
        <v>309</v>
      </c>
    </row>
    <row r="657" customFormat="false" ht="15" hidden="false" customHeight="false" outlineLevel="0" collapsed="false">
      <c r="A657" s="44" t="n">
        <v>656</v>
      </c>
      <c r="B657" s="45" t="n">
        <v>45582</v>
      </c>
      <c r="C657" s="44" t="n">
        <v>10</v>
      </c>
      <c r="D657" s="44" t="n">
        <v>2024</v>
      </c>
      <c r="E657" s="44" t="n">
        <v>17</v>
      </c>
      <c r="F657" s="44" t="s">
        <v>306</v>
      </c>
      <c r="G657" s="44" t="s">
        <v>378</v>
      </c>
      <c r="H657" s="44" t="s">
        <v>139</v>
      </c>
      <c r="I657" s="44" t="s">
        <v>174</v>
      </c>
      <c r="J657" s="44" t="s">
        <v>191</v>
      </c>
      <c r="K657" s="44" t="n">
        <v>2</v>
      </c>
      <c r="L657" s="46" t="n">
        <v>18.33</v>
      </c>
      <c r="M657" s="47" t="n">
        <v>2.48</v>
      </c>
      <c r="N657" s="46" t="n">
        <v>3</v>
      </c>
      <c r="O657" s="44" t="s">
        <v>308</v>
      </c>
      <c r="P657" s="44" t="s">
        <v>309</v>
      </c>
      <c r="Q657" s="44" t="s">
        <v>309</v>
      </c>
    </row>
    <row r="658" customFormat="false" ht="15" hidden="false" customHeight="false" outlineLevel="0" collapsed="false">
      <c r="A658" s="44" t="n">
        <v>657</v>
      </c>
      <c r="B658" s="45" t="n">
        <v>45542</v>
      </c>
      <c r="C658" s="44" t="n">
        <v>9</v>
      </c>
      <c r="D658" s="44" t="n">
        <v>2024</v>
      </c>
      <c r="E658" s="44" t="n">
        <v>7</v>
      </c>
      <c r="F658" s="44" t="s">
        <v>318</v>
      </c>
      <c r="G658" s="44" t="s">
        <v>362</v>
      </c>
      <c r="H658" s="44" t="s">
        <v>136</v>
      </c>
      <c r="I658" s="44" t="s">
        <v>176</v>
      </c>
      <c r="J658" s="44" t="s">
        <v>205</v>
      </c>
      <c r="K658" s="44" t="n">
        <v>2</v>
      </c>
      <c r="L658" s="46" t="n">
        <v>4</v>
      </c>
      <c r="M658" s="47" t="n">
        <v>0.76</v>
      </c>
      <c r="N658" s="46" t="n">
        <v>7.94</v>
      </c>
      <c r="O658" s="44" t="s">
        <v>309</v>
      </c>
      <c r="P658" s="44" t="s">
        <v>309</v>
      </c>
      <c r="Q658" s="44" t="s">
        <v>309</v>
      </c>
    </row>
    <row r="659" customFormat="false" ht="15" hidden="false" customHeight="false" outlineLevel="0" collapsed="false">
      <c r="A659" s="44" t="n">
        <v>658</v>
      </c>
      <c r="B659" s="45" t="n">
        <v>45550</v>
      </c>
      <c r="C659" s="44" t="n">
        <v>9</v>
      </c>
      <c r="D659" s="44" t="n">
        <v>2024</v>
      </c>
      <c r="E659" s="44" t="n">
        <v>15</v>
      </c>
      <c r="F659" s="44" t="s">
        <v>312</v>
      </c>
      <c r="G659" s="44" t="s">
        <v>326</v>
      </c>
      <c r="H659" s="44" t="s">
        <v>139</v>
      </c>
      <c r="I659" s="44" t="s">
        <v>173</v>
      </c>
      <c r="J659" s="44" t="s">
        <v>195</v>
      </c>
      <c r="K659" s="44" t="n">
        <v>3</v>
      </c>
      <c r="L659" s="46" t="n">
        <v>18.33</v>
      </c>
      <c r="M659" s="47" t="n">
        <v>3.74</v>
      </c>
      <c r="N659" s="46" t="n">
        <v>9.93</v>
      </c>
      <c r="O659" s="44" t="s">
        <v>308</v>
      </c>
      <c r="P659" s="44" t="s">
        <v>309</v>
      </c>
      <c r="Q659" s="44" t="s">
        <v>309</v>
      </c>
    </row>
    <row r="660" customFormat="false" ht="15" hidden="false" customHeight="false" outlineLevel="0" collapsed="false">
      <c r="A660" s="44" t="n">
        <v>659</v>
      </c>
      <c r="B660" s="45" t="n">
        <v>45645</v>
      </c>
      <c r="C660" s="44" t="n">
        <v>12</v>
      </c>
      <c r="D660" s="44" t="n">
        <v>2024</v>
      </c>
      <c r="E660" s="44" t="n">
        <v>19</v>
      </c>
      <c r="F660" s="44" t="s">
        <v>306</v>
      </c>
      <c r="G660" s="44" t="s">
        <v>422</v>
      </c>
      <c r="H660" s="44" t="s">
        <v>137</v>
      </c>
      <c r="I660" s="44" t="s">
        <v>172</v>
      </c>
      <c r="J660" s="44" t="s">
        <v>204</v>
      </c>
      <c r="K660" s="44" t="n">
        <v>2</v>
      </c>
      <c r="L660" s="46" t="n">
        <v>168.9</v>
      </c>
      <c r="M660" s="47" t="n">
        <v>2.48</v>
      </c>
      <c r="N660" s="46" t="n">
        <v>329.42</v>
      </c>
      <c r="O660" s="44" t="s">
        <v>309</v>
      </c>
      <c r="P660" s="44" t="s">
        <v>309</v>
      </c>
      <c r="Q660" s="44" t="s">
        <v>309</v>
      </c>
    </row>
    <row r="661" customFormat="false" ht="15" hidden="false" customHeight="false" outlineLevel="0" collapsed="false">
      <c r="A661" s="44" t="n">
        <v>660</v>
      </c>
      <c r="B661" s="45" t="n">
        <v>45640</v>
      </c>
      <c r="C661" s="44" t="n">
        <v>12</v>
      </c>
      <c r="D661" s="44" t="n">
        <v>2024</v>
      </c>
      <c r="E661" s="44" t="n">
        <v>14</v>
      </c>
      <c r="F661" s="44" t="s">
        <v>318</v>
      </c>
      <c r="G661" s="44" t="s">
        <v>420</v>
      </c>
      <c r="H661" s="44" t="s">
        <v>134</v>
      </c>
      <c r="I661" s="44" t="s">
        <v>174</v>
      </c>
      <c r="J661" s="44" t="s">
        <v>194</v>
      </c>
      <c r="K661" s="44" t="n">
        <v>3</v>
      </c>
      <c r="L661" s="46" t="n">
        <v>185.56</v>
      </c>
      <c r="M661" s="47" t="n">
        <v>1.92</v>
      </c>
      <c r="N661" s="46" t="n">
        <v>545.99</v>
      </c>
      <c r="O661" s="44" t="s">
        <v>309</v>
      </c>
      <c r="P661" s="44" t="s">
        <v>309</v>
      </c>
      <c r="Q661" s="44" t="s">
        <v>309</v>
      </c>
    </row>
    <row r="662" customFormat="false" ht="15" hidden="false" customHeight="false" outlineLevel="0" collapsed="false">
      <c r="A662" s="44" t="n">
        <v>661</v>
      </c>
      <c r="B662" s="45" t="n">
        <v>45299</v>
      </c>
      <c r="C662" s="44" t="n">
        <v>1</v>
      </c>
      <c r="D662" s="44" t="n">
        <v>2024</v>
      </c>
      <c r="E662" s="44" t="n">
        <v>8</v>
      </c>
      <c r="F662" s="44" t="s">
        <v>328</v>
      </c>
      <c r="G662" s="44" t="s">
        <v>430</v>
      </c>
      <c r="H662" s="44" t="s">
        <v>134</v>
      </c>
      <c r="I662" s="44" t="s">
        <v>172</v>
      </c>
      <c r="J662" s="44" t="s">
        <v>199</v>
      </c>
      <c r="K662" s="44" t="n">
        <v>1</v>
      </c>
      <c r="L662" s="46" t="n">
        <v>29.18</v>
      </c>
      <c r="M662" s="47" t="n">
        <v>0</v>
      </c>
      <c r="N662" s="46" t="n">
        <v>11.76</v>
      </c>
      <c r="O662" s="44" t="s">
        <v>308</v>
      </c>
      <c r="P662" s="44" t="s">
        <v>309</v>
      </c>
      <c r="Q662" s="44" t="s">
        <v>309</v>
      </c>
    </row>
    <row r="663" customFormat="false" ht="15" hidden="false" customHeight="false" outlineLevel="0" collapsed="false">
      <c r="A663" s="44" t="n">
        <v>662</v>
      </c>
      <c r="B663" s="45" t="n">
        <v>45462</v>
      </c>
      <c r="C663" s="44" t="n">
        <v>6</v>
      </c>
      <c r="D663" s="44" t="n">
        <v>2024</v>
      </c>
      <c r="E663" s="44" t="n">
        <v>19</v>
      </c>
      <c r="F663" s="44" t="s">
        <v>321</v>
      </c>
      <c r="G663" s="44" t="s">
        <v>362</v>
      </c>
      <c r="H663" s="44" t="s">
        <v>137</v>
      </c>
      <c r="I663" s="44" t="s">
        <v>173</v>
      </c>
      <c r="J663" s="44" t="s">
        <v>191</v>
      </c>
      <c r="K663" s="44" t="n">
        <v>3</v>
      </c>
      <c r="L663" s="46" t="n">
        <v>76.59</v>
      </c>
      <c r="M663" s="47" t="n">
        <v>3.46</v>
      </c>
      <c r="N663" s="46" t="n">
        <v>221.82</v>
      </c>
      <c r="O663" s="44" t="s">
        <v>309</v>
      </c>
      <c r="P663" s="44" t="s">
        <v>317</v>
      </c>
      <c r="Q663" s="44" t="s">
        <v>309</v>
      </c>
    </row>
    <row r="664" customFormat="false" ht="15" hidden="false" customHeight="false" outlineLevel="0" collapsed="false">
      <c r="A664" s="44" t="n">
        <v>663</v>
      </c>
      <c r="B664" s="45" t="n">
        <v>45496</v>
      </c>
      <c r="C664" s="44" t="n">
        <v>7</v>
      </c>
      <c r="D664" s="44" t="n">
        <v>2024</v>
      </c>
      <c r="E664" s="44" t="n">
        <v>23</v>
      </c>
      <c r="F664" s="44" t="s">
        <v>310</v>
      </c>
      <c r="G664" s="44" t="s">
        <v>334</v>
      </c>
      <c r="H664" s="44" t="s">
        <v>135</v>
      </c>
      <c r="I664" s="44" t="s">
        <v>173</v>
      </c>
      <c r="J664" s="44" t="s">
        <v>206</v>
      </c>
      <c r="K664" s="44" t="n">
        <v>2</v>
      </c>
      <c r="L664" s="46" t="n">
        <v>29.06</v>
      </c>
      <c r="M664" s="47" t="n">
        <v>1.39</v>
      </c>
      <c r="N664" s="46" t="n">
        <v>57.31</v>
      </c>
      <c r="O664" s="44" t="s">
        <v>309</v>
      </c>
      <c r="P664" s="44" t="s">
        <v>309</v>
      </c>
      <c r="Q664" s="44" t="s">
        <v>309</v>
      </c>
    </row>
    <row r="665" customFormat="false" ht="15" hidden="false" customHeight="false" outlineLevel="0" collapsed="false">
      <c r="A665" s="44" t="n">
        <v>664</v>
      </c>
      <c r="B665" s="45" t="n">
        <v>45623</v>
      </c>
      <c r="C665" s="44" t="n">
        <v>11</v>
      </c>
      <c r="D665" s="44" t="n">
        <v>2024</v>
      </c>
      <c r="E665" s="44" t="n">
        <v>27</v>
      </c>
      <c r="F665" s="44" t="s">
        <v>321</v>
      </c>
      <c r="G665" s="44" t="s">
        <v>541</v>
      </c>
      <c r="H665" s="44" t="s">
        <v>135</v>
      </c>
      <c r="I665" s="44" t="s">
        <v>172</v>
      </c>
      <c r="J665" s="44" t="s">
        <v>191</v>
      </c>
      <c r="K665" s="44" t="n">
        <v>2</v>
      </c>
      <c r="L665" s="46" t="n">
        <v>30.44</v>
      </c>
      <c r="M665" s="47" t="n">
        <v>0.67</v>
      </c>
      <c r="N665" s="46" t="n">
        <v>4.99</v>
      </c>
      <c r="O665" s="44" t="s">
        <v>308</v>
      </c>
      <c r="P665" s="44" t="s">
        <v>309</v>
      </c>
      <c r="Q665" s="44" t="s">
        <v>309</v>
      </c>
    </row>
    <row r="666" customFormat="false" ht="15" hidden="false" customHeight="false" outlineLevel="0" collapsed="false">
      <c r="A666" s="44" t="n">
        <v>665</v>
      </c>
      <c r="B666" s="45" t="n">
        <v>45460</v>
      </c>
      <c r="C666" s="44" t="n">
        <v>6</v>
      </c>
      <c r="D666" s="44" t="n">
        <v>2024</v>
      </c>
      <c r="E666" s="44" t="n">
        <v>17</v>
      </c>
      <c r="F666" s="44" t="s">
        <v>328</v>
      </c>
      <c r="G666" s="44" t="s">
        <v>399</v>
      </c>
      <c r="H666" s="44" t="s">
        <v>136</v>
      </c>
      <c r="I666" s="44" t="s">
        <v>174</v>
      </c>
      <c r="J666" s="44" t="s">
        <v>191</v>
      </c>
      <c r="K666" s="44" t="n">
        <v>3</v>
      </c>
      <c r="L666" s="46" t="n">
        <v>4.01</v>
      </c>
      <c r="M666" s="47" t="n">
        <v>2.58</v>
      </c>
      <c r="N666" s="46" t="n">
        <v>11.72</v>
      </c>
      <c r="O666" s="44" t="s">
        <v>309</v>
      </c>
      <c r="P666" s="44" t="s">
        <v>309</v>
      </c>
      <c r="Q666" s="44" t="s">
        <v>309</v>
      </c>
    </row>
    <row r="667" customFormat="false" ht="15" hidden="false" customHeight="false" outlineLevel="0" collapsed="false">
      <c r="A667" s="44" t="n">
        <v>666</v>
      </c>
      <c r="B667" s="45" t="n">
        <v>45545</v>
      </c>
      <c r="C667" s="44" t="n">
        <v>9</v>
      </c>
      <c r="D667" s="44" t="n">
        <v>2024</v>
      </c>
      <c r="E667" s="44" t="n">
        <v>10</v>
      </c>
      <c r="F667" s="44" t="s">
        <v>310</v>
      </c>
      <c r="G667" s="44" t="s">
        <v>435</v>
      </c>
      <c r="H667" s="44" t="s">
        <v>134</v>
      </c>
      <c r="I667" s="44" t="s">
        <v>172</v>
      </c>
      <c r="J667" s="44" t="s">
        <v>196</v>
      </c>
      <c r="K667" s="44" t="n">
        <v>1</v>
      </c>
      <c r="L667" s="46" t="n">
        <v>3.07</v>
      </c>
      <c r="M667" s="47" t="n">
        <v>0</v>
      </c>
      <c r="N667" s="46" t="n">
        <v>3.07</v>
      </c>
      <c r="O667" s="44" t="s">
        <v>309</v>
      </c>
      <c r="P667" s="44" t="s">
        <v>309</v>
      </c>
      <c r="Q667" s="44" t="s">
        <v>309</v>
      </c>
    </row>
    <row r="668" customFormat="false" ht="15" hidden="false" customHeight="false" outlineLevel="0" collapsed="false">
      <c r="A668" s="44" t="n">
        <v>667</v>
      </c>
      <c r="B668" s="45" t="n">
        <v>45365</v>
      </c>
      <c r="C668" s="44" t="n">
        <v>3</v>
      </c>
      <c r="D668" s="44" t="n">
        <v>2024</v>
      </c>
      <c r="E668" s="44" t="n">
        <v>14</v>
      </c>
      <c r="F668" s="44" t="s">
        <v>306</v>
      </c>
      <c r="G668" s="44" t="s">
        <v>462</v>
      </c>
      <c r="H668" s="44" t="s">
        <v>134</v>
      </c>
      <c r="I668" s="44" t="s">
        <v>174</v>
      </c>
      <c r="J668" s="44" t="s">
        <v>192</v>
      </c>
      <c r="K668" s="44" t="n">
        <v>3</v>
      </c>
      <c r="L668" s="46" t="n">
        <v>27.12</v>
      </c>
      <c r="M668" s="47" t="n">
        <v>3.45</v>
      </c>
      <c r="N668" s="46" t="n">
        <v>78.55</v>
      </c>
      <c r="O668" s="44" t="s">
        <v>309</v>
      </c>
      <c r="P668" s="44" t="s">
        <v>317</v>
      </c>
      <c r="Q668" s="44" t="s">
        <v>309</v>
      </c>
    </row>
    <row r="669" customFormat="false" ht="15" hidden="false" customHeight="false" outlineLevel="0" collapsed="false">
      <c r="A669" s="44" t="n">
        <v>668</v>
      </c>
      <c r="B669" s="45" t="n">
        <v>45588</v>
      </c>
      <c r="C669" s="44" t="n">
        <v>10</v>
      </c>
      <c r="D669" s="44" t="n">
        <v>2024</v>
      </c>
      <c r="E669" s="44" t="n">
        <v>23</v>
      </c>
      <c r="F669" s="44" t="s">
        <v>321</v>
      </c>
      <c r="G669" s="44" t="s">
        <v>523</v>
      </c>
      <c r="H669" s="44" t="s">
        <v>136</v>
      </c>
      <c r="I669" s="44" t="s">
        <v>174</v>
      </c>
      <c r="J669" s="44" t="s">
        <v>196</v>
      </c>
      <c r="K669" s="44" t="n">
        <v>2</v>
      </c>
      <c r="L669" s="46" t="n">
        <v>72.31</v>
      </c>
      <c r="M669" s="47" t="n">
        <v>1.78</v>
      </c>
      <c r="N669" s="46" t="n">
        <v>142.05</v>
      </c>
      <c r="O669" s="44" t="s">
        <v>309</v>
      </c>
      <c r="P669" s="44" t="s">
        <v>309</v>
      </c>
      <c r="Q669" s="44" t="s">
        <v>309</v>
      </c>
    </row>
    <row r="670" customFormat="false" ht="15" hidden="false" customHeight="false" outlineLevel="0" collapsed="false">
      <c r="A670" s="44" t="n">
        <v>669</v>
      </c>
      <c r="B670" s="45" t="n">
        <v>45298</v>
      </c>
      <c r="C670" s="44" t="n">
        <v>1</v>
      </c>
      <c r="D670" s="44" t="n">
        <v>2024</v>
      </c>
      <c r="E670" s="44" t="n">
        <v>7</v>
      </c>
      <c r="F670" s="44" t="s">
        <v>312</v>
      </c>
      <c r="G670" s="44" t="s">
        <v>505</v>
      </c>
      <c r="H670" s="44" t="s">
        <v>134</v>
      </c>
      <c r="I670" s="44" t="s">
        <v>173</v>
      </c>
      <c r="J670" s="44" t="s">
        <v>200</v>
      </c>
      <c r="K670" s="44" t="n">
        <v>1</v>
      </c>
      <c r="L670" s="46" t="n">
        <v>21.55</v>
      </c>
      <c r="M670" s="47" t="n">
        <v>0.48</v>
      </c>
      <c r="N670" s="46" t="n">
        <v>21.45</v>
      </c>
      <c r="O670" s="44" t="s">
        <v>309</v>
      </c>
      <c r="P670" s="44" t="s">
        <v>309</v>
      </c>
      <c r="Q670" s="44" t="s">
        <v>309</v>
      </c>
    </row>
    <row r="671" customFormat="false" ht="15" hidden="false" customHeight="false" outlineLevel="0" collapsed="false">
      <c r="A671" s="44" t="n">
        <v>670</v>
      </c>
      <c r="B671" s="45" t="n">
        <v>45306</v>
      </c>
      <c r="C671" s="44" t="n">
        <v>1</v>
      </c>
      <c r="D671" s="44" t="n">
        <v>2024</v>
      </c>
      <c r="E671" s="44" t="n">
        <v>15</v>
      </c>
      <c r="F671" s="44" t="s">
        <v>328</v>
      </c>
      <c r="G671" s="44" t="s">
        <v>417</v>
      </c>
      <c r="H671" s="44" t="s">
        <v>140</v>
      </c>
      <c r="I671" s="44" t="s">
        <v>172</v>
      </c>
      <c r="J671" s="44" t="s">
        <v>191</v>
      </c>
      <c r="K671" s="44" t="n">
        <v>1</v>
      </c>
      <c r="L671" s="46" t="n">
        <v>11.31</v>
      </c>
      <c r="M671" s="47" t="n">
        <v>1.905</v>
      </c>
      <c r="N671" s="46" t="n">
        <v>17.1</v>
      </c>
      <c r="O671" s="44" t="s">
        <v>308</v>
      </c>
      <c r="P671" s="44" t="s">
        <v>369</v>
      </c>
      <c r="Q671" s="44" t="s">
        <v>309</v>
      </c>
    </row>
    <row r="672" customFormat="false" ht="15" hidden="false" customHeight="false" outlineLevel="0" collapsed="false">
      <c r="A672" s="44" t="n">
        <v>671</v>
      </c>
      <c r="B672" s="45" t="n">
        <v>45618</v>
      </c>
      <c r="C672" s="44" t="n">
        <v>11</v>
      </c>
      <c r="D672" s="44" t="n">
        <v>2024</v>
      </c>
      <c r="E672" s="44" t="n">
        <v>22</v>
      </c>
      <c r="F672" s="44" t="s">
        <v>325</v>
      </c>
      <c r="G672" s="44" t="s">
        <v>480</v>
      </c>
      <c r="H672" s="44" t="s">
        <v>137</v>
      </c>
      <c r="I672" s="44" t="s">
        <v>174</v>
      </c>
      <c r="J672" s="44" t="s">
        <v>206</v>
      </c>
      <c r="K672" s="44" t="n">
        <v>4</v>
      </c>
      <c r="L672" s="46" t="n">
        <v>11.05</v>
      </c>
      <c r="M672" s="47" t="n">
        <v>4.18</v>
      </c>
      <c r="N672" s="46" t="n">
        <v>42.35</v>
      </c>
      <c r="O672" s="44" t="s">
        <v>309</v>
      </c>
      <c r="P672" s="44" t="s">
        <v>309</v>
      </c>
      <c r="Q672" s="44" t="s">
        <v>309</v>
      </c>
    </row>
    <row r="673" customFormat="false" ht="15" hidden="false" customHeight="false" outlineLevel="0" collapsed="false">
      <c r="A673" s="44" t="n">
        <v>672</v>
      </c>
      <c r="B673" s="45" t="n">
        <v>45428</v>
      </c>
      <c r="C673" s="44" t="n">
        <v>5</v>
      </c>
      <c r="D673" s="44" t="n">
        <v>2024</v>
      </c>
      <c r="E673" s="44" t="n">
        <v>16</v>
      </c>
      <c r="F673" s="44" t="s">
        <v>306</v>
      </c>
      <c r="G673" s="44" t="s">
        <v>362</v>
      </c>
      <c r="H673" s="44" t="s">
        <v>134</v>
      </c>
      <c r="I673" s="44" t="s">
        <v>176</v>
      </c>
      <c r="J673" s="44" t="s">
        <v>191</v>
      </c>
      <c r="K673" s="44" t="n">
        <v>2</v>
      </c>
      <c r="L673" s="46" t="n">
        <v>29.18</v>
      </c>
      <c r="M673" s="47" t="n">
        <v>1.85</v>
      </c>
      <c r="N673" s="46" t="n">
        <v>6.3</v>
      </c>
      <c r="O673" s="44" t="s">
        <v>308</v>
      </c>
      <c r="P673" s="44" t="s">
        <v>309</v>
      </c>
      <c r="Q673" s="44" t="s">
        <v>309</v>
      </c>
    </row>
    <row r="674" customFormat="false" ht="15" hidden="false" customHeight="false" outlineLevel="0" collapsed="false">
      <c r="A674" s="44" t="n">
        <v>673</v>
      </c>
      <c r="B674" s="45" t="n">
        <v>45336</v>
      </c>
      <c r="C674" s="44" t="n">
        <v>2</v>
      </c>
      <c r="D674" s="44" t="n">
        <v>2024</v>
      </c>
      <c r="E674" s="44" t="n">
        <v>14</v>
      </c>
      <c r="F674" s="44" t="s">
        <v>321</v>
      </c>
      <c r="G674" s="44" t="s">
        <v>504</v>
      </c>
      <c r="H674" s="44" t="s">
        <v>138</v>
      </c>
      <c r="I674" s="44" t="s">
        <v>172</v>
      </c>
      <c r="J674" s="44" t="s">
        <v>196</v>
      </c>
      <c r="K674" s="44" t="n">
        <v>2</v>
      </c>
      <c r="L674" s="46" t="n">
        <v>22.8</v>
      </c>
      <c r="M674" s="47" t="n">
        <v>2.79</v>
      </c>
      <c r="N674" s="46" t="n">
        <v>44.33</v>
      </c>
      <c r="O674" s="44" t="s">
        <v>309</v>
      </c>
      <c r="P674" s="44" t="s">
        <v>309</v>
      </c>
      <c r="Q674" s="44" t="s">
        <v>309</v>
      </c>
    </row>
    <row r="675" customFormat="false" ht="15" hidden="false" customHeight="false" outlineLevel="0" collapsed="false">
      <c r="A675" s="44" t="n">
        <v>674</v>
      </c>
      <c r="B675" s="45" t="n">
        <v>45515</v>
      </c>
      <c r="C675" s="44" t="n">
        <v>8</v>
      </c>
      <c r="D675" s="44" t="n">
        <v>2024</v>
      </c>
      <c r="E675" s="44" t="n">
        <v>11</v>
      </c>
      <c r="F675" s="44" t="s">
        <v>312</v>
      </c>
      <c r="G675" s="44" t="s">
        <v>334</v>
      </c>
      <c r="H675" s="44" t="s">
        <v>138</v>
      </c>
      <c r="I675" s="44" t="s">
        <v>173</v>
      </c>
      <c r="J675" s="44" t="s">
        <v>206</v>
      </c>
      <c r="K675" s="44" t="n">
        <v>6</v>
      </c>
      <c r="L675" s="46" t="n">
        <v>26.69</v>
      </c>
      <c r="M675" s="47" t="n">
        <v>9.46</v>
      </c>
      <c r="N675" s="46" t="n">
        <v>19.23</v>
      </c>
      <c r="O675" s="44" t="s">
        <v>308</v>
      </c>
      <c r="P675" s="44" t="s">
        <v>309</v>
      </c>
      <c r="Q675" s="44" t="s">
        <v>309</v>
      </c>
    </row>
    <row r="676" customFormat="false" ht="15" hidden="false" customHeight="false" outlineLevel="0" collapsed="false">
      <c r="A676" s="44" t="n">
        <v>675</v>
      </c>
      <c r="B676" s="45" t="n">
        <v>45585</v>
      </c>
      <c r="C676" s="44" t="n">
        <v>10</v>
      </c>
      <c r="D676" s="44" t="n">
        <v>2024</v>
      </c>
      <c r="E676" s="44" t="n">
        <v>20</v>
      </c>
      <c r="F676" s="44" t="s">
        <v>312</v>
      </c>
      <c r="G676" s="44" t="s">
        <v>416</v>
      </c>
      <c r="H676" s="44" t="s">
        <v>136</v>
      </c>
      <c r="I676" s="44" t="s">
        <v>176</v>
      </c>
      <c r="J676" s="44" t="s">
        <v>205</v>
      </c>
      <c r="K676" s="44" t="n">
        <v>1</v>
      </c>
      <c r="L676" s="46" t="n">
        <v>4.12</v>
      </c>
      <c r="M676" s="47" t="n">
        <v>0</v>
      </c>
      <c r="N676" s="46" t="n">
        <v>4.12</v>
      </c>
      <c r="O676" s="44" t="s">
        <v>309</v>
      </c>
      <c r="P676" s="44" t="s">
        <v>309</v>
      </c>
      <c r="Q676" s="44" t="s">
        <v>309</v>
      </c>
    </row>
    <row r="677" customFormat="false" ht="15" hidden="false" customHeight="false" outlineLevel="0" collapsed="false">
      <c r="A677" s="44" t="n">
        <v>676</v>
      </c>
      <c r="B677" s="45" t="n">
        <v>45334</v>
      </c>
      <c r="C677" s="44" t="n">
        <v>2</v>
      </c>
      <c r="D677" s="44" t="n">
        <v>2024</v>
      </c>
      <c r="E677" s="44" t="n">
        <v>12</v>
      </c>
      <c r="F677" s="44" t="s">
        <v>328</v>
      </c>
      <c r="G677" s="44" t="s">
        <v>332</v>
      </c>
      <c r="H677" s="44" t="s">
        <v>137</v>
      </c>
      <c r="I677" s="44" t="s">
        <v>172</v>
      </c>
      <c r="J677" s="44" t="s">
        <v>198</v>
      </c>
      <c r="K677" s="44" t="n">
        <v>3</v>
      </c>
      <c r="L677" s="46" t="n">
        <v>57.42</v>
      </c>
      <c r="M677" s="47" t="n">
        <v>3.78</v>
      </c>
      <c r="N677" s="46" t="n">
        <v>165.75</v>
      </c>
      <c r="O677" s="44" t="s">
        <v>309</v>
      </c>
      <c r="P677" s="44" t="s">
        <v>309</v>
      </c>
      <c r="Q677" s="44" t="s">
        <v>309</v>
      </c>
    </row>
    <row r="678" customFormat="false" ht="15" hidden="false" customHeight="false" outlineLevel="0" collapsed="false">
      <c r="A678" s="44" t="n">
        <v>677</v>
      </c>
      <c r="B678" s="45" t="n">
        <v>45312</v>
      </c>
      <c r="C678" s="44" t="n">
        <v>1</v>
      </c>
      <c r="D678" s="44" t="n">
        <v>2024</v>
      </c>
      <c r="E678" s="44" t="n">
        <v>21</v>
      </c>
      <c r="F678" s="44" t="s">
        <v>312</v>
      </c>
      <c r="G678" s="44" t="s">
        <v>402</v>
      </c>
      <c r="H678" s="44" t="s">
        <v>137</v>
      </c>
      <c r="I678" s="44" t="s">
        <v>173</v>
      </c>
      <c r="J678" s="44" t="s">
        <v>206</v>
      </c>
      <c r="K678" s="44" t="n">
        <v>4</v>
      </c>
      <c r="L678" s="46" t="n">
        <v>28.2</v>
      </c>
      <c r="M678" s="47" t="n">
        <v>5.51</v>
      </c>
      <c r="N678" s="46" t="n">
        <v>408.84</v>
      </c>
      <c r="O678" s="44" t="s">
        <v>308</v>
      </c>
      <c r="P678" s="44" t="s">
        <v>309</v>
      </c>
      <c r="Q678" s="44" t="s">
        <v>309</v>
      </c>
    </row>
    <row r="679" customFormat="false" ht="15" hidden="false" customHeight="false" outlineLevel="0" collapsed="false">
      <c r="A679" s="44" t="n">
        <v>678</v>
      </c>
      <c r="B679" s="45" t="n">
        <v>45595</v>
      </c>
      <c r="C679" s="44" t="n">
        <v>10</v>
      </c>
      <c r="D679" s="44" t="n">
        <v>2024</v>
      </c>
      <c r="E679" s="44" t="n">
        <v>30</v>
      </c>
      <c r="F679" s="44" t="s">
        <v>321</v>
      </c>
      <c r="G679" s="44" t="s">
        <v>501</v>
      </c>
      <c r="H679" s="44" t="s">
        <v>135</v>
      </c>
      <c r="I679" s="44" t="s">
        <v>172</v>
      </c>
      <c r="J679" s="44" t="s">
        <v>194</v>
      </c>
      <c r="K679" s="44" t="n">
        <v>2</v>
      </c>
      <c r="L679" s="46" t="n">
        <v>4.94</v>
      </c>
      <c r="M679" s="47" t="n">
        <v>2.1</v>
      </c>
      <c r="N679" s="46" t="n">
        <v>9.67</v>
      </c>
      <c r="O679" s="44" t="s">
        <v>309</v>
      </c>
      <c r="P679" s="44" t="s">
        <v>309</v>
      </c>
      <c r="Q679" s="44" t="s">
        <v>309</v>
      </c>
    </row>
    <row r="680" customFormat="false" ht="15" hidden="false" customHeight="false" outlineLevel="0" collapsed="false">
      <c r="A680" s="44" t="n">
        <v>679</v>
      </c>
      <c r="B680" s="45" t="n">
        <v>45334</v>
      </c>
      <c r="C680" s="44" t="n">
        <v>2</v>
      </c>
      <c r="D680" s="44" t="n">
        <v>2024</v>
      </c>
      <c r="E680" s="44" t="n">
        <v>12</v>
      </c>
      <c r="F680" s="44" t="s">
        <v>328</v>
      </c>
      <c r="G680" s="44" t="s">
        <v>506</v>
      </c>
      <c r="H680" s="44" t="s">
        <v>138</v>
      </c>
      <c r="I680" s="44" t="s">
        <v>173</v>
      </c>
      <c r="J680" s="44" t="s">
        <v>206</v>
      </c>
      <c r="K680" s="44" t="n">
        <v>1</v>
      </c>
      <c r="L680" s="46" t="n">
        <v>11.31</v>
      </c>
      <c r="M680" s="47" t="n">
        <v>0</v>
      </c>
      <c r="N680" s="46" t="n">
        <v>11.31</v>
      </c>
      <c r="O680" s="44" t="s">
        <v>309</v>
      </c>
      <c r="P680" s="44" t="s">
        <v>317</v>
      </c>
      <c r="Q680" s="44" t="s">
        <v>309</v>
      </c>
    </row>
    <row r="681" customFormat="false" ht="15" hidden="false" customHeight="false" outlineLevel="0" collapsed="false">
      <c r="A681" s="44" t="n">
        <v>680</v>
      </c>
      <c r="B681" s="45" t="n">
        <v>45623</v>
      </c>
      <c r="C681" s="44" t="n">
        <v>11</v>
      </c>
      <c r="D681" s="44" t="n">
        <v>2024</v>
      </c>
      <c r="E681" s="44" t="n">
        <v>27</v>
      </c>
      <c r="F681" s="44" t="s">
        <v>321</v>
      </c>
      <c r="G681" s="44" t="s">
        <v>390</v>
      </c>
      <c r="H681" s="44" t="s">
        <v>136</v>
      </c>
      <c r="I681" s="44" t="s">
        <v>172</v>
      </c>
      <c r="J681" s="44" t="s">
        <v>191</v>
      </c>
      <c r="K681" s="44" t="n">
        <v>4</v>
      </c>
      <c r="L681" s="46" t="n">
        <v>4.11</v>
      </c>
      <c r="M681" s="47" t="n">
        <v>4.83</v>
      </c>
      <c r="N681" s="46" t="n">
        <v>15.65</v>
      </c>
      <c r="O681" s="44" t="s">
        <v>309</v>
      </c>
      <c r="P681" s="44" t="s">
        <v>309</v>
      </c>
      <c r="Q681" s="44" t="s">
        <v>309</v>
      </c>
    </row>
    <row r="682" customFormat="false" ht="15" hidden="false" customHeight="false" outlineLevel="0" collapsed="false">
      <c r="A682" s="44" t="n">
        <v>681</v>
      </c>
      <c r="B682" s="45" t="n">
        <v>45649</v>
      </c>
      <c r="C682" s="44" t="n">
        <v>12</v>
      </c>
      <c r="D682" s="44" t="n">
        <v>2024</v>
      </c>
      <c r="E682" s="44" t="n">
        <v>23</v>
      </c>
      <c r="F682" s="44" t="s">
        <v>328</v>
      </c>
      <c r="G682" s="44" t="s">
        <v>367</v>
      </c>
      <c r="H682" s="44" t="s">
        <v>135</v>
      </c>
      <c r="I682" s="44" t="s">
        <v>173</v>
      </c>
      <c r="J682" s="44" t="s">
        <v>198</v>
      </c>
      <c r="K682" s="44" t="n">
        <v>3</v>
      </c>
      <c r="L682" s="46" t="n">
        <v>62.77</v>
      </c>
      <c r="M682" s="47" t="n">
        <v>2.01</v>
      </c>
      <c r="N682" s="46" t="n">
        <v>184.52</v>
      </c>
      <c r="O682" s="44" t="s">
        <v>309</v>
      </c>
      <c r="P682" s="44" t="s">
        <v>309</v>
      </c>
      <c r="Q682" s="44" t="s">
        <v>309</v>
      </c>
    </row>
    <row r="683" customFormat="false" ht="15" hidden="false" customHeight="false" outlineLevel="0" collapsed="false">
      <c r="A683" s="44" t="n">
        <v>682</v>
      </c>
      <c r="B683" s="45" t="n">
        <v>45537</v>
      </c>
      <c r="C683" s="44" t="n">
        <v>9</v>
      </c>
      <c r="D683" s="44" t="n">
        <v>2024</v>
      </c>
      <c r="E683" s="44" t="n">
        <v>2</v>
      </c>
      <c r="F683" s="44" t="s">
        <v>328</v>
      </c>
      <c r="G683" s="44" t="s">
        <v>395</v>
      </c>
      <c r="H683" s="44" t="s">
        <v>138</v>
      </c>
      <c r="I683" s="44" t="s">
        <v>173</v>
      </c>
      <c r="J683" s="44" t="s">
        <v>206</v>
      </c>
      <c r="K683" s="44" t="n">
        <v>1</v>
      </c>
      <c r="L683" s="46" t="n">
        <v>118.91</v>
      </c>
      <c r="M683" s="47" t="n">
        <v>0</v>
      </c>
      <c r="N683" s="46" t="n">
        <v>118.91</v>
      </c>
      <c r="O683" s="44" t="s">
        <v>309</v>
      </c>
      <c r="P683" s="44" t="s">
        <v>309</v>
      </c>
      <c r="Q683" s="44" t="s">
        <v>309</v>
      </c>
    </row>
    <row r="684" customFormat="false" ht="15" hidden="false" customHeight="false" outlineLevel="0" collapsed="false">
      <c r="A684" s="44" t="n">
        <v>683</v>
      </c>
      <c r="B684" s="45" t="n">
        <v>45537</v>
      </c>
      <c r="C684" s="44" t="n">
        <v>9</v>
      </c>
      <c r="D684" s="44" t="n">
        <v>2024</v>
      </c>
      <c r="E684" s="44" t="n">
        <v>2</v>
      </c>
      <c r="F684" s="44" t="s">
        <v>328</v>
      </c>
      <c r="G684" s="44" t="s">
        <v>333</v>
      </c>
      <c r="H684" s="44" t="s">
        <v>134</v>
      </c>
      <c r="I684" s="44" t="s">
        <v>173</v>
      </c>
      <c r="J684" s="44" t="s">
        <v>205</v>
      </c>
      <c r="K684" s="44" t="n">
        <v>2</v>
      </c>
      <c r="L684" s="46" t="n">
        <v>143.71</v>
      </c>
      <c r="M684" s="47" t="n">
        <v>2.02</v>
      </c>
      <c r="N684" s="46" t="n">
        <v>281.61</v>
      </c>
      <c r="O684" s="44" t="s">
        <v>309</v>
      </c>
      <c r="P684" s="44" t="s">
        <v>309</v>
      </c>
      <c r="Q684" s="44" t="s">
        <v>309</v>
      </c>
    </row>
    <row r="685" customFormat="false" ht="15" hidden="false" customHeight="false" outlineLevel="0" collapsed="false">
      <c r="A685" s="44" t="n">
        <v>684</v>
      </c>
      <c r="B685" s="45" t="n">
        <v>45379</v>
      </c>
      <c r="C685" s="44" t="n">
        <v>3</v>
      </c>
      <c r="D685" s="44" t="n">
        <v>2024</v>
      </c>
      <c r="E685" s="44" t="n">
        <v>28</v>
      </c>
      <c r="F685" s="44" t="s">
        <v>306</v>
      </c>
      <c r="G685" s="44" t="s">
        <v>464</v>
      </c>
      <c r="H685" s="44" t="s">
        <v>135</v>
      </c>
      <c r="I685" s="44" t="s">
        <v>174</v>
      </c>
      <c r="J685" s="44" t="s">
        <v>206</v>
      </c>
      <c r="K685" s="44" t="n">
        <v>1</v>
      </c>
      <c r="L685" s="46" t="n">
        <v>30.44</v>
      </c>
      <c r="M685" s="47" t="n">
        <v>1.44</v>
      </c>
      <c r="N685" s="46" t="n">
        <v>49.18</v>
      </c>
      <c r="O685" s="44" t="s">
        <v>308</v>
      </c>
      <c r="P685" s="44" t="s">
        <v>309</v>
      </c>
      <c r="Q685" s="44" t="s">
        <v>309</v>
      </c>
    </row>
    <row r="686" customFormat="false" ht="15" hidden="false" customHeight="false" outlineLevel="0" collapsed="false">
      <c r="A686" s="44" t="n">
        <v>685</v>
      </c>
      <c r="B686" s="45" t="n">
        <v>45605</v>
      </c>
      <c r="C686" s="44" t="n">
        <v>11</v>
      </c>
      <c r="D686" s="44" t="n">
        <v>2024</v>
      </c>
      <c r="E686" s="44" t="n">
        <v>9</v>
      </c>
      <c r="F686" s="44" t="s">
        <v>318</v>
      </c>
      <c r="G686" s="44" t="s">
        <v>366</v>
      </c>
      <c r="H686" s="44" t="s">
        <v>140</v>
      </c>
      <c r="I686" s="44" t="s">
        <v>174</v>
      </c>
      <c r="J686" s="44" t="s">
        <v>192</v>
      </c>
      <c r="K686" s="44" t="n">
        <v>3</v>
      </c>
      <c r="L686" s="46" t="n">
        <v>3.97</v>
      </c>
      <c r="M686" s="47" t="n">
        <v>4.42</v>
      </c>
      <c r="N686" s="46" t="n">
        <v>11.38</v>
      </c>
      <c r="O686" s="44" t="s">
        <v>309</v>
      </c>
      <c r="P686" s="44" t="s">
        <v>309</v>
      </c>
      <c r="Q686" s="44" t="s">
        <v>309</v>
      </c>
    </row>
    <row r="687" customFormat="false" ht="15" hidden="false" customHeight="false" outlineLevel="0" collapsed="false">
      <c r="A687" s="44" t="n">
        <v>686</v>
      </c>
      <c r="B687" s="45" t="n">
        <v>45436</v>
      </c>
      <c r="C687" s="44" t="n">
        <v>5</v>
      </c>
      <c r="D687" s="44" t="n">
        <v>2024</v>
      </c>
      <c r="E687" s="44" t="n">
        <v>24</v>
      </c>
      <c r="F687" s="44" t="s">
        <v>325</v>
      </c>
      <c r="G687" s="44" t="s">
        <v>370</v>
      </c>
      <c r="H687" s="44" t="s">
        <v>138</v>
      </c>
      <c r="I687" s="44" t="s">
        <v>172</v>
      </c>
      <c r="J687" s="44" t="s">
        <v>206</v>
      </c>
      <c r="K687" s="44" t="n">
        <v>2</v>
      </c>
      <c r="L687" s="46" t="n">
        <v>26.69</v>
      </c>
      <c r="M687" s="47" t="n">
        <v>1.905</v>
      </c>
      <c r="N687" s="46" t="n">
        <v>94.69</v>
      </c>
      <c r="O687" s="44" t="s">
        <v>308</v>
      </c>
      <c r="P687" s="44" t="s">
        <v>369</v>
      </c>
      <c r="Q687" s="44" t="s">
        <v>309</v>
      </c>
    </row>
    <row r="688" customFormat="false" ht="15" hidden="false" customHeight="false" outlineLevel="0" collapsed="false">
      <c r="A688" s="44" t="n">
        <v>687</v>
      </c>
      <c r="B688" s="45" t="n">
        <v>45539</v>
      </c>
      <c r="C688" s="44" t="n">
        <v>9</v>
      </c>
      <c r="D688" s="44" t="n">
        <v>2024</v>
      </c>
      <c r="E688" s="44" t="n">
        <v>4</v>
      </c>
      <c r="F688" s="44" t="s">
        <v>321</v>
      </c>
      <c r="G688" s="44" t="s">
        <v>396</v>
      </c>
      <c r="H688" s="44" t="s">
        <v>134</v>
      </c>
      <c r="I688" s="44" t="s">
        <v>176</v>
      </c>
      <c r="J688" s="44" t="s">
        <v>193</v>
      </c>
      <c r="K688" s="44" t="n">
        <v>1</v>
      </c>
      <c r="L688" s="46" t="n">
        <v>165.01</v>
      </c>
      <c r="M688" s="47" t="n">
        <v>0</v>
      </c>
      <c r="N688" s="46" t="n">
        <v>165.01</v>
      </c>
      <c r="O688" s="44" t="s">
        <v>309</v>
      </c>
      <c r="P688" s="44" t="s">
        <v>309</v>
      </c>
      <c r="Q688" s="44" t="s">
        <v>309</v>
      </c>
    </row>
    <row r="689" customFormat="false" ht="15" hidden="false" customHeight="false" outlineLevel="0" collapsed="false">
      <c r="A689" s="44" t="n">
        <v>688</v>
      </c>
      <c r="B689" s="45" t="n">
        <v>45526</v>
      </c>
      <c r="C689" s="44" t="n">
        <v>8</v>
      </c>
      <c r="D689" s="44" t="n">
        <v>2024</v>
      </c>
      <c r="E689" s="44" t="n">
        <v>22</v>
      </c>
      <c r="F689" s="44" t="s">
        <v>306</v>
      </c>
      <c r="G689" s="44" t="s">
        <v>533</v>
      </c>
      <c r="H689" s="44" t="s">
        <v>135</v>
      </c>
      <c r="I689" s="44" t="s">
        <v>172</v>
      </c>
      <c r="J689" s="44" t="s">
        <v>194</v>
      </c>
      <c r="K689" s="44" t="n">
        <v>2</v>
      </c>
      <c r="L689" s="46" t="n">
        <v>2.5</v>
      </c>
      <c r="M689" s="47" t="n">
        <v>1.98</v>
      </c>
      <c r="N689" s="46" t="n">
        <v>4.9</v>
      </c>
      <c r="O689" s="44" t="s">
        <v>309</v>
      </c>
      <c r="P689" s="44" t="s">
        <v>309</v>
      </c>
      <c r="Q689" s="44" t="s">
        <v>309</v>
      </c>
    </row>
    <row r="690" customFormat="false" ht="15" hidden="false" customHeight="false" outlineLevel="0" collapsed="false">
      <c r="A690" s="44" t="n">
        <v>689</v>
      </c>
      <c r="B690" s="45" t="n">
        <v>45341</v>
      </c>
      <c r="C690" s="44" t="n">
        <v>2</v>
      </c>
      <c r="D690" s="44" t="n">
        <v>2024</v>
      </c>
      <c r="E690" s="44" t="n">
        <v>19</v>
      </c>
      <c r="F690" s="44" t="s">
        <v>328</v>
      </c>
      <c r="G690" s="44" t="s">
        <v>546</v>
      </c>
      <c r="H690" s="44" t="s">
        <v>137</v>
      </c>
      <c r="I690" s="44" t="s">
        <v>176</v>
      </c>
      <c r="J690" s="44" t="s">
        <v>206</v>
      </c>
      <c r="K690" s="44" t="n">
        <v>4</v>
      </c>
      <c r="L690" s="46" t="n">
        <v>27.58</v>
      </c>
      <c r="M690" s="47" t="n">
        <v>4.05</v>
      </c>
      <c r="N690" s="46" t="n">
        <v>105.85</v>
      </c>
      <c r="O690" s="44" t="s">
        <v>309</v>
      </c>
      <c r="P690" s="44" t="s">
        <v>309</v>
      </c>
      <c r="Q690" s="44" t="s">
        <v>309</v>
      </c>
    </row>
    <row r="691" customFormat="false" ht="15" hidden="false" customHeight="false" outlineLevel="0" collapsed="false">
      <c r="A691" s="44" t="n">
        <v>690</v>
      </c>
      <c r="B691" s="45" t="n">
        <v>45392</v>
      </c>
      <c r="C691" s="44" t="n">
        <v>4</v>
      </c>
      <c r="D691" s="44" t="n">
        <v>2024</v>
      </c>
      <c r="E691" s="44" t="n">
        <v>10</v>
      </c>
      <c r="F691" s="44" t="s">
        <v>321</v>
      </c>
      <c r="G691" s="44" t="s">
        <v>339</v>
      </c>
      <c r="H691" s="44" t="s">
        <v>136</v>
      </c>
      <c r="I691" s="44" t="s">
        <v>172</v>
      </c>
      <c r="J691" s="44" t="s">
        <v>193</v>
      </c>
      <c r="K691" s="44" t="n">
        <v>8</v>
      </c>
      <c r="L691" s="46" t="n">
        <v>54.86</v>
      </c>
      <c r="M691" s="47" t="n">
        <v>10.81</v>
      </c>
      <c r="N691" s="46" t="n">
        <v>391.44</v>
      </c>
      <c r="O691" s="44" t="s">
        <v>309</v>
      </c>
      <c r="P691" s="44" t="s">
        <v>317</v>
      </c>
      <c r="Q691" s="44" t="s">
        <v>309</v>
      </c>
    </row>
    <row r="692" customFormat="false" ht="15" hidden="false" customHeight="false" outlineLevel="0" collapsed="false">
      <c r="A692" s="44" t="n">
        <v>691</v>
      </c>
      <c r="B692" s="45" t="n">
        <v>45297</v>
      </c>
      <c r="C692" s="44" t="n">
        <v>1</v>
      </c>
      <c r="D692" s="44" t="n">
        <v>2024</v>
      </c>
      <c r="E692" s="44" t="n">
        <v>6</v>
      </c>
      <c r="F692" s="44" t="s">
        <v>318</v>
      </c>
      <c r="G692" s="44" t="s">
        <v>466</v>
      </c>
      <c r="H692" s="44" t="s">
        <v>140</v>
      </c>
      <c r="I692" s="44" t="s">
        <v>174</v>
      </c>
      <c r="J692" s="44" t="s">
        <v>199</v>
      </c>
      <c r="K692" s="44" t="n">
        <v>1</v>
      </c>
      <c r="L692" s="46" t="n">
        <v>1.93</v>
      </c>
      <c r="M692" s="47" t="n">
        <v>0</v>
      </c>
      <c r="N692" s="46" t="n">
        <v>1.93</v>
      </c>
      <c r="O692" s="44" t="s">
        <v>309</v>
      </c>
      <c r="P692" s="44" t="s">
        <v>309</v>
      </c>
      <c r="Q692" s="44" t="s">
        <v>309</v>
      </c>
    </row>
    <row r="693" customFormat="false" ht="15" hidden="false" customHeight="false" outlineLevel="0" collapsed="false">
      <c r="A693" s="44" t="n">
        <v>692</v>
      </c>
      <c r="B693" s="45" t="n">
        <v>45400</v>
      </c>
      <c r="C693" s="44" t="n">
        <v>4</v>
      </c>
      <c r="D693" s="44" t="n">
        <v>2024</v>
      </c>
      <c r="E693" s="44" t="n">
        <v>18</v>
      </c>
      <c r="F693" s="44" t="s">
        <v>306</v>
      </c>
      <c r="G693" s="44" t="s">
        <v>407</v>
      </c>
      <c r="H693" s="44" t="s">
        <v>138</v>
      </c>
      <c r="I693" s="44" t="s">
        <v>176</v>
      </c>
      <c r="J693" s="44" t="s">
        <v>206</v>
      </c>
      <c r="K693" s="44" t="n">
        <v>1</v>
      </c>
      <c r="L693" s="46" t="n">
        <v>61.19</v>
      </c>
      <c r="M693" s="47" t="n">
        <v>0.79</v>
      </c>
      <c r="N693" s="46" t="n">
        <v>60.71</v>
      </c>
      <c r="O693" s="44" t="s">
        <v>309</v>
      </c>
      <c r="P693" s="44" t="s">
        <v>309</v>
      </c>
      <c r="Q693" s="44" t="s">
        <v>309</v>
      </c>
    </row>
    <row r="694" customFormat="false" ht="15" hidden="false" customHeight="false" outlineLevel="0" collapsed="false">
      <c r="A694" s="44" t="n">
        <v>693</v>
      </c>
      <c r="B694" s="45" t="n">
        <v>45361</v>
      </c>
      <c r="C694" s="44" t="n">
        <v>3</v>
      </c>
      <c r="D694" s="44" t="n">
        <v>2024</v>
      </c>
      <c r="E694" s="44" t="n">
        <v>10</v>
      </c>
      <c r="F694" s="44" t="s">
        <v>312</v>
      </c>
      <c r="G694" s="44" t="s">
        <v>522</v>
      </c>
      <c r="H694" s="44" t="s">
        <v>135</v>
      </c>
      <c r="I694" s="44" t="s">
        <v>176</v>
      </c>
      <c r="J694" s="44" t="s">
        <v>191</v>
      </c>
      <c r="K694" s="44" t="n">
        <v>2</v>
      </c>
      <c r="L694" s="46" t="n">
        <v>56.18</v>
      </c>
      <c r="M694" s="47" t="n">
        <v>1.49</v>
      </c>
      <c r="N694" s="46" t="n">
        <v>110.69</v>
      </c>
      <c r="O694" s="44" t="s">
        <v>309</v>
      </c>
      <c r="P694" s="44" t="s">
        <v>317</v>
      </c>
      <c r="Q694" s="44" t="s">
        <v>309</v>
      </c>
    </row>
    <row r="695" customFormat="false" ht="15" hidden="false" customHeight="false" outlineLevel="0" collapsed="false">
      <c r="A695" s="44" t="n">
        <v>694</v>
      </c>
      <c r="B695" s="45" t="n">
        <v>45506</v>
      </c>
      <c r="C695" s="44" t="n">
        <v>8</v>
      </c>
      <c r="D695" s="44" t="n">
        <v>2024</v>
      </c>
      <c r="E695" s="44" t="n">
        <v>2</v>
      </c>
      <c r="F695" s="44" t="s">
        <v>325</v>
      </c>
      <c r="G695" s="44" t="s">
        <v>455</v>
      </c>
      <c r="H695" s="44" t="s">
        <v>135</v>
      </c>
      <c r="I695" s="44" t="s">
        <v>172</v>
      </c>
      <c r="J695" s="44" t="s">
        <v>191</v>
      </c>
      <c r="K695" s="44" t="n">
        <v>1</v>
      </c>
      <c r="L695" s="46" t="n">
        <v>61.71</v>
      </c>
      <c r="M695" s="47" t="n">
        <v>0.86</v>
      </c>
      <c r="N695" s="46" t="n">
        <v>61.18</v>
      </c>
      <c r="O695" s="44" t="s">
        <v>309</v>
      </c>
      <c r="P695" s="44" t="s">
        <v>309</v>
      </c>
      <c r="Q695" s="44" t="s">
        <v>309</v>
      </c>
    </row>
    <row r="696" customFormat="false" ht="15" hidden="false" customHeight="false" outlineLevel="0" collapsed="false">
      <c r="A696" s="44" t="n">
        <v>695</v>
      </c>
      <c r="B696" s="45" t="n">
        <v>45363</v>
      </c>
      <c r="C696" s="44" t="n">
        <v>3</v>
      </c>
      <c r="D696" s="44" t="n">
        <v>2024</v>
      </c>
      <c r="E696" s="44" t="n">
        <v>12</v>
      </c>
      <c r="F696" s="44" t="s">
        <v>310</v>
      </c>
      <c r="G696" s="44" t="s">
        <v>362</v>
      </c>
      <c r="H696" s="44" t="s">
        <v>140</v>
      </c>
      <c r="I696" s="44" t="s">
        <v>174</v>
      </c>
      <c r="J696" s="44" t="s">
        <v>191</v>
      </c>
      <c r="K696" s="44" t="n">
        <v>3</v>
      </c>
      <c r="L696" s="46" t="n">
        <v>12</v>
      </c>
      <c r="M696" s="47" t="n">
        <v>1.73</v>
      </c>
      <c r="N696" s="46" t="n">
        <v>35.38</v>
      </c>
      <c r="O696" s="44" t="s">
        <v>309</v>
      </c>
      <c r="P696" s="44" t="s">
        <v>309</v>
      </c>
      <c r="Q696" s="44" t="s">
        <v>309</v>
      </c>
    </row>
    <row r="697" customFormat="false" ht="15" hidden="false" customHeight="false" outlineLevel="0" collapsed="false">
      <c r="A697" s="44" t="n">
        <v>696</v>
      </c>
      <c r="B697" s="45" t="n">
        <v>45362</v>
      </c>
      <c r="C697" s="44" t="n">
        <v>3</v>
      </c>
      <c r="D697" s="44" t="n">
        <v>2024</v>
      </c>
      <c r="E697" s="44" t="n">
        <v>11</v>
      </c>
      <c r="F697" s="44" t="s">
        <v>328</v>
      </c>
      <c r="G697" s="44" t="s">
        <v>394</v>
      </c>
      <c r="H697" s="44" t="s">
        <v>138</v>
      </c>
      <c r="I697" s="44" t="s">
        <v>173</v>
      </c>
      <c r="J697" s="44" t="s">
        <v>204</v>
      </c>
      <c r="K697" s="44" t="n">
        <v>1</v>
      </c>
      <c r="L697" s="46" t="n">
        <v>101.62</v>
      </c>
      <c r="M697" s="47" t="n">
        <v>1.04</v>
      </c>
      <c r="N697" s="46" t="n">
        <v>100.56</v>
      </c>
      <c r="O697" s="44" t="s">
        <v>309</v>
      </c>
      <c r="P697" s="44" t="s">
        <v>317</v>
      </c>
      <c r="Q697" s="44" t="s">
        <v>309</v>
      </c>
    </row>
    <row r="698" customFormat="false" ht="15" hidden="false" customHeight="false" outlineLevel="0" collapsed="false">
      <c r="A698" s="44" t="n">
        <v>697</v>
      </c>
      <c r="B698" s="45" t="n">
        <v>45584</v>
      </c>
      <c r="C698" s="44" t="n">
        <v>10</v>
      </c>
      <c r="D698" s="44" t="n">
        <v>2024</v>
      </c>
      <c r="E698" s="44" t="n">
        <v>19</v>
      </c>
      <c r="F698" s="44" t="s">
        <v>318</v>
      </c>
      <c r="G698" s="44" t="s">
        <v>496</v>
      </c>
      <c r="H698" s="44" t="s">
        <v>135</v>
      </c>
      <c r="I698" s="44" t="s">
        <v>172</v>
      </c>
      <c r="J698" s="44" t="s">
        <v>206</v>
      </c>
      <c r="K698" s="44" t="n">
        <v>3</v>
      </c>
      <c r="L698" s="46" t="n">
        <v>63.37</v>
      </c>
      <c r="M698" s="47" t="n">
        <v>1.98</v>
      </c>
      <c r="N698" s="46" t="n">
        <v>186.35</v>
      </c>
      <c r="O698" s="44" t="s">
        <v>309</v>
      </c>
      <c r="P698" s="44" t="s">
        <v>309</v>
      </c>
      <c r="Q698" s="44" t="s">
        <v>309</v>
      </c>
    </row>
    <row r="699" customFormat="false" ht="15" hidden="false" customHeight="false" outlineLevel="0" collapsed="false">
      <c r="A699" s="44" t="n">
        <v>698</v>
      </c>
      <c r="B699" s="45" t="n">
        <v>45339</v>
      </c>
      <c r="C699" s="44" t="n">
        <v>2</v>
      </c>
      <c r="D699" s="44" t="n">
        <v>2024</v>
      </c>
      <c r="E699" s="44" t="n">
        <v>17</v>
      </c>
      <c r="F699" s="44" t="s">
        <v>318</v>
      </c>
      <c r="G699" s="44" t="s">
        <v>400</v>
      </c>
      <c r="H699" s="44" t="s">
        <v>135</v>
      </c>
      <c r="I699" s="44" t="s">
        <v>172</v>
      </c>
      <c r="J699" s="44" t="s">
        <v>206</v>
      </c>
      <c r="K699" s="44" t="n">
        <v>4</v>
      </c>
      <c r="L699" s="46" t="n">
        <v>30.44</v>
      </c>
      <c r="M699" s="47" t="n">
        <v>6.03</v>
      </c>
      <c r="N699" s="46" t="n">
        <v>36.54</v>
      </c>
      <c r="O699" s="44" t="s">
        <v>308</v>
      </c>
      <c r="P699" s="44" t="s">
        <v>309</v>
      </c>
      <c r="Q699" s="44" t="s">
        <v>309</v>
      </c>
    </row>
    <row r="700" customFormat="false" ht="15" hidden="false" customHeight="false" outlineLevel="0" collapsed="false">
      <c r="A700" s="44" t="n">
        <v>699</v>
      </c>
      <c r="B700" s="45" t="n">
        <v>45364</v>
      </c>
      <c r="C700" s="44" t="n">
        <v>3</v>
      </c>
      <c r="D700" s="44" t="n">
        <v>2024</v>
      </c>
      <c r="E700" s="44" t="n">
        <v>13</v>
      </c>
      <c r="F700" s="44" t="s">
        <v>321</v>
      </c>
      <c r="G700" s="44" t="s">
        <v>438</v>
      </c>
      <c r="H700" s="44" t="s">
        <v>135</v>
      </c>
      <c r="I700" s="44" t="s">
        <v>173</v>
      </c>
      <c r="J700" s="44" t="s">
        <v>194</v>
      </c>
      <c r="K700" s="44" t="n">
        <v>3</v>
      </c>
      <c r="L700" s="46" t="n">
        <v>11.48</v>
      </c>
      <c r="M700" s="47" t="n">
        <v>1.66</v>
      </c>
      <c r="N700" s="46" t="n">
        <v>33.87</v>
      </c>
      <c r="O700" s="44" t="s">
        <v>309</v>
      </c>
      <c r="P700" s="44" t="s">
        <v>317</v>
      </c>
      <c r="Q700" s="44" t="s">
        <v>309</v>
      </c>
    </row>
    <row r="701" customFormat="false" ht="15" hidden="false" customHeight="false" outlineLevel="0" collapsed="false">
      <c r="A701" s="44" t="n">
        <v>700</v>
      </c>
      <c r="B701" s="45" t="n">
        <v>45493</v>
      </c>
      <c r="C701" s="44" t="n">
        <v>7</v>
      </c>
      <c r="D701" s="44" t="n">
        <v>2024</v>
      </c>
      <c r="E701" s="44" t="n">
        <v>20</v>
      </c>
      <c r="F701" s="44" t="s">
        <v>318</v>
      </c>
      <c r="G701" s="44" t="s">
        <v>379</v>
      </c>
      <c r="H701" s="44" t="s">
        <v>135</v>
      </c>
      <c r="I701" s="44" t="s">
        <v>172</v>
      </c>
      <c r="J701" s="44" t="s">
        <v>194</v>
      </c>
      <c r="K701" s="44" t="n">
        <v>1</v>
      </c>
      <c r="L701" s="46" t="n">
        <v>63.38</v>
      </c>
      <c r="M701" s="47" t="n">
        <v>0</v>
      </c>
      <c r="N701" s="46" t="n">
        <v>63.38</v>
      </c>
      <c r="O701" s="44" t="s">
        <v>309</v>
      </c>
      <c r="P701" s="44" t="s">
        <v>309</v>
      </c>
      <c r="Q701" s="44" t="s">
        <v>309</v>
      </c>
    </row>
    <row r="702" customFormat="false" ht="15" hidden="false" customHeight="false" outlineLevel="0" collapsed="false">
      <c r="A702" s="44" t="n">
        <v>701</v>
      </c>
      <c r="B702" s="45" t="n">
        <v>45411</v>
      </c>
      <c r="C702" s="44" t="n">
        <v>4</v>
      </c>
      <c r="D702" s="44" t="n">
        <v>2024</v>
      </c>
      <c r="E702" s="44" t="n">
        <v>29</v>
      </c>
      <c r="F702" s="44" t="s">
        <v>328</v>
      </c>
      <c r="G702" s="44" t="s">
        <v>341</v>
      </c>
      <c r="H702" s="44" t="s">
        <v>137</v>
      </c>
      <c r="I702" s="44" t="s">
        <v>174</v>
      </c>
      <c r="J702" s="44" t="s">
        <v>191</v>
      </c>
      <c r="K702" s="44" t="n">
        <v>5</v>
      </c>
      <c r="L702" s="46" t="n">
        <v>10.15</v>
      </c>
      <c r="M702" s="47" t="n">
        <v>6.68</v>
      </c>
      <c r="N702" s="46" t="n">
        <v>47.36</v>
      </c>
      <c r="O702" s="44" t="s">
        <v>309</v>
      </c>
      <c r="P702" s="44" t="s">
        <v>317</v>
      </c>
      <c r="Q702" s="44" t="s">
        <v>309</v>
      </c>
    </row>
    <row r="703" customFormat="false" ht="15" hidden="false" customHeight="false" outlineLevel="0" collapsed="false">
      <c r="A703" s="44" t="n">
        <v>702</v>
      </c>
      <c r="B703" s="45" t="n">
        <v>45570</v>
      </c>
      <c r="C703" s="44" t="n">
        <v>10</v>
      </c>
      <c r="D703" s="44" t="n">
        <v>2024</v>
      </c>
      <c r="E703" s="44" t="n">
        <v>5</v>
      </c>
      <c r="F703" s="44" t="s">
        <v>318</v>
      </c>
      <c r="G703" s="44" t="s">
        <v>495</v>
      </c>
      <c r="H703" s="44" t="s">
        <v>136</v>
      </c>
      <c r="I703" s="44" t="s">
        <v>173</v>
      </c>
      <c r="J703" s="44" t="s">
        <v>192</v>
      </c>
      <c r="K703" s="44" t="n">
        <v>2</v>
      </c>
      <c r="L703" s="46" t="n">
        <v>4.69</v>
      </c>
      <c r="M703" s="47" t="n">
        <v>0.67</v>
      </c>
      <c r="N703" s="46" t="n">
        <v>9.32</v>
      </c>
      <c r="O703" s="44" t="s">
        <v>309</v>
      </c>
      <c r="P703" s="44" t="s">
        <v>309</v>
      </c>
      <c r="Q703" s="44" t="s">
        <v>309</v>
      </c>
    </row>
    <row r="704" customFormat="false" ht="15" hidden="false" customHeight="false" outlineLevel="0" collapsed="false">
      <c r="A704" s="44" t="n">
        <v>703</v>
      </c>
      <c r="B704" s="45" t="n">
        <v>45383</v>
      </c>
      <c r="C704" s="44" t="n">
        <v>4</v>
      </c>
      <c r="D704" s="44" t="n">
        <v>2024</v>
      </c>
      <c r="E704" s="44" t="n">
        <v>1</v>
      </c>
      <c r="F704" s="44" t="s">
        <v>328</v>
      </c>
      <c r="G704" s="44" t="s">
        <v>382</v>
      </c>
      <c r="H704" s="44" t="s">
        <v>136</v>
      </c>
      <c r="I704" s="44" t="s">
        <v>172</v>
      </c>
      <c r="J704" s="44" t="s">
        <v>191</v>
      </c>
      <c r="K704" s="44" t="n">
        <v>1</v>
      </c>
      <c r="L704" s="46" t="n">
        <v>89.03</v>
      </c>
      <c r="M704" s="47" t="n">
        <v>1.77</v>
      </c>
      <c r="N704" s="46" t="n">
        <v>87.45</v>
      </c>
      <c r="O704" s="44" t="s">
        <v>309</v>
      </c>
      <c r="P704" s="44" t="s">
        <v>317</v>
      </c>
      <c r="Q704" s="44" t="s">
        <v>309</v>
      </c>
    </row>
    <row r="705" customFormat="false" ht="15" hidden="false" customHeight="false" outlineLevel="0" collapsed="false">
      <c r="A705" s="44" t="n">
        <v>704</v>
      </c>
      <c r="B705" s="45" t="n">
        <v>45319</v>
      </c>
      <c r="C705" s="44" t="n">
        <v>1</v>
      </c>
      <c r="D705" s="44" t="n">
        <v>2024</v>
      </c>
      <c r="E705" s="44" t="n">
        <v>28</v>
      </c>
      <c r="F705" s="44" t="s">
        <v>312</v>
      </c>
      <c r="G705" s="44" t="s">
        <v>319</v>
      </c>
      <c r="H705" s="44" t="s">
        <v>138</v>
      </c>
      <c r="I705" s="44" t="s">
        <v>176</v>
      </c>
      <c r="J705" s="44" t="s">
        <v>206</v>
      </c>
      <c r="K705" s="44" t="n">
        <v>2</v>
      </c>
      <c r="L705" s="46" t="n">
        <v>26.69</v>
      </c>
      <c r="M705" s="47" t="n">
        <v>3.02</v>
      </c>
      <c r="N705" s="46" t="n">
        <v>35.77</v>
      </c>
      <c r="O705" s="44" t="s">
        <v>308</v>
      </c>
      <c r="P705" s="44" t="s">
        <v>309</v>
      </c>
      <c r="Q705" s="44" t="s">
        <v>309</v>
      </c>
    </row>
    <row r="706" customFormat="false" ht="15" hidden="false" customHeight="false" outlineLevel="0" collapsed="false">
      <c r="A706" s="44" t="n">
        <v>705</v>
      </c>
      <c r="B706" s="45" t="n">
        <v>45555</v>
      </c>
      <c r="C706" s="44" t="n">
        <v>9</v>
      </c>
      <c r="D706" s="44" t="n">
        <v>2024</v>
      </c>
      <c r="E706" s="44" t="n">
        <v>20</v>
      </c>
      <c r="F706" s="44" t="s">
        <v>325</v>
      </c>
      <c r="G706" s="44" t="s">
        <v>440</v>
      </c>
      <c r="H706" s="44" t="s">
        <v>140</v>
      </c>
      <c r="I706" s="44" t="s">
        <v>176</v>
      </c>
      <c r="J706" s="44" t="s">
        <v>195</v>
      </c>
      <c r="K706" s="44" t="n">
        <v>1</v>
      </c>
      <c r="L706" s="46" t="n">
        <v>11.31</v>
      </c>
      <c r="M706" s="47" t="n">
        <v>0</v>
      </c>
      <c r="N706" s="46" t="n">
        <v>58.06</v>
      </c>
      <c r="O706" s="44" t="s">
        <v>308</v>
      </c>
      <c r="P706" s="44" t="s">
        <v>309</v>
      </c>
      <c r="Q706" s="44" t="s">
        <v>309</v>
      </c>
    </row>
    <row r="707" customFormat="false" ht="15" hidden="false" customHeight="false" outlineLevel="0" collapsed="false">
      <c r="A707" s="44" t="n">
        <v>706</v>
      </c>
      <c r="B707" s="45" t="n">
        <v>45482</v>
      </c>
      <c r="C707" s="44" t="n">
        <v>7</v>
      </c>
      <c r="D707" s="44" t="n">
        <v>2024</v>
      </c>
      <c r="E707" s="44" t="n">
        <v>9</v>
      </c>
      <c r="F707" s="44" t="s">
        <v>310</v>
      </c>
      <c r="G707" s="44" t="s">
        <v>467</v>
      </c>
      <c r="H707" s="44" t="s">
        <v>137</v>
      </c>
      <c r="I707" s="44" t="s">
        <v>176</v>
      </c>
      <c r="J707" s="44" t="s">
        <v>194</v>
      </c>
      <c r="K707" s="44" t="n">
        <v>4</v>
      </c>
      <c r="L707" s="46" t="n">
        <v>52.53</v>
      </c>
      <c r="M707" s="47" t="n">
        <v>3.13</v>
      </c>
      <c r="N707" s="46" t="n">
        <v>203.54</v>
      </c>
      <c r="O707" s="44" t="s">
        <v>309</v>
      </c>
      <c r="P707" s="44" t="s">
        <v>309</v>
      </c>
      <c r="Q707" s="44" t="s">
        <v>309</v>
      </c>
    </row>
    <row r="708" customFormat="false" ht="15" hidden="false" customHeight="false" outlineLevel="0" collapsed="false">
      <c r="A708" s="44" t="n">
        <v>707</v>
      </c>
      <c r="B708" s="45" t="n">
        <v>45624</v>
      </c>
      <c r="C708" s="44" t="n">
        <v>11</v>
      </c>
      <c r="D708" s="44" t="n">
        <v>2024</v>
      </c>
      <c r="E708" s="44" t="n">
        <v>28</v>
      </c>
      <c r="F708" s="44" t="s">
        <v>306</v>
      </c>
      <c r="G708" s="44" t="s">
        <v>362</v>
      </c>
      <c r="H708" s="44" t="s">
        <v>134</v>
      </c>
      <c r="I708" s="44" t="s">
        <v>172</v>
      </c>
      <c r="J708" s="44" t="s">
        <v>206</v>
      </c>
      <c r="K708" s="44" t="n">
        <v>2</v>
      </c>
      <c r="L708" s="46" t="n">
        <v>44.39</v>
      </c>
      <c r="M708" s="47" t="n">
        <v>3.42</v>
      </c>
      <c r="N708" s="46" t="n">
        <v>85.74</v>
      </c>
      <c r="O708" s="44" t="s">
        <v>309</v>
      </c>
      <c r="P708" s="44" t="s">
        <v>309</v>
      </c>
      <c r="Q708" s="44" t="s">
        <v>309</v>
      </c>
    </row>
    <row r="709" customFormat="false" ht="15" hidden="false" customHeight="false" outlineLevel="0" collapsed="false">
      <c r="A709" s="44" t="n">
        <v>708</v>
      </c>
      <c r="B709" s="45" t="n">
        <v>45486</v>
      </c>
      <c r="C709" s="44" t="n">
        <v>7</v>
      </c>
      <c r="D709" s="44" t="n">
        <v>2024</v>
      </c>
      <c r="E709" s="44" t="n">
        <v>13</v>
      </c>
      <c r="F709" s="44" t="s">
        <v>318</v>
      </c>
      <c r="G709" s="44" t="s">
        <v>319</v>
      </c>
      <c r="H709" s="44" t="s">
        <v>136</v>
      </c>
      <c r="I709" s="44" t="s">
        <v>174</v>
      </c>
      <c r="J709" s="44" t="s">
        <v>200</v>
      </c>
      <c r="K709" s="44" t="n">
        <v>1</v>
      </c>
      <c r="L709" s="46" t="n">
        <v>4</v>
      </c>
      <c r="M709" s="47" t="n">
        <v>0.72</v>
      </c>
      <c r="N709" s="46" t="n">
        <v>3.97</v>
      </c>
      <c r="O709" s="44" t="s">
        <v>309</v>
      </c>
      <c r="P709" s="44" t="s">
        <v>309</v>
      </c>
      <c r="Q709" s="44" t="s">
        <v>309</v>
      </c>
    </row>
    <row r="710" customFormat="false" ht="15" hidden="false" customHeight="false" outlineLevel="0" collapsed="false">
      <c r="A710" s="44" t="n">
        <v>709</v>
      </c>
      <c r="B710" s="45" t="n">
        <v>45313</v>
      </c>
      <c r="C710" s="44" t="n">
        <v>1</v>
      </c>
      <c r="D710" s="44" t="n">
        <v>2024</v>
      </c>
      <c r="E710" s="44" t="n">
        <v>22</v>
      </c>
      <c r="F710" s="44" t="s">
        <v>328</v>
      </c>
      <c r="G710" s="44" t="s">
        <v>359</v>
      </c>
      <c r="H710" s="44" t="s">
        <v>137</v>
      </c>
      <c r="I710" s="44" t="s">
        <v>174</v>
      </c>
      <c r="J710" s="44" t="s">
        <v>191</v>
      </c>
      <c r="K710" s="44" t="n">
        <v>3</v>
      </c>
      <c r="L710" s="46" t="n">
        <v>28.2</v>
      </c>
      <c r="M710" s="47" t="n">
        <v>1.905</v>
      </c>
      <c r="N710" s="46" t="n">
        <v>87.61</v>
      </c>
      <c r="O710" s="44" t="s">
        <v>308</v>
      </c>
      <c r="P710" s="44" t="s">
        <v>369</v>
      </c>
      <c r="Q710" s="44" t="s">
        <v>309</v>
      </c>
    </row>
    <row r="711" customFormat="false" ht="15" hidden="false" customHeight="false" outlineLevel="0" collapsed="false">
      <c r="A711" s="44" t="n">
        <v>710</v>
      </c>
      <c r="B711" s="45" t="n">
        <v>45605</v>
      </c>
      <c r="C711" s="44" t="n">
        <v>11</v>
      </c>
      <c r="D711" s="44" t="n">
        <v>2024</v>
      </c>
      <c r="E711" s="44" t="n">
        <v>9</v>
      </c>
      <c r="F711" s="44" t="s">
        <v>318</v>
      </c>
      <c r="G711" s="44" t="s">
        <v>334</v>
      </c>
      <c r="H711" s="44" t="s">
        <v>140</v>
      </c>
      <c r="I711" s="44" t="s">
        <v>172</v>
      </c>
      <c r="J711" s="44" t="s">
        <v>193</v>
      </c>
      <c r="K711" s="44" t="n">
        <v>1</v>
      </c>
      <c r="L711" s="46" t="n">
        <v>9.47</v>
      </c>
      <c r="M711" s="47" t="n">
        <v>1.61</v>
      </c>
      <c r="N711" s="46" t="n">
        <v>9.32</v>
      </c>
      <c r="O711" s="44" t="s">
        <v>309</v>
      </c>
      <c r="P711" s="44" t="s">
        <v>309</v>
      </c>
      <c r="Q711" s="44" t="s">
        <v>309</v>
      </c>
    </row>
    <row r="712" customFormat="false" ht="15" hidden="false" customHeight="false" outlineLevel="0" collapsed="false">
      <c r="A712" s="44" t="n">
        <v>711</v>
      </c>
      <c r="B712" s="45" t="n">
        <v>45400</v>
      </c>
      <c r="C712" s="44" t="n">
        <v>4</v>
      </c>
      <c r="D712" s="44" t="n">
        <v>2024</v>
      </c>
      <c r="E712" s="44" t="n">
        <v>18</v>
      </c>
      <c r="F712" s="44" t="s">
        <v>306</v>
      </c>
      <c r="G712" s="44" t="s">
        <v>384</v>
      </c>
      <c r="H712" s="44" t="s">
        <v>136</v>
      </c>
      <c r="I712" s="44" t="s">
        <v>176</v>
      </c>
      <c r="J712" s="44" t="s">
        <v>206</v>
      </c>
      <c r="K712" s="44" t="n">
        <v>3</v>
      </c>
      <c r="L712" s="46" t="n">
        <v>52.52</v>
      </c>
      <c r="M712" s="47" t="n">
        <v>1.97</v>
      </c>
      <c r="N712" s="46" t="n">
        <v>154.46</v>
      </c>
      <c r="O712" s="44" t="s">
        <v>309</v>
      </c>
      <c r="P712" s="44" t="s">
        <v>317</v>
      </c>
      <c r="Q712" s="44" t="s">
        <v>309</v>
      </c>
    </row>
    <row r="713" customFormat="false" ht="15" hidden="false" customHeight="false" outlineLevel="0" collapsed="false">
      <c r="A713" s="44" t="n">
        <v>712</v>
      </c>
      <c r="B713" s="45" t="n">
        <v>45646</v>
      </c>
      <c r="C713" s="44" t="n">
        <v>12</v>
      </c>
      <c r="D713" s="44" t="n">
        <v>2024</v>
      </c>
      <c r="E713" s="44" t="n">
        <v>20</v>
      </c>
      <c r="F713" s="44" t="s">
        <v>325</v>
      </c>
      <c r="G713" s="44" t="s">
        <v>518</v>
      </c>
      <c r="H713" s="44" t="s">
        <v>134</v>
      </c>
      <c r="I713" s="44" t="s">
        <v>172</v>
      </c>
      <c r="J713" s="44" t="s">
        <v>206</v>
      </c>
      <c r="K713" s="44" t="n">
        <v>1</v>
      </c>
      <c r="L713" s="46" t="n">
        <v>3.45</v>
      </c>
      <c r="M713" s="47" t="n">
        <v>1.11</v>
      </c>
      <c r="N713" s="46" t="n">
        <v>3.41</v>
      </c>
      <c r="O713" s="44" t="s">
        <v>309</v>
      </c>
      <c r="P713" s="44" t="s">
        <v>309</v>
      </c>
      <c r="Q713" s="44" t="s">
        <v>309</v>
      </c>
    </row>
    <row r="714" customFormat="false" ht="15" hidden="false" customHeight="false" outlineLevel="0" collapsed="false">
      <c r="A714" s="44" t="n">
        <v>713</v>
      </c>
      <c r="B714" s="45" t="n">
        <v>45393</v>
      </c>
      <c r="C714" s="44" t="n">
        <v>4</v>
      </c>
      <c r="D714" s="44" t="n">
        <v>2024</v>
      </c>
      <c r="E714" s="44" t="n">
        <v>11</v>
      </c>
      <c r="F714" s="44" t="s">
        <v>306</v>
      </c>
      <c r="G714" s="44" t="s">
        <v>474</v>
      </c>
      <c r="H714" s="44" t="s">
        <v>140</v>
      </c>
      <c r="I714" s="44" t="s">
        <v>173</v>
      </c>
      <c r="J714" s="44" t="s">
        <v>195</v>
      </c>
      <c r="K714" s="44" t="n">
        <v>3</v>
      </c>
      <c r="L714" s="46" t="n">
        <v>7.35</v>
      </c>
      <c r="M714" s="47" t="n">
        <v>4.53</v>
      </c>
      <c r="N714" s="46" t="n">
        <v>21.05</v>
      </c>
      <c r="O714" s="44" t="s">
        <v>309</v>
      </c>
      <c r="P714" s="44" t="s">
        <v>309</v>
      </c>
      <c r="Q714" s="44" t="s">
        <v>309</v>
      </c>
    </row>
    <row r="715" customFormat="false" ht="15" hidden="false" customHeight="false" outlineLevel="0" collapsed="false">
      <c r="A715" s="44" t="n">
        <v>714</v>
      </c>
      <c r="B715" s="45" t="n">
        <v>45417</v>
      </c>
      <c r="C715" s="44" t="n">
        <v>5</v>
      </c>
      <c r="D715" s="44" t="n">
        <v>2024</v>
      </c>
      <c r="E715" s="44" t="n">
        <v>5</v>
      </c>
      <c r="F715" s="44" t="s">
        <v>312</v>
      </c>
      <c r="G715" s="44" t="s">
        <v>455</v>
      </c>
      <c r="H715" s="44" t="s">
        <v>139</v>
      </c>
      <c r="I715" s="44" t="s">
        <v>173</v>
      </c>
      <c r="J715" s="44" t="s">
        <v>192</v>
      </c>
      <c r="K715" s="44" t="n">
        <v>3</v>
      </c>
      <c r="L715" s="46" t="n">
        <v>18.33</v>
      </c>
      <c r="M715" s="47" t="n">
        <v>1.88</v>
      </c>
      <c r="N715" s="46" t="n">
        <v>5.21</v>
      </c>
      <c r="O715" s="44" t="s">
        <v>308</v>
      </c>
      <c r="P715" s="44" t="s">
        <v>309</v>
      </c>
      <c r="Q715" s="44" t="s">
        <v>309</v>
      </c>
    </row>
    <row r="716" customFormat="false" ht="15" hidden="false" customHeight="false" outlineLevel="0" collapsed="false">
      <c r="A716" s="44" t="n">
        <v>715</v>
      </c>
      <c r="B716" s="45" t="n">
        <v>45376</v>
      </c>
      <c r="C716" s="44" t="n">
        <v>3</v>
      </c>
      <c r="D716" s="44" t="n">
        <v>2024</v>
      </c>
      <c r="E716" s="44" t="n">
        <v>25</v>
      </c>
      <c r="F716" s="44" t="s">
        <v>328</v>
      </c>
      <c r="G716" s="44" t="s">
        <v>550</v>
      </c>
      <c r="H716" s="44" t="s">
        <v>138</v>
      </c>
      <c r="I716" s="44" t="s">
        <v>173</v>
      </c>
      <c r="J716" s="44" t="s">
        <v>206</v>
      </c>
      <c r="K716" s="44" t="n">
        <v>8</v>
      </c>
      <c r="L716" s="46" t="n">
        <v>69.23</v>
      </c>
      <c r="M716" s="47" t="n">
        <v>10.8</v>
      </c>
      <c r="N716" s="46" t="n">
        <v>494.03</v>
      </c>
      <c r="O716" s="44" t="s">
        <v>309</v>
      </c>
      <c r="P716" s="44" t="s">
        <v>317</v>
      </c>
      <c r="Q716" s="44" t="s">
        <v>309</v>
      </c>
    </row>
    <row r="717" customFormat="false" ht="15" hidden="false" customHeight="false" outlineLevel="0" collapsed="false">
      <c r="A717" s="44" t="n">
        <v>716</v>
      </c>
      <c r="B717" s="45" t="n">
        <v>45373</v>
      </c>
      <c r="C717" s="44" t="n">
        <v>3</v>
      </c>
      <c r="D717" s="44" t="n">
        <v>2024</v>
      </c>
      <c r="E717" s="44" t="n">
        <v>22</v>
      </c>
      <c r="F717" s="44" t="s">
        <v>325</v>
      </c>
      <c r="G717" s="44" t="s">
        <v>396</v>
      </c>
      <c r="H717" s="44" t="s">
        <v>135</v>
      </c>
      <c r="I717" s="44" t="s">
        <v>174</v>
      </c>
      <c r="J717" s="44" t="s">
        <v>206</v>
      </c>
      <c r="K717" s="44" t="n">
        <v>1</v>
      </c>
      <c r="L717" s="46" t="n">
        <v>2.5</v>
      </c>
      <c r="M717" s="47" t="n">
        <v>0</v>
      </c>
      <c r="N717" s="46" t="n">
        <v>2.5</v>
      </c>
      <c r="O717" s="44" t="s">
        <v>309</v>
      </c>
      <c r="P717" s="44" t="s">
        <v>317</v>
      </c>
      <c r="Q717" s="44" t="s">
        <v>309</v>
      </c>
    </row>
    <row r="718" customFormat="false" ht="15" hidden="false" customHeight="false" outlineLevel="0" collapsed="false">
      <c r="A718" s="44" t="n">
        <v>717</v>
      </c>
      <c r="B718" s="45" t="n">
        <v>45469</v>
      </c>
      <c r="C718" s="44" t="n">
        <v>6</v>
      </c>
      <c r="D718" s="44" t="n">
        <v>2024</v>
      </c>
      <c r="E718" s="44" t="n">
        <v>26</v>
      </c>
      <c r="F718" s="44" t="s">
        <v>321</v>
      </c>
      <c r="G718" s="44" t="s">
        <v>407</v>
      </c>
      <c r="H718" s="44" t="s">
        <v>135</v>
      </c>
      <c r="I718" s="44" t="s">
        <v>172</v>
      </c>
      <c r="J718" s="44" t="s">
        <v>196</v>
      </c>
      <c r="K718" s="44" t="n">
        <v>1</v>
      </c>
      <c r="L718" s="46" t="n">
        <v>3.39</v>
      </c>
      <c r="M718" s="47" t="n">
        <v>0</v>
      </c>
      <c r="N718" s="46" t="n">
        <v>3.39</v>
      </c>
      <c r="O718" s="44" t="s">
        <v>309</v>
      </c>
      <c r="P718" s="44" t="s">
        <v>317</v>
      </c>
      <c r="Q718" s="44" t="s">
        <v>309</v>
      </c>
    </row>
    <row r="719" customFormat="false" ht="15" hidden="false" customHeight="false" outlineLevel="0" collapsed="false">
      <c r="A719" s="44" t="n">
        <v>718</v>
      </c>
      <c r="B719" s="45" t="n">
        <v>45344</v>
      </c>
      <c r="C719" s="44" t="n">
        <v>2</v>
      </c>
      <c r="D719" s="44" t="n">
        <v>2024</v>
      </c>
      <c r="E719" s="44" t="n">
        <v>22</v>
      </c>
      <c r="F719" s="44" t="s">
        <v>306</v>
      </c>
      <c r="G719" s="44" t="s">
        <v>428</v>
      </c>
      <c r="H719" s="44" t="s">
        <v>140</v>
      </c>
      <c r="I719" s="44" t="s">
        <v>176</v>
      </c>
      <c r="J719" s="44" t="s">
        <v>206</v>
      </c>
      <c r="K719" s="44" t="n">
        <v>1</v>
      </c>
      <c r="L719" s="46" t="n">
        <v>14.07</v>
      </c>
      <c r="M719" s="47" t="n">
        <v>0</v>
      </c>
      <c r="N719" s="46" t="n">
        <v>14.07</v>
      </c>
      <c r="O719" s="44" t="s">
        <v>309</v>
      </c>
      <c r="P719" s="44" t="s">
        <v>317</v>
      </c>
      <c r="Q719" s="44" t="s">
        <v>309</v>
      </c>
    </row>
    <row r="720" customFormat="false" ht="15" hidden="false" customHeight="false" outlineLevel="0" collapsed="false">
      <c r="A720" s="44" t="n">
        <v>719</v>
      </c>
      <c r="B720" s="45" t="n">
        <v>45384</v>
      </c>
      <c r="C720" s="44" t="n">
        <v>4</v>
      </c>
      <c r="D720" s="44" t="n">
        <v>2024</v>
      </c>
      <c r="E720" s="44" t="n">
        <v>2</v>
      </c>
      <c r="F720" s="44" t="s">
        <v>310</v>
      </c>
      <c r="G720" s="44" t="s">
        <v>504</v>
      </c>
      <c r="H720" s="44" t="s">
        <v>134</v>
      </c>
      <c r="I720" s="44" t="s">
        <v>176</v>
      </c>
      <c r="J720" s="44" t="s">
        <v>206</v>
      </c>
      <c r="K720" s="44" t="n">
        <v>2</v>
      </c>
      <c r="L720" s="46" t="n">
        <v>91.25</v>
      </c>
      <c r="M720" s="47" t="n">
        <v>0.22</v>
      </c>
      <c r="N720" s="46" t="n">
        <v>182.1</v>
      </c>
      <c r="O720" s="44" t="s">
        <v>309</v>
      </c>
      <c r="P720" s="44" t="s">
        <v>309</v>
      </c>
      <c r="Q720" s="44" t="s">
        <v>309</v>
      </c>
    </row>
    <row r="721" customFormat="false" ht="15" hidden="false" customHeight="false" outlineLevel="0" collapsed="false">
      <c r="A721" s="44" t="n">
        <v>720</v>
      </c>
      <c r="B721" s="45" t="n">
        <v>45459</v>
      </c>
      <c r="C721" s="44" t="n">
        <v>6</v>
      </c>
      <c r="D721" s="44" t="n">
        <v>2024</v>
      </c>
      <c r="E721" s="44" t="n">
        <v>16</v>
      </c>
      <c r="F721" s="44" t="s">
        <v>312</v>
      </c>
      <c r="G721" s="44" t="s">
        <v>448</v>
      </c>
      <c r="H721" s="44" t="s">
        <v>135</v>
      </c>
      <c r="I721" s="44" t="s">
        <v>173</v>
      </c>
      <c r="J721" s="44" t="s">
        <v>206</v>
      </c>
      <c r="K721" s="44" t="n">
        <v>3</v>
      </c>
      <c r="L721" s="46" t="n">
        <v>2.5</v>
      </c>
      <c r="M721" s="47" t="n">
        <v>3.12</v>
      </c>
      <c r="N721" s="46" t="n">
        <v>7.27</v>
      </c>
      <c r="O721" s="44" t="s">
        <v>309</v>
      </c>
      <c r="P721" s="44" t="s">
        <v>309</v>
      </c>
      <c r="Q721" s="44" t="s">
        <v>309</v>
      </c>
    </row>
    <row r="722" customFormat="false" ht="15" hidden="false" customHeight="false" outlineLevel="0" collapsed="false">
      <c r="A722" s="44" t="n">
        <v>721</v>
      </c>
      <c r="B722" s="45" t="n">
        <v>45618</v>
      </c>
      <c r="C722" s="44" t="n">
        <v>11</v>
      </c>
      <c r="D722" s="44" t="n">
        <v>2024</v>
      </c>
      <c r="E722" s="44" t="n">
        <v>22</v>
      </c>
      <c r="F722" s="44" t="s">
        <v>325</v>
      </c>
      <c r="G722" s="44" t="s">
        <v>451</v>
      </c>
      <c r="H722" s="44" t="s">
        <v>138</v>
      </c>
      <c r="I722" s="44" t="s">
        <v>174</v>
      </c>
      <c r="J722" s="44" t="s">
        <v>197</v>
      </c>
      <c r="K722" s="44" t="n">
        <v>2</v>
      </c>
      <c r="L722" s="46" t="n">
        <v>26.69</v>
      </c>
      <c r="M722" s="47" t="n">
        <v>1.905</v>
      </c>
      <c r="N722" s="46" t="n">
        <v>55.37</v>
      </c>
      <c r="O722" s="44" t="s">
        <v>308</v>
      </c>
      <c r="P722" s="44" t="s">
        <v>369</v>
      </c>
      <c r="Q722" s="44" t="s">
        <v>309</v>
      </c>
    </row>
    <row r="723" customFormat="false" ht="15" hidden="false" customHeight="false" outlineLevel="0" collapsed="false">
      <c r="A723" s="44" t="n">
        <v>722</v>
      </c>
      <c r="B723" s="45" t="n">
        <v>45294</v>
      </c>
      <c r="C723" s="44" t="n">
        <v>1</v>
      </c>
      <c r="D723" s="44" t="n">
        <v>2024</v>
      </c>
      <c r="E723" s="44" t="n">
        <v>3</v>
      </c>
      <c r="F723" s="44" t="s">
        <v>321</v>
      </c>
      <c r="G723" s="44" t="s">
        <v>396</v>
      </c>
      <c r="H723" s="44" t="s">
        <v>139</v>
      </c>
      <c r="I723" s="44" t="s">
        <v>172</v>
      </c>
      <c r="J723" s="44" t="s">
        <v>198</v>
      </c>
      <c r="K723" s="44" t="n">
        <v>1</v>
      </c>
      <c r="L723" s="46" t="n">
        <v>18.33</v>
      </c>
      <c r="M723" s="47" t="n">
        <v>1.905</v>
      </c>
      <c r="N723" s="46" t="n">
        <v>20.18</v>
      </c>
      <c r="O723" s="44" t="s">
        <v>308</v>
      </c>
      <c r="P723" s="44" t="s">
        <v>369</v>
      </c>
      <c r="Q723" s="44" t="s">
        <v>309</v>
      </c>
    </row>
    <row r="724" customFormat="false" ht="15" hidden="false" customHeight="false" outlineLevel="0" collapsed="false">
      <c r="A724" s="44" t="n">
        <v>723</v>
      </c>
      <c r="B724" s="45" t="n">
        <v>45396</v>
      </c>
      <c r="C724" s="44" t="n">
        <v>4</v>
      </c>
      <c r="D724" s="44" t="n">
        <v>2024</v>
      </c>
      <c r="E724" s="44" t="n">
        <v>14</v>
      </c>
      <c r="F724" s="44" t="s">
        <v>312</v>
      </c>
      <c r="G724" s="44" t="s">
        <v>525</v>
      </c>
      <c r="H724" s="44" t="s">
        <v>134</v>
      </c>
      <c r="I724" s="44" t="s">
        <v>172</v>
      </c>
      <c r="J724" s="44" t="s">
        <v>196</v>
      </c>
      <c r="K724" s="44" t="n">
        <v>2</v>
      </c>
      <c r="L724" s="46" t="n">
        <v>29.18</v>
      </c>
      <c r="M724" s="47" t="n">
        <v>1.905</v>
      </c>
      <c r="N724" s="46" t="n">
        <v>26.59</v>
      </c>
      <c r="O724" s="44" t="s">
        <v>308</v>
      </c>
      <c r="P724" s="44" t="s">
        <v>369</v>
      </c>
      <c r="Q724" s="44" t="s">
        <v>309</v>
      </c>
    </row>
    <row r="725" customFormat="false" ht="15" hidden="false" customHeight="false" outlineLevel="0" collapsed="false">
      <c r="A725" s="44" t="n">
        <v>724</v>
      </c>
      <c r="B725" s="45" t="n">
        <v>45568</v>
      </c>
      <c r="C725" s="44" t="n">
        <v>10</v>
      </c>
      <c r="D725" s="44" t="n">
        <v>2024</v>
      </c>
      <c r="E725" s="44" t="n">
        <v>3</v>
      </c>
      <c r="F725" s="44" t="s">
        <v>306</v>
      </c>
      <c r="G725" s="44" t="s">
        <v>534</v>
      </c>
      <c r="H725" s="44" t="s">
        <v>134</v>
      </c>
      <c r="I725" s="44" t="s">
        <v>173</v>
      </c>
      <c r="J725" s="44" t="s">
        <v>206</v>
      </c>
      <c r="K725" s="44" t="n">
        <v>2</v>
      </c>
      <c r="L725" s="46" t="n">
        <v>25.07</v>
      </c>
      <c r="M725" s="47" t="n">
        <v>2.78</v>
      </c>
      <c r="N725" s="46" t="n">
        <v>48.75</v>
      </c>
      <c r="O725" s="44" t="s">
        <v>309</v>
      </c>
      <c r="P725" s="44" t="s">
        <v>309</v>
      </c>
      <c r="Q725" s="44" t="s">
        <v>309</v>
      </c>
    </row>
    <row r="726" customFormat="false" ht="15" hidden="false" customHeight="false" outlineLevel="0" collapsed="false">
      <c r="A726" s="44" t="n">
        <v>725</v>
      </c>
      <c r="B726" s="45" t="n">
        <v>45349</v>
      </c>
      <c r="C726" s="44" t="n">
        <v>2</v>
      </c>
      <c r="D726" s="44" t="n">
        <v>2024</v>
      </c>
      <c r="E726" s="44" t="n">
        <v>27</v>
      </c>
      <c r="F726" s="44" t="s">
        <v>310</v>
      </c>
      <c r="G726" s="44" t="s">
        <v>551</v>
      </c>
      <c r="H726" s="44" t="s">
        <v>135</v>
      </c>
      <c r="I726" s="44" t="s">
        <v>172</v>
      </c>
      <c r="J726" s="44" t="s">
        <v>193</v>
      </c>
      <c r="K726" s="44" t="n">
        <v>4</v>
      </c>
      <c r="L726" s="46" t="n">
        <v>10.28</v>
      </c>
      <c r="M726" s="47" t="n">
        <v>4.36</v>
      </c>
      <c r="N726" s="46" t="n">
        <v>39.33</v>
      </c>
      <c r="O726" s="44" t="s">
        <v>309</v>
      </c>
      <c r="P726" s="44" t="s">
        <v>309</v>
      </c>
      <c r="Q726" s="44" t="s">
        <v>309</v>
      </c>
    </row>
    <row r="727" customFormat="false" ht="15" hidden="false" customHeight="false" outlineLevel="0" collapsed="false">
      <c r="A727" s="44" t="n">
        <v>726</v>
      </c>
      <c r="B727" s="45" t="n">
        <v>45427</v>
      </c>
      <c r="C727" s="44" t="n">
        <v>5</v>
      </c>
      <c r="D727" s="44" t="n">
        <v>2024</v>
      </c>
      <c r="E727" s="44" t="n">
        <v>15</v>
      </c>
      <c r="F727" s="44" t="s">
        <v>321</v>
      </c>
      <c r="G727" s="44" t="s">
        <v>549</v>
      </c>
      <c r="H727" s="44" t="s">
        <v>134</v>
      </c>
      <c r="I727" s="44" t="s">
        <v>175</v>
      </c>
      <c r="J727" s="44" t="s">
        <v>191</v>
      </c>
      <c r="K727" s="44" t="n">
        <v>1</v>
      </c>
      <c r="L727" s="46" t="n">
        <v>63.77</v>
      </c>
      <c r="M727" s="47" t="n">
        <v>0.78</v>
      </c>
      <c r="N727" s="46" t="n">
        <v>63.27</v>
      </c>
      <c r="O727" s="44" t="s">
        <v>309</v>
      </c>
      <c r="P727" s="44" t="s">
        <v>317</v>
      </c>
      <c r="Q727" s="44" t="s">
        <v>309</v>
      </c>
    </row>
    <row r="728" customFormat="false" ht="15" hidden="false" customHeight="false" outlineLevel="0" collapsed="false">
      <c r="A728" s="44" t="n">
        <v>727</v>
      </c>
      <c r="B728" s="45" t="n">
        <v>45485</v>
      </c>
      <c r="C728" s="44" t="n">
        <v>7</v>
      </c>
      <c r="D728" s="44" t="n">
        <v>2024</v>
      </c>
      <c r="E728" s="44" t="n">
        <v>12</v>
      </c>
      <c r="F728" s="44" t="s">
        <v>325</v>
      </c>
      <c r="G728" s="44" t="s">
        <v>348</v>
      </c>
      <c r="H728" s="44" t="s">
        <v>134</v>
      </c>
      <c r="I728" s="44" t="s">
        <v>176</v>
      </c>
      <c r="J728" s="44" t="s">
        <v>206</v>
      </c>
      <c r="K728" s="44" t="n">
        <v>2</v>
      </c>
      <c r="L728" s="46" t="n">
        <v>29.18</v>
      </c>
      <c r="M728" s="47" t="n">
        <v>0.3</v>
      </c>
      <c r="N728" s="46" t="n">
        <v>270.23</v>
      </c>
      <c r="O728" s="44" t="s">
        <v>308</v>
      </c>
      <c r="P728" s="44" t="s">
        <v>309</v>
      </c>
      <c r="Q728" s="44" t="s">
        <v>309</v>
      </c>
    </row>
    <row r="729" customFormat="false" ht="15" hidden="false" customHeight="false" outlineLevel="0" collapsed="false">
      <c r="A729" s="44" t="n">
        <v>728</v>
      </c>
      <c r="B729" s="45" t="n">
        <v>45347</v>
      </c>
      <c r="C729" s="44" t="n">
        <v>2</v>
      </c>
      <c r="D729" s="44" t="n">
        <v>2024</v>
      </c>
      <c r="E729" s="44" t="n">
        <v>25</v>
      </c>
      <c r="F729" s="44" t="s">
        <v>312</v>
      </c>
      <c r="G729" s="44" t="s">
        <v>518</v>
      </c>
      <c r="H729" s="44" t="s">
        <v>135</v>
      </c>
      <c r="I729" s="44" t="s">
        <v>174</v>
      </c>
      <c r="J729" s="44" t="s">
        <v>192</v>
      </c>
      <c r="K729" s="44" t="n">
        <v>12</v>
      </c>
      <c r="L729" s="46" t="n">
        <v>5.43</v>
      </c>
      <c r="M729" s="47" t="n">
        <v>17.84</v>
      </c>
      <c r="N729" s="46" t="n">
        <v>53.54</v>
      </c>
      <c r="O729" s="44" t="s">
        <v>309</v>
      </c>
      <c r="P729" s="44" t="s">
        <v>309</v>
      </c>
      <c r="Q729" s="44" t="s">
        <v>309</v>
      </c>
    </row>
    <row r="730" customFormat="false" ht="15" hidden="false" customHeight="false" outlineLevel="0" collapsed="false">
      <c r="A730" s="44" t="n">
        <v>729</v>
      </c>
      <c r="B730" s="45" t="n">
        <v>45555</v>
      </c>
      <c r="C730" s="44" t="n">
        <v>9</v>
      </c>
      <c r="D730" s="44" t="n">
        <v>2024</v>
      </c>
      <c r="E730" s="44" t="n">
        <v>20</v>
      </c>
      <c r="F730" s="44" t="s">
        <v>325</v>
      </c>
      <c r="G730" s="44" t="s">
        <v>355</v>
      </c>
      <c r="H730" s="44" t="s">
        <v>135</v>
      </c>
      <c r="I730" s="44" t="s">
        <v>173</v>
      </c>
      <c r="J730" s="44" t="s">
        <v>193</v>
      </c>
      <c r="K730" s="44" t="n">
        <v>1</v>
      </c>
      <c r="L730" s="46" t="n">
        <v>154.22</v>
      </c>
      <c r="M730" s="47" t="n">
        <v>0</v>
      </c>
      <c r="N730" s="46" t="n">
        <v>154.22</v>
      </c>
      <c r="O730" s="44" t="s">
        <v>309</v>
      </c>
      <c r="P730" s="44" t="s">
        <v>309</v>
      </c>
      <c r="Q730" s="44" t="s">
        <v>309</v>
      </c>
    </row>
    <row r="731" customFormat="false" ht="15" hidden="false" customHeight="false" outlineLevel="0" collapsed="false">
      <c r="A731" s="44" t="n">
        <v>730</v>
      </c>
      <c r="B731" s="45" t="n">
        <v>45541</v>
      </c>
      <c r="C731" s="44" t="n">
        <v>9</v>
      </c>
      <c r="D731" s="44" t="n">
        <v>2024</v>
      </c>
      <c r="E731" s="44" t="n">
        <v>6</v>
      </c>
      <c r="F731" s="44" t="s">
        <v>325</v>
      </c>
      <c r="G731" s="44" t="s">
        <v>365</v>
      </c>
      <c r="H731" s="44" t="s">
        <v>134</v>
      </c>
      <c r="I731" s="44" t="s">
        <v>174</v>
      </c>
      <c r="J731" s="44" t="s">
        <v>191</v>
      </c>
      <c r="K731" s="44" t="n">
        <v>3</v>
      </c>
      <c r="L731" s="46" t="n">
        <v>28.97</v>
      </c>
      <c r="M731" s="47" t="n">
        <v>1.65</v>
      </c>
      <c r="N731" s="46" t="n">
        <v>85.48</v>
      </c>
      <c r="O731" s="44" t="s">
        <v>309</v>
      </c>
      <c r="P731" s="44" t="s">
        <v>317</v>
      </c>
      <c r="Q731" s="44" t="s">
        <v>309</v>
      </c>
    </row>
    <row r="732" customFormat="false" ht="15" hidden="false" customHeight="false" outlineLevel="0" collapsed="false">
      <c r="A732" s="44" t="n">
        <v>731</v>
      </c>
      <c r="B732" s="45" t="n">
        <v>45457</v>
      </c>
      <c r="C732" s="44" t="n">
        <v>6</v>
      </c>
      <c r="D732" s="44" t="n">
        <v>2024</v>
      </c>
      <c r="E732" s="44" t="n">
        <v>14</v>
      </c>
      <c r="F732" s="44" t="s">
        <v>325</v>
      </c>
      <c r="G732" s="44" t="s">
        <v>408</v>
      </c>
      <c r="H732" s="44" t="s">
        <v>134</v>
      </c>
      <c r="I732" s="44" t="s">
        <v>176</v>
      </c>
      <c r="J732" s="44" t="s">
        <v>193</v>
      </c>
      <c r="K732" s="44" t="n">
        <v>1</v>
      </c>
      <c r="L732" s="46" t="n">
        <v>15.45</v>
      </c>
      <c r="M732" s="47" t="n">
        <v>0.58</v>
      </c>
      <c r="N732" s="46" t="n">
        <v>15.36</v>
      </c>
      <c r="O732" s="44" t="s">
        <v>309</v>
      </c>
      <c r="P732" s="44" t="s">
        <v>317</v>
      </c>
      <c r="Q732" s="44" t="s">
        <v>309</v>
      </c>
    </row>
    <row r="733" customFormat="false" ht="15" hidden="false" customHeight="false" outlineLevel="0" collapsed="false">
      <c r="A733" s="44" t="n">
        <v>732</v>
      </c>
      <c r="B733" s="45" t="n">
        <v>45298</v>
      </c>
      <c r="C733" s="44" t="n">
        <v>1</v>
      </c>
      <c r="D733" s="44" t="n">
        <v>2024</v>
      </c>
      <c r="E733" s="44" t="n">
        <v>7</v>
      </c>
      <c r="F733" s="44" t="s">
        <v>312</v>
      </c>
      <c r="G733" s="44" t="s">
        <v>408</v>
      </c>
      <c r="H733" s="44" t="s">
        <v>136</v>
      </c>
      <c r="I733" s="44" t="s">
        <v>172</v>
      </c>
      <c r="J733" s="44" t="s">
        <v>202</v>
      </c>
      <c r="K733" s="44" t="n">
        <v>1</v>
      </c>
      <c r="L733" s="46" t="n">
        <v>100.1</v>
      </c>
      <c r="M733" s="47" t="n">
        <v>0</v>
      </c>
      <c r="N733" s="46" t="n">
        <v>100.1</v>
      </c>
      <c r="O733" s="44" t="s">
        <v>309</v>
      </c>
      <c r="P733" s="44" t="s">
        <v>309</v>
      </c>
      <c r="Q733" s="44" t="s">
        <v>309</v>
      </c>
    </row>
    <row r="734" customFormat="false" ht="15" hidden="false" customHeight="false" outlineLevel="0" collapsed="false">
      <c r="A734" s="44" t="n">
        <v>733</v>
      </c>
      <c r="B734" s="45" t="n">
        <v>45349</v>
      </c>
      <c r="C734" s="44" t="n">
        <v>2</v>
      </c>
      <c r="D734" s="44" t="n">
        <v>2024</v>
      </c>
      <c r="E734" s="44" t="n">
        <v>27</v>
      </c>
      <c r="F734" s="44" t="s">
        <v>310</v>
      </c>
      <c r="G734" s="44" t="s">
        <v>428</v>
      </c>
      <c r="H734" s="44" t="s">
        <v>135</v>
      </c>
      <c r="I734" s="44" t="s">
        <v>173</v>
      </c>
      <c r="J734" s="44" t="s">
        <v>192</v>
      </c>
      <c r="K734" s="44" t="n">
        <v>8</v>
      </c>
      <c r="L734" s="46" t="n">
        <v>17.38</v>
      </c>
      <c r="M734" s="47" t="n">
        <v>11.9</v>
      </c>
      <c r="N734" s="46" t="n">
        <v>122.49</v>
      </c>
      <c r="O734" s="44" t="s">
        <v>309</v>
      </c>
      <c r="P734" s="44" t="s">
        <v>317</v>
      </c>
      <c r="Q734" s="44" t="s">
        <v>309</v>
      </c>
    </row>
    <row r="735" customFormat="false" ht="15" hidden="false" customHeight="false" outlineLevel="0" collapsed="false">
      <c r="A735" s="44" t="n">
        <v>734</v>
      </c>
      <c r="B735" s="45" t="n">
        <v>45627</v>
      </c>
      <c r="C735" s="44" t="n">
        <v>12</v>
      </c>
      <c r="D735" s="44" t="n">
        <v>2024</v>
      </c>
      <c r="E735" s="44" t="n">
        <v>1</v>
      </c>
      <c r="F735" s="44" t="s">
        <v>312</v>
      </c>
      <c r="G735" s="44" t="s">
        <v>418</v>
      </c>
      <c r="H735" s="44" t="s">
        <v>137</v>
      </c>
      <c r="I735" s="44" t="s">
        <v>176</v>
      </c>
      <c r="J735" s="44" t="s">
        <v>206</v>
      </c>
      <c r="K735" s="44" t="n">
        <v>2</v>
      </c>
      <c r="L735" s="46" t="n">
        <v>202.61</v>
      </c>
      <c r="M735" s="47" t="n">
        <v>1.85</v>
      </c>
      <c r="N735" s="46" t="n">
        <v>397.72</v>
      </c>
      <c r="O735" s="44" t="s">
        <v>309</v>
      </c>
      <c r="P735" s="44" t="s">
        <v>309</v>
      </c>
      <c r="Q735" s="44" t="s">
        <v>309</v>
      </c>
    </row>
    <row r="736" customFormat="false" ht="15" hidden="false" customHeight="false" outlineLevel="0" collapsed="false">
      <c r="A736" s="44" t="n">
        <v>735</v>
      </c>
      <c r="B736" s="45" t="n">
        <v>45565</v>
      </c>
      <c r="C736" s="44" t="n">
        <v>9</v>
      </c>
      <c r="D736" s="44" t="n">
        <v>2024</v>
      </c>
      <c r="E736" s="44" t="n">
        <v>30</v>
      </c>
      <c r="F736" s="44" t="s">
        <v>328</v>
      </c>
      <c r="G736" s="44" t="s">
        <v>539</v>
      </c>
      <c r="H736" s="44" t="s">
        <v>134</v>
      </c>
      <c r="I736" s="44" t="s">
        <v>176</v>
      </c>
      <c r="J736" s="44" t="s">
        <v>193</v>
      </c>
      <c r="K736" s="44" t="n">
        <v>3</v>
      </c>
      <c r="L736" s="46" t="n">
        <v>29.18</v>
      </c>
      <c r="M736" s="47" t="n">
        <v>1.905</v>
      </c>
      <c r="N736" s="46" t="n">
        <v>167.93</v>
      </c>
      <c r="O736" s="44" t="s">
        <v>308</v>
      </c>
      <c r="P736" s="44" t="s">
        <v>369</v>
      </c>
      <c r="Q736" s="44" t="s">
        <v>309</v>
      </c>
    </row>
    <row r="737" customFormat="false" ht="15" hidden="false" customHeight="false" outlineLevel="0" collapsed="false">
      <c r="A737" s="44" t="n">
        <v>736</v>
      </c>
      <c r="B737" s="45" t="n">
        <v>45555</v>
      </c>
      <c r="C737" s="44" t="n">
        <v>9</v>
      </c>
      <c r="D737" s="44" t="n">
        <v>2024</v>
      </c>
      <c r="E737" s="44" t="n">
        <v>20</v>
      </c>
      <c r="F737" s="44" t="s">
        <v>325</v>
      </c>
      <c r="G737" s="44" t="s">
        <v>437</v>
      </c>
      <c r="H737" s="44" t="s">
        <v>134</v>
      </c>
      <c r="I737" s="44" t="s">
        <v>172</v>
      </c>
      <c r="J737" s="44" t="s">
        <v>191</v>
      </c>
      <c r="K737" s="44" t="n">
        <v>3</v>
      </c>
      <c r="L737" s="46" t="n">
        <v>105.75</v>
      </c>
      <c r="M737" s="47" t="n">
        <v>2.21</v>
      </c>
      <c r="N737" s="46" t="n">
        <v>310.24</v>
      </c>
      <c r="O737" s="44" t="s">
        <v>309</v>
      </c>
      <c r="P737" s="44" t="s">
        <v>317</v>
      </c>
      <c r="Q737" s="44" t="s">
        <v>309</v>
      </c>
    </row>
    <row r="738" customFormat="false" ht="15" hidden="false" customHeight="false" outlineLevel="0" collapsed="false">
      <c r="A738" s="44" t="n">
        <v>737</v>
      </c>
      <c r="B738" s="45" t="n">
        <v>45292</v>
      </c>
      <c r="C738" s="44" t="n">
        <v>1</v>
      </c>
      <c r="D738" s="44" t="n">
        <v>2024</v>
      </c>
      <c r="E738" s="44" t="n">
        <v>1</v>
      </c>
      <c r="F738" s="44" t="s">
        <v>328</v>
      </c>
      <c r="G738" s="44" t="s">
        <v>323</v>
      </c>
      <c r="H738" s="44" t="s">
        <v>134</v>
      </c>
      <c r="I738" s="44" t="s">
        <v>174</v>
      </c>
      <c r="J738" s="44" t="s">
        <v>206</v>
      </c>
      <c r="K738" s="44" t="n">
        <v>1</v>
      </c>
      <c r="L738" s="46" t="n">
        <v>51.26</v>
      </c>
      <c r="M738" s="47" t="n">
        <v>0</v>
      </c>
      <c r="N738" s="46" t="n">
        <v>51.26</v>
      </c>
      <c r="O738" s="44" t="s">
        <v>309</v>
      </c>
      <c r="P738" s="44" t="s">
        <v>309</v>
      </c>
      <c r="Q738" s="44" t="s">
        <v>309</v>
      </c>
    </row>
    <row r="739" customFormat="false" ht="15" hidden="false" customHeight="false" outlineLevel="0" collapsed="false">
      <c r="A739" s="44" t="n">
        <v>738</v>
      </c>
      <c r="B739" s="45" t="n">
        <v>45521</v>
      </c>
      <c r="C739" s="44" t="n">
        <v>8</v>
      </c>
      <c r="D739" s="44" t="n">
        <v>2024</v>
      </c>
      <c r="E739" s="44" t="n">
        <v>17</v>
      </c>
      <c r="F739" s="44" t="s">
        <v>318</v>
      </c>
      <c r="G739" s="44" t="s">
        <v>408</v>
      </c>
      <c r="H739" s="44" t="s">
        <v>137</v>
      </c>
      <c r="I739" s="44" t="s">
        <v>172</v>
      </c>
      <c r="J739" s="44" t="s">
        <v>202</v>
      </c>
      <c r="K739" s="44" t="n">
        <v>2</v>
      </c>
      <c r="L739" s="46" t="n">
        <v>28.2</v>
      </c>
      <c r="M739" s="47" t="n">
        <v>0.71</v>
      </c>
      <c r="N739" s="46" t="n">
        <v>12.31</v>
      </c>
      <c r="O739" s="44" t="s">
        <v>308</v>
      </c>
      <c r="P739" s="44" t="s">
        <v>309</v>
      </c>
      <c r="Q739" s="44" t="s">
        <v>309</v>
      </c>
    </row>
    <row r="740" customFormat="false" ht="15" hidden="false" customHeight="false" outlineLevel="0" collapsed="false">
      <c r="A740" s="44" t="n">
        <v>739</v>
      </c>
      <c r="B740" s="45" t="n">
        <v>45479</v>
      </c>
      <c r="C740" s="44" t="n">
        <v>7</v>
      </c>
      <c r="D740" s="44" t="n">
        <v>2024</v>
      </c>
      <c r="E740" s="44" t="n">
        <v>6</v>
      </c>
      <c r="F740" s="44" t="s">
        <v>318</v>
      </c>
      <c r="G740" s="44" t="s">
        <v>345</v>
      </c>
      <c r="H740" s="44" t="s">
        <v>134</v>
      </c>
      <c r="I740" s="44" t="s">
        <v>174</v>
      </c>
      <c r="J740" s="44" t="s">
        <v>206</v>
      </c>
      <c r="K740" s="44" t="n">
        <v>1</v>
      </c>
      <c r="L740" s="46" t="n">
        <v>138.42</v>
      </c>
      <c r="M740" s="47" t="n">
        <v>0</v>
      </c>
      <c r="N740" s="46" t="n">
        <v>138.42</v>
      </c>
      <c r="O740" s="44" t="s">
        <v>309</v>
      </c>
      <c r="P740" s="44" t="s">
        <v>309</v>
      </c>
      <c r="Q740" s="44" t="s">
        <v>309</v>
      </c>
    </row>
    <row r="741" customFormat="false" ht="15" hidden="false" customHeight="false" outlineLevel="0" collapsed="false">
      <c r="A741" s="44" t="n">
        <v>740</v>
      </c>
      <c r="B741" s="45" t="n">
        <v>45609</v>
      </c>
      <c r="C741" s="44" t="n">
        <v>11</v>
      </c>
      <c r="D741" s="44" t="n">
        <v>2024</v>
      </c>
      <c r="E741" s="44" t="n">
        <v>13</v>
      </c>
      <c r="F741" s="44" t="s">
        <v>321</v>
      </c>
      <c r="G741" s="44" t="s">
        <v>472</v>
      </c>
      <c r="H741" s="44" t="s">
        <v>134</v>
      </c>
      <c r="I741" s="44" t="s">
        <v>172</v>
      </c>
      <c r="J741" s="44" t="s">
        <v>206</v>
      </c>
      <c r="K741" s="44" t="n">
        <v>1</v>
      </c>
      <c r="L741" s="46" t="n">
        <v>77.88</v>
      </c>
      <c r="M741" s="47" t="n">
        <v>1.79</v>
      </c>
      <c r="N741" s="46" t="n">
        <v>76.49</v>
      </c>
      <c r="O741" s="44" t="s">
        <v>309</v>
      </c>
      <c r="P741" s="44" t="s">
        <v>309</v>
      </c>
      <c r="Q741" s="44" t="s">
        <v>309</v>
      </c>
    </row>
    <row r="742" customFormat="false" ht="15" hidden="false" customHeight="false" outlineLevel="0" collapsed="false">
      <c r="A742" s="44" t="n">
        <v>741</v>
      </c>
      <c r="B742" s="45" t="n">
        <v>45626</v>
      </c>
      <c r="C742" s="44" t="n">
        <v>11</v>
      </c>
      <c r="D742" s="44" t="n">
        <v>2024</v>
      </c>
      <c r="E742" s="44" t="n">
        <v>30</v>
      </c>
      <c r="F742" s="44" t="s">
        <v>318</v>
      </c>
      <c r="G742" s="44" t="s">
        <v>387</v>
      </c>
      <c r="H742" s="44" t="s">
        <v>136</v>
      </c>
      <c r="I742" s="44" t="s">
        <v>174</v>
      </c>
      <c r="J742" s="44" t="s">
        <v>191</v>
      </c>
      <c r="K742" s="44" t="n">
        <v>4</v>
      </c>
      <c r="L742" s="46" t="n">
        <v>4.09</v>
      </c>
      <c r="M742" s="47" t="n">
        <v>5.64</v>
      </c>
      <c r="N742" s="46" t="n">
        <v>15.44</v>
      </c>
      <c r="O742" s="44" t="s">
        <v>309</v>
      </c>
      <c r="P742" s="44" t="s">
        <v>309</v>
      </c>
      <c r="Q742" s="44" t="s">
        <v>309</v>
      </c>
    </row>
    <row r="743" customFormat="false" ht="15" hidden="false" customHeight="false" outlineLevel="0" collapsed="false">
      <c r="A743" s="44" t="n">
        <v>742</v>
      </c>
      <c r="B743" s="45" t="n">
        <v>45579</v>
      </c>
      <c r="C743" s="44" t="n">
        <v>10</v>
      </c>
      <c r="D743" s="44" t="n">
        <v>2024</v>
      </c>
      <c r="E743" s="44" t="n">
        <v>14</v>
      </c>
      <c r="F743" s="44" t="s">
        <v>328</v>
      </c>
      <c r="G743" s="44" t="s">
        <v>454</v>
      </c>
      <c r="H743" s="44" t="s">
        <v>134</v>
      </c>
      <c r="I743" s="44" t="s">
        <v>172</v>
      </c>
      <c r="J743" s="44" t="s">
        <v>193</v>
      </c>
      <c r="K743" s="44" t="n">
        <v>10</v>
      </c>
      <c r="L743" s="46" t="n">
        <v>26.82</v>
      </c>
      <c r="M743" s="47" t="n">
        <v>13.94</v>
      </c>
      <c r="N743" s="46" t="n">
        <v>230.81</v>
      </c>
      <c r="O743" s="44" t="s">
        <v>309</v>
      </c>
      <c r="P743" s="44" t="s">
        <v>317</v>
      </c>
      <c r="Q743" s="44" t="s">
        <v>309</v>
      </c>
    </row>
    <row r="744" customFormat="false" ht="15" hidden="false" customHeight="false" outlineLevel="0" collapsed="false">
      <c r="A744" s="44" t="n">
        <v>743</v>
      </c>
      <c r="B744" s="45" t="n">
        <v>45432</v>
      </c>
      <c r="C744" s="44" t="n">
        <v>5</v>
      </c>
      <c r="D744" s="44" t="n">
        <v>2024</v>
      </c>
      <c r="E744" s="44" t="n">
        <v>20</v>
      </c>
      <c r="F744" s="44" t="s">
        <v>328</v>
      </c>
      <c r="G744" s="44" t="s">
        <v>373</v>
      </c>
      <c r="H744" s="44" t="s">
        <v>135</v>
      </c>
      <c r="I744" s="44" t="s">
        <v>176</v>
      </c>
      <c r="J744" s="44" t="s">
        <v>199</v>
      </c>
      <c r="K744" s="44" t="n">
        <v>3</v>
      </c>
      <c r="L744" s="46" t="n">
        <v>111.97</v>
      </c>
      <c r="M744" s="47" t="n">
        <v>4.72</v>
      </c>
      <c r="N744" s="46" t="n">
        <v>320.06</v>
      </c>
      <c r="O744" s="44" t="s">
        <v>309</v>
      </c>
      <c r="P744" s="44" t="s">
        <v>309</v>
      </c>
      <c r="Q744" s="44" t="s">
        <v>309</v>
      </c>
    </row>
    <row r="745" customFormat="false" ht="15" hidden="false" customHeight="false" outlineLevel="0" collapsed="false">
      <c r="A745" s="44" t="n">
        <v>744</v>
      </c>
      <c r="B745" s="45" t="n">
        <v>45363</v>
      </c>
      <c r="C745" s="44" t="n">
        <v>3</v>
      </c>
      <c r="D745" s="44" t="n">
        <v>2024</v>
      </c>
      <c r="E745" s="44" t="n">
        <v>12</v>
      </c>
      <c r="F745" s="44" t="s">
        <v>310</v>
      </c>
      <c r="G745" s="44" t="s">
        <v>386</v>
      </c>
      <c r="H745" s="44" t="s">
        <v>139</v>
      </c>
      <c r="I745" s="44" t="s">
        <v>173</v>
      </c>
      <c r="J745" s="44" t="s">
        <v>197</v>
      </c>
      <c r="K745" s="44" t="n">
        <v>1</v>
      </c>
      <c r="L745" s="46" t="n">
        <v>72.53</v>
      </c>
      <c r="M745" s="47" t="n">
        <v>0</v>
      </c>
      <c r="N745" s="46" t="n">
        <v>72.53</v>
      </c>
      <c r="O745" s="44" t="s">
        <v>309</v>
      </c>
      <c r="P745" s="44" t="s">
        <v>317</v>
      </c>
      <c r="Q745" s="44" t="s">
        <v>309</v>
      </c>
    </row>
    <row r="746" customFormat="false" ht="15" hidden="false" customHeight="false" outlineLevel="0" collapsed="false">
      <c r="A746" s="44" t="n">
        <v>745</v>
      </c>
      <c r="B746" s="45" t="n">
        <v>45552</v>
      </c>
      <c r="C746" s="44" t="n">
        <v>9</v>
      </c>
      <c r="D746" s="44" t="n">
        <v>2024</v>
      </c>
      <c r="E746" s="44" t="n">
        <v>17</v>
      </c>
      <c r="F746" s="44" t="s">
        <v>310</v>
      </c>
      <c r="G746" s="44" t="s">
        <v>414</v>
      </c>
      <c r="H746" s="44" t="s">
        <v>139</v>
      </c>
      <c r="I746" s="44" t="s">
        <v>176</v>
      </c>
      <c r="J746" s="44" t="s">
        <v>206</v>
      </c>
      <c r="K746" s="44" t="n">
        <v>2</v>
      </c>
      <c r="L746" s="46" t="n">
        <v>12.17</v>
      </c>
      <c r="M746" s="47" t="n">
        <v>2.73</v>
      </c>
      <c r="N746" s="46" t="n">
        <v>23.68</v>
      </c>
      <c r="O746" s="44" t="s">
        <v>309</v>
      </c>
      <c r="P746" s="44" t="s">
        <v>309</v>
      </c>
      <c r="Q746" s="44" t="s">
        <v>309</v>
      </c>
    </row>
    <row r="747" customFormat="false" ht="15" hidden="false" customHeight="false" outlineLevel="0" collapsed="false">
      <c r="A747" s="44" t="n">
        <v>746</v>
      </c>
      <c r="B747" s="45" t="n">
        <v>45649</v>
      </c>
      <c r="C747" s="44" t="n">
        <v>12</v>
      </c>
      <c r="D747" s="44" t="n">
        <v>2024</v>
      </c>
      <c r="E747" s="44" t="n">
        <v>23</v>
      </c>
      <c r="F747" s="44" t="s">
        <v>328</v>
      </c>
      <c r="G747" s="44" t="s">
        <v>516</v>
      </c>
      <c r="H747" s="44" t="s">
        <v>135</v>
      </c>
      <c r="I747" s="44" t="s">
        <v>172</v>
      </c>
      <c r="J747" s="44" t="s">
        <v>192</v>
      </c>
      <c r="K747" s="44" t="n">
        <v>2</v>
      </c>
      <c r="L747" s="46" t="n">
        <v>59.79</v>
      </c>
      <c r="M747" s="47" t="n">
        <v>2.73</v>
      </c>
      <c r="N747" s="46" t="n">
        <v>116.32</v>
      </c>
      <c r="O747" s="44" t="s">
        <v>309</v>
      </c>
      <c r="P747" s="44" t="s">
        <v>317</v>
      </c>
      <c r="Q747" s="44" t="s">
        <v>309</v>
      </c>
    </row>
    <row r="748" customFormat="false" ht="15" hidden="false" customHeight="false" outlineLevel="0" collapsed="false">
      <c r="A748" s="44" t="n">
        <v>747</v>
      </c>
      <c r="B748" s="45" t="n">
        <v>45368</v>
      </c>
      <c r="C748" s="44" t="n">
        <v>3</v>
      </c>
      <c r="D748" s="44" t="n">
        <v>2024</v>
      </c>
      <c r="E748" s="44" t="n">
        <v>17</v>
      </c>
      <c r="F748" s="44" t="s">
        <v>312</v>
      </c>
      <c r="G748" s="44" t="s">
        <v>307</v>
      </c>
      <c r="H748" s="44" t="s">
        <v>139</v>
      </c>
      <c r="I748" s="44" t="s">
        <v>176</v>
      </c>
      <c r="J748" s="44" t="s">
        <v>204</v>
      </c>
      <c r="K748" s="44" t="n">
        <v>1</v>
      </c>
      <c r="L748" s="46" t="n">
        <v>2.94</v>
      </c>
      <c r="M748" s="47" t="n">
        <v>0</v>
      </c>
      <c r="N748" s="46" t="n">
        <v>2.94</v>
      </c>
      <c r="O748" s="44" t="s">
        <v>309</v>
      </c>
      <c r="P748" s="44" t="s">
        <v>309</v>
      </c>
      <c r="Q748" s="44" t="s">
        <v>309</v>
      </c>
    </row>
    <row r="749" customFormat="false" ht="15" hidden="false" customHeight="false" outlineLevel="0" collapsed="false">
      <c r="A749" s="44" t="n">
        <v>748</v>
      </c>
      <c r="B749" s="45" t="n">
        <v>45502</v>
      </c>
      <c r="C749" s="44" t="n">
        <v>7</v>
      </c>
      <c r="D749" s="44" t="n">
        <v>2024</v>
      </c>
      <c r="E749" s="44" t="n">
        <v>29</v>
      </c>
      <c r="F749" s="44" t="s">
        <v>328</v>
      </c>
      <c r="G749" s="44" t="s">
        <v>407</v>
      </c>
      <c r="H749" s="44" t="s">
        <v>139</v>
      </c>
      <c r="I749" s="44" t="s">
        <v>172</v>
      </c>
      <c r="J749" s="44" t="s">
        <v>191</v>
      </c>
      <c r="K749" s="44" t="n">
        <v>3</v>
      </c>
      <c r="L749" s="46" t="n">
        <v>1.59</v>
      </c>
      <c r="M749" s="47" t="n">
        <v>3.54</v>
      </c>
      <c r="N749" s="46" t="n">
        <v>4.6</v>
      </c>
      <c r="O749" s="44" t="s">
        <v>309</v>
      </c>
      <c r="P749" s="44" t="s">
        <v>309</v>
      </c>
      <c r="Q749" s="44" t="s">
        <v>309</v>
      </c>
    </row>
    <row r="750" customFormat="false" ht="15" hidden="false" customHeight="false" outlineLevel="0" collapsed="false">
      <c r="A750" s="44" t="n">
        <v>749</v>
      </c>
      <c r="B750" s="45" t="n">
        <v>45349</v>
      </c>
      <c r="C750" s="44" t="n">
        <v>2</v>
      </c>
      <c r="D750" s="44" t="n">
        <v>2024</v>
      </c>
      <c r="E750" s="44" t="n">
        <v>27</v>
      </c>
      <c r="F750" s="44" t="s">
        <v>310</v>
      </c>
      <c r="G750" s="44" t="s">
        <v>552</v>
      </c>
      <c r="H750" s="44" t="s">
        <v>138</v>
      </c>
      <c r="I750" s="44" t="s">
        <v>172</v>
      </c>
      <c r="J750" s="44" t="s">
        <v>199</v>
      </c>
      <c r="K750" s="44" t="n">
        <v>1</v>
      </c>
      <c r="L750" s="46" t="n">
        <v>8.25</v>
      </c>
      <c r="M750" s="47" t="n">
        <v>0.97</v>
      </c>
      <c r="N750" s="46" t="n">
        <v>8.17</v>
      </c>
      <c r="O750" s="44" t="s">
        <v>309</v>
      </c>
      <c r="P750" s="44" t="s">
        <v>317</v>
      </c>
      <c r="Q750" s="44" t="s">
        <v>309</v>
      </c>
    </row>
    <row r="751" customFormat="false" ht="15" hidden="false" customHeight="false" outlineLevel="0" collapsed="false">
      <c r="A751" s="44" t="n">
        <v>750</v>
      </c>
      <c r="B751" s="45" t="n">
        <v>45569</v>
      </c>
      <c r="C751" s="44" t="n">
        <v>10</v>
      </c>
      <c r="D751" s="44" t="n">
        <v>2024</v>
      </c>
      <c r="E751" s="44" t="n">
        <v>4</v>
      </c>
      <c r="F751" s="44" t="s">
        <v>325</v>
      </c>
      <c r="G751" s="44" t="s">
        <v>344</v>
      </c>
      <c r="H751" s="44" t="s">
        <v>134</v>
      </c>
      <c r="I751" s="44" t="s">
        <v>174</v>
      </c>
      <c r="J751" s="44" t="s">
        <v>192</v>
      </c>
      <c r="K751" s="44" t="n">
        <v>3</v>
      </c>
      <c r="L751" s="46" t="n">
        <v>61.89</v>
      </c>
      <c r="M751" s="47" t="n">
        <v>2.66</v>
      </c>
      <c r="N751" s="46" t="n">
        <v>180.73</v>
      </c>
      <c r="O751" s="44" t="s">
        <v>309</v>
      </c>
      <c r="P751" s="44" t="s">
        <v>309</v>
      </c>
      <c r="Q751" s="44" t="s">
        <v>309</v>
      </c>
    </row>
    <row r="752" customFormat="false" ht="15" hidden="false" customHeight="false" outlineLevel="0" collapsed="false">
      <c r="A752" s="44" t="n">
        <v>751</v>
      </c>
      <c r="B752" s="45" t="n">
        <v>45376</v>
      </c>
      <c r="C752" s="44" t="n">
        <v>3</v>
      </c>
      <c r="D752" s="44" t="n">
        <v>2024</v>
      </c>
      <c r="E752" s="44" t="n">
        <v>25</v>
      </c>
      <c r="F752" s="44" t="s">
        <v>328</v>
      </c>
      <c r="G752" s="44" t="s">
        <v>549</v>
      </c>
      <c r="H752" s="44" t="s">
        <v>140</v>
      </c>
      <c r="I752" s="44" t="s">
        <v>175</v>
      </c>
      <c r="J752" s="44" t="s">
        <v>191</v>
      </c>
      <c r="K752" s="44" t="n">
        <v>1</v>
      </c>
      <c r="L752" s="46" t="n">
        <v>18.94</v>
      </c>
      <c r="M752" s="47" t="n">
        <v>0</v>
      </c>
      <c r="N752" s="46" t="n">
        <v>18.94</v>
      </c>
      <c r="O752" s="44" t="s">
        <v>309</v>
      </c>
      <c r="P752" s="44" t="s">
        <v>317</v>
      </c>
      <c r="Q752" s="44" t="s">
        <v>309</v>
      </c>
    </row>
    <row r="753" customFormat="false" ht="15" hidden="false" customHeight="false" outlineLevel="0" collapsed="false">
      <c r="A753" s="44" t="n">
        <v>752</v>
      </c>
      <c r="B753" s="45" t="n">
        <v>45602</v>
      </c>
      <c r="C753" s="44" t="n">
        <v>11</v>
      </c>
      <c r="D753" s="44" t="n">
        <v>2024</v>
      </c>
      <c r="E753" s="44" t="n">
        <v>6</v>
      </c>
      <c r="F753" s="44" t="s">
        <v>321</v>
      </c>
      <c r="G753" s="44" t="s">
        <v>552</v>
      </c>
      <c r="H753" s="44" t="s">
        <v>135</v>
      </c>
      <c r="I753" s="44" t="s">
        <v>173</v>
      </c>
      <c r="J753" s="44" t="s">
        <v>191</v>
      </c>
      <c r="K753" s="44" t="n">
        <v>2</v>
      </c>
      <c r="L753" s="46" t="n">
        <v>30.44</v>
      </c>
      <c r="M753" s="47" t="n">
        <v>0.48</v>
      </c>
      <c r="N753" s="46" t="n">
        <v>55.13</v>
      </c>
      <c r="O753" s="44" t="s">
        <v>308</v>
      </c>
      <c r="P753" s="44" t="s">
        <v>309</v>
      </c>
      <c r="Q753" s="44" t="s">
        <v>309</v>
      </c>
    </row>
    <row r="754" customFormat="false" ht="15" hidden="false" customHeight="false" outlineLevel="0" collapsed="false">
      <c r="A754" s="44" t="n">
        <v>753</v>
      </c>
      <c r="B754" s="45" t="n">
        <v>45524</v>
      </c>
      <c r="C754" s="44" t="n">
        <v>8</v>
      </c>
      <c r="D754" s="44" t="n">
        <v>2024</v>
      </c>
      <c r="E754" s="44" t="n">
        <v>20</v>
      </c>
      <c r="F754" s="44" t="s">
        <v>310</v>
      </c>
      <c r="G754" s="44" t="s">
        <v>553</v>
      </c>
      <c r="H754" s="44" t="s">
        <v>136</v>
      </c>
      <c r="I754" s="44" t="s">
        <v>173</v>
      </c>
      <c r="J754" s="44" t="s">
        <v>194</v>
      </c>
      <c r="K754" s="44" t="n">
        <v>8</v>
      </c>
      <c r="L754" s="46" t="n">
        <v>4.16</v>
      </c>
      <c r="M754" s="47" t="n">
        <v>11.63</v>
      </c>
      <c r="N754" s="46" t="n">
        <v>29.41</v>
      </c>
      <c r="O754" s="44" t="s">
        <v>309</v>
      </c>
      <c r="P754" s="44" t="s">
        <v>317</v>
      </c>
      <c r="Q754" s="44" t="s">
        <v>309</v>
      </c>
    </row>
    <row r="755" customFormat="false" ht="15" hidden="false" customHeight="false" outlineLevel="0" collapsed="false">
      <c r="A755" s="44" t="n">
        <v>754</v>
      </c>
      <c r="B755" s="45" t="n">
        <v>45637</v>
      </c>
      <c r="C755" s="44" t="n">
        <v>12</v>
      </c>
      <c r="D755" s="44" t="n">
        <v>2024</v>
      </c>
      <c r="E755" s="44" t="n">
        <v>11</v>
      </c>
      <c r="F755" s="44" t="s">
        <v>321</v>
      </c>
      <c r="G755" s="44" t="s">
        <v>333</v>
      </c>
      <c r="H755" s="44" t="s">
        <v>138</v>
      </c>
      <c r="I755" s="44" t="s">
        <v>174</v>
      </c>
      <c r="J755" s="44" t="s">
        <v>193</v>
      </c>
      <c r="K755" s="44" t="n">
        <v>3</v>
      </c>
      <c r="L755" s="46" t="n">
        <v>49.49</v>
      </c>
      <c r="M755" s="47" t="n">
        <v>4.72</v>
      </c>
      <c r="N755" s="46" t="n">
        <v>141.46</v>
      </c>
      <c r="O755" s="44" t="s">
        <v>309</v>
      </c>
      <c r="P755" s="44" t="s">
        <v>309</v>
      </c>
      <c r="Q755" s="44" t="s">
        <v>309</v>
      </c>
    </row>
    <row r="756" customFormat="false" ht="15" hidden="false" customHeight="false" outlineLevel="0" collapsed="false">
      <c r="A756" s="44" t="n">
        <v>755</v>
      </c>
      <c r="B756" s="45" t="n">
        <v>45352</v>
      </c>
      <c r="C756" s="44" t="n">
        <v>3</v>
      </c>
      <c r="D756" s="44" t="n">
        <v>2024</v>
      </c>
      <c r="E756" s="44" t="n">
        <v>1</v>
      </c>
      <c r="F756" s="44" t="s">
        <v>325</v>
      </c>
      <c r="G756" s="44" t="s">
        <v>535</v>
      </c>
      <c r="H756" s="44" t="s">
        <v>134</v>
      </c>
      <c r="I756" s="44" t="s">
        <v>172</v>
      </c>
      <c r="J756" s="44" t="s">
        <v>206</v>
      </c>
      <c r="K756" s="44" t="n">
        <v>1</v>
      </c>
      <c r="L756" s="46" t="n">
        <v>29.18</v>
      </c>
      <c r="M756" s="47" t="n">
        <v>1.905</v>
      </c>
      <c r="N756" s="46" t="n">
        <v>3.08</v>
      </c>
      <c r="O756" s="44" t="s">
        <v>308</v>
      </c>
      <c r="P756" s="44" t="s">
        <v>369</v>
      </c>
      <c r="Q756" s="44" t="s">
        <v>309</v>
      </c>
    </row>
    <row r="757" customFormat="false" ht="15" hidden="false" customHeight="false" outlineLevel="0" collapsed="false">
      <c r="A757" s="44" t="n">
        <v>756</v>
      </c>
      <c r="B757" s="45" t="n">
        <v>45555</v>
      </c>
      <c r="C757" s="44" t="n">
        <v>9</v>
      </c>
      <c r="D757" s="44" t="n">
        <v>2024</v>
      </c>
      <c r="E757" s="44" t="n">
        <v>20</v>
      </c>
      <c r="F757" s="44" t="s">
        <v>325</v>
      </c>
      <c r="G757" s="44" t="s">
        <v>514</v>
      </c>
      <c r="H757" s="44" t="s">
        <v>137</v>
      </c>
      <c r="I757" s="44" t="s">
        <v>174</v>
      </c>
      <c r="J757" s="44" t="s">
        <v>196</v>
      </c>
      <c r="K757" s="44" t="n">
        <v>3</v>
      </c>
      <c r="L757" s="46" t="n">
        <v>139.13</v>
      </c>
      <c r="M757" s="47" t="n">
        <v>4.72</v>
      </c>
      <c r="N757" s="46" t="n">
        <v>397.69</v>
      </c>
      <c r="O757" s="44" t="s">
        <v>309</v>
      </c>
      <c r="P757" s="44" t="s">
        <v>309</v>
      </c>
      <c r="Q757" s="44" t="s">
        <v>309</v>
      </c>
    </row>
    <row r="758" customFormat="false" ht="15" hidden="false" customHeight="false" outlineLevel="0" collapsed="false">
      <c r="A758" s="44" t="n">
        <v>757</v>
      </c>
      <c r="B758" s="45" t="n">
        <v>45344</v>
      </c>
      <c r="C758" s="44" t="n">
        <v>2</v>
      </c>
      <c r="D758" s="44" t="n">
        <v>2024</v>
      </c>
      <c r="E758" s="44" t="n">
        <v>22</v>
      </c>
      <c r="F758" s="44" t="s">
        <v>306</v>
      </c>
      <c r="G758" s="44" t="s">
        <v>368</v>
      </c>
      <c r="H758" s="44" t="s">
        <v>134</v>
      </c>
      <c r="I758" s="44" t="s">
        <v>176</v>
      </c>
      <c r="J758" s="44" t="s">
        <v>206</v>
      </c>
      <c r="K758" s="44" t="n">
        <v>3</v>
      </c>
      <c r="L758" s="46" t="n">
        <v>36.47</v>
      </c>
      <c r="M758" s="47" t="n">
        <v>2.43</v>
      </c>
      <c r="N758" s="46" t="n">
        <v>106.75</v>
      </c>
      <c r="O758" s="44" t="s">
        <v>309</v>
      </c>
      <c r="P758" s="44" t="s">
        <v>317</v>
      </c>
      <c r="Q758" s="44" t="s">
        <v>309</v>
      </c>
    </row>
    <row r="759" customFormat="false" ht="15" hidden="false" customHeight="false" outlineLevel="0" collapsed="false">
      <c r="A759" s="44" t="n">
        <v>758</v>
      </c>
      <c r="B759" s="45" t="n">
        <v>45517</v>
      </c>
      <c r="C759" s="44" t="n">
        <v>8</v>
      </c>
      <c r="D759" s="44" t="n">
        <v>2024</v>
      </c>
      <c r="E759" s="44" t="n">
        <v>13</v>
      </c>
      <c r="F759" s="44" t="s">
        <v>310</v>
      </c>
      <c r="G759" s="44" t="s">
        <v>463</v>
      </c>
      <c r="H759" s="44" t="s">
        <v>140</v>
      </c>
      <c r="I759" s="44" t="s">
        <v>175</v>
      </c>
      <c r="J759" s="44" t="s">
        <v>191</v>
      </c>
      <c r="K759" s="44" t="n">
        <v>1</v>
      </c>
      <c r="L759" s="46" t="n">
        <v>33.39</v>
      </c>
      <c r="M759" s="47" t="n">
        <v>0</v>
      </c>
      <c r="N759" s="46" t="n">
        <v>33.39</v>
      </c>
      <c r="O759" s="44" t="s">
        <v>309</v>
      </c>
      <c r="P759" s="44" t="s">
        <v>317</v>
      </c>
      <c r="Q759" s="44" t="s">
        <v>309</v>
      </c>
    </row>
    <row r="760" customFormat="false" ht="15" hidden="false" customHeight="false" outlineLevel="0" collapsed="false">
      <c r="A760" s="44" t="n">
        <v>759</v>
      </c>
      <c r="B760" s="45" t="n">
        <v>45514</v>
      </c>
      <c r="C760" s="44" t="n">
        <v>8</v>
      </c>
      <c r="D760" s="44" t="n">
        <v>2024</v>
      </c>
      <c r="E760" s="44" t="n">
        <v>10</v>
      </c>
      <c r="F760" s="44" t="s">
        <v>318</v>
      </c>
      <c r="G760" s="44" t="s">
        <v>554</v>
      </c>
      <c r="H760" s="44" t="s">
        <v>134</v>
      </c>
      <c r="I760" s="44" t="s">
        <v>172</v>
      </c>
      <c r="J760" s="44" t="s">
        <v>197</v>
      </c>
      <c r="K760" s="44" t="n">
        <v>1</v>
      </c>
      <c r="L760" s="46" t="n">
        <v>8.19</v>
      </c>
      <c r="M760" s="47" t="n">
        <v>0.17</v>
      </c>
      <c r="N760" s="46" t="n">
        <v>8.18</v>
      </c>
      <c r="O760" s="44" t="s">
        <v>309</v>
      </c>
      <c r="P760" s="44" t="s">
        <v>309</v>
      </c>
      <c r="Q760" s="44" t="s">
        <v>309</v>
      </c>
    </row>
    <row r="761" customFormat="false" ht="15" hidden="false" customHeight="false" outlineLevel="0" collapsed="false">
      <c r="A761" s="44" t="n">
        <v>760</v>
      </c>
      <c r="B761" s="45" t="n">
        <v>45544</v>
      </c>
      <c r="C761" s="44" t="n">
        <v>9</v>
      </c>
      <c r="D761" s="44" t="n">
        <v>2024</v>
      </c>
      <c r="E761" s="44" t="n">
        <v>9</v>
      </c>
      <c r="F761" s="44" t="s">
        <v>328</v>
      </c>
      <c r="G761" s="44" t="s">
        <v>418</v>
      </c>
      <c r="H761" s="44" t="s">
        <v>136</v>
      </c>
      <c r="I761" s="44" t="s">
        <v>172</v>
      </c>
      <c r="J761" s="44" t="s">
        <v>200</v>
      </c>
      <c r="K761" s="44" t="n">
        <v>2</v>
      </c>
      <c r="L761" s="46" t="n">
        <v>62.82</v>
      </c>
      <c r="M761" s="47" t="n">
        <v>1.12</v>
      </c>
      <c r="N761" s="46" t="n">
        <v>124.23</v>
      </c>
      <c r="O761" s="44" t="s">
        <v>309</v>
      </c>
      <c r="P761" s="44" t="s">
        <v>309</v>
      </c>
      <c r="Q761" s="44" t="s">
        <v>309</v>
      </c>
    </row>
    <row r="762" customFormat="false" ht="15" hidden="false" customHeight="false" outlineLevel="0" collapsed="false">
      <c r="A762" s="44" t="n">
        <v>761</v>
      </c>
      <c r="B762" s="45" t="n">
        <v>45402</v>
      </c>
      <c r="C762" s="44" t="n">
        <v>4</v>
      </c>
      <c r="D762" s="44" t="n">
        <v>2024</v>
      </c>
      <c r="E762" s="44" t="n">
        <v>20</v>
      </c>
      <c r="F762" s="44" t="s">
        <v>318</v>
      </c>
      <c r="G762" s="44" t="s">
        <v>474</v>
      </c>
      <c r="H762" s="44" t="s">
        <v>138</v>
      </c>
      <c r="I762" s="44" t="s">
        <v>175</v>
      </c>
      <c r="J762" s="44" t="s">
        <v>191</v>
      </c>
      <c r="K762" s="44" t="n">
        <v>2</v>
      </c>
      <c r="L762" s="46" t="n">
        <v>21.57</v>
      </c>
      <c r="M762" s="47" t="n">
        <v>3.34</v>
      </c>
      <c r="N762" s="46" t="n">
        <v>41.7</v>
      </c>
      <c r="O762" s="44" t="s">
        <v>309</v>
      </c>
      <c r="P762" s="44" t="s">
        <v>309</v>
      </c>
      <c r="Q762" s="44" t="s">
        <v>309</v>
      </c>
    </row>
    <row r="763" customFormat="false" ht="15" hidden="false" customHeight="false" outlineLevel="0" collapsed="false">
      <c r="A763" s="44" t="n">
        <v>762</v>
      </c>
      <c r="B763" s="45" t="n">
        <v>45401</v>
      </c>
      <c r="C763" s="44" t="n">
        <v>4</v>
      </c>
      <c r="D763" s="44" t="n">
        <v>2024</v>
      </c>
      <c r="E763" s="44" t="n">
        <v>19</v>
      </c>
      <c r="F763" s="44" t="s">
        <v>325</v>
      </c>
      <c r="G763" s="44" t="s">
        <v>483</v>
      </c>
      <c r="H763" s="44" t="s">
        <v>135</v>
      </c>
      <c r="I763" s="44" t="s">
        <v>173</v>
      </c>
      <c r="J763" s="44" t="s">
        <v>191</v>
      </c>
      <c r="K763" s="44" t="n">
        <v>4</v>
      </c>
      <c r="L763" s="46" t="n">
        <v>4.61</v>
      </c>
      <c r="M763" s="47" t="n">
        <v>5.9</v>
      </c>
      <c r="N763" s="46" t="n">
        <v>17.35</v>
      </c>
      <c r="O763" s="44" t="s">
        <v>309</v>
      </c>
      <c r="P763" s="44" t="s">
        <v>309</v>
      </c>
      <c r="Q763" s="44" t="s">
        <v>309</v>
      </c>
    </row>
    <row r="764" customFormat="false" ht="15" hidden="false" customHeight="false" outlineLevel="0" collapsed="false">
      <c r="A764" s="44" t="n">
        <v>763</v>
      </c>
      <c r="B764" s="45" t="n">
        <v>45649</v>
      </c>
      <c r="C764" s="44" t="n">
        <v>12</v>
      </c>
      <c r="D764" s="44" t="n">
        <v>2024</v>
      </c>
      <c r="E764" s="44" t="n">
        <v>23</v>
      </c>
      <c r="F764" s="44" t="s">
        <v>328</v>
      </c>
      <c r="G764" s="44" t="s">
        <v>329</v>
      </c>
      <c r="H764" s="44" t="s">
        <v>134</v>
      </c>
      <c r="I764" s="44" t="s">
        <v>173</v>
      </c>
      <c r="J764" s="44" t="s">
        <v>191</v>
      </c>
      <c r="K764" s="44" t="n">
        <v>4</v>
      </c>
      <c r="L764" s="46" t="n">
        <v>29.18</v>
      </c>
      <c r="M764" s="47" t="n">
        <v>6.33</v>
      </c>
      <c r="N764" s="46" t="n">
        <v>109.33</v>
      </c>
      <c r="O764" s="44" t="s">
        <v>309</v>
      </c>
      <c r="P764" s="44" t="s">
        <v>309</v>
      </c>
      <c r="Q764" s="44" t="s">
        <v>309</v>
      </c>
    </row>
    <row r="765" customFormat="false" ht="15" hidden="false" customHeight="false" outlineLevel="0" collapsed="false">
      <c r="A765" s="44" t="n">
        <v>764</v>
      </c>
      <c r="B765" s="45" t="n">
        <v>45369</v>
      </c>
      <c r="C765" s="44" t="n">
        <v>3</v>
      </c>
      <c r="D765" s="44" t="n">
        <v>2024</v>
      </c>
      <c r="E765" s="44" t="n">
        <v>18</v>
      </c>
      <c r="F765" s="44" t="s">
        <v>328</v>
      </c>
      <c r="G765" s="44" t="s">
        <v>472</v>
      </c>
      <c r="H765" s="44" t="s">
        <v>139</v>
      </c>
      <c r="I765" s="44" t="s">
        <v>173</v>
      </c>
      <c r="J765" s="44" t="s">
        <v>204</v>
      </c>
      <c r="K765" s="44" t="n">
        <v>2</v>
      </c>
      <c r="L765" s="46" t="n">
        <v>67.1</v>
      </c>
      <c r="M765" s="47" t="n">
        <v>0.09</v>
      </c>
      <c r="N765" s="46" t="n">
        <v>134.08</v>
      </c>
      <c r="O765" s="44" t="s">
        <v>309</v>
      </c>
      <c r="P765" s="44" t="s">
        <v>317</v>
      </c>
      <c r="Q765" s="44" t="s">
        <v>309</v>
      </c>
    </row>
    <row r="766" customFormat="false" ht="15" hidden="false" customHeight="false" outlineLevel="0" collapsed="false">
      <c r="A766" s="44" t="n">
        <v>765</v>
      </c>
      <c r="B766" s="45" t="n">
        <v>45397</v>
      </c>
      <c r="C766" s="44" t="n">
        <v>4</v>
      </c>
      <c r="D766" s="44" t="n">
        <v>2024</v>
      </c>
      <c r="E766" s="44" t="n">
        <v>15</v>
      </c>
      <c r="F766" s="44" t="s">
        <v>328</v>
      </c>
      <c r="G766" s="44" t="s">
        <v>535</v>
      </c>
      <c r="H766" s="44" t="s">
        <v>136</v>
      </c>
      <c r="I766" s="44" t="s">
        <v>172</v>
      </c>
      <c r="J766" s="44" t="s">
        <v>206</v>
      </c>
      <c r="K766" s="44" t="n">
        <v>1</v>
      </c>
      <c r="L766" s="46" t="n">
        <v>158.1</v>
      </c>
      <c r="M766" s="47" t="n">
        <v>0</v>
      </c>
      <c r="N766" s="46" t="n">
        <v>158.1</v>
      </c>
      <c r="O766" s="44" t="s">
        <v>309</v>
      </c>
      <c r="P766" s="44" t="s">
        <v>309</v>
      </c>
      <c r="Q766" s="44" t="s">
        <v>309</v>
      </c>
    </row>
    <row r="767" customFormat="false" ht="15" hidden="false" customHeight="false" outlineLevel="0" collapsed="false">
      <c r="A767" s="44" t="n">
        <v>766</v>
      </c>
      <c r="B767" s="45" t="n">
        <v>45324</v>
      </c>
      <c r="C767" s="44" t="n">
        <v>2</v>
      </c>
      <c r="D767" s="44" t="n">
        <v>2024</v>
      </c>
      <c r="E767" s="44" t="n">
        <v>2</v>
      </c>
      <c r="F767" s="44" t="s">
        <v>325</v>
      </c>
      <c r="G767" s="44" t="s">
        <v>322</v>
      </c>
      <c r="H767" s="44" t="s">
        <v>135</v>
      </c>
      <c r="I767" s="44" t="s">
        <v>172</v>
      </c>
      <c r="J767" s="44" t="s">
        <v>206</v>
      </c>
      <c r="K767" s="44" t="n">
        <v>2</v>
      </c>
      <c r="L767" s="46" t="n">
        <v>31.93</v>
      </c>
      <c r="M767" s="47" t="n">
        <v>2.95</v>
      </c>
      <c r="N767" s="46" t="n">
        <v>61.98</v>
      </c>
      <c r="O767" s="44" t="s">
        <v>309</v>
      </c>
      <c r="P767" s="44" t="s">
        <v>309</v>
      </c>
      <c r="Q767" s="44" t="s">
        <v>309</v>
      </c>
    </row>
    <row r="768" customFormat="false" ht="15" hidden="false" customHeight="false" outlineLevel="0" collapsed="false">
      <c r="A768" s="44" t="n">
        <v>767</v>
      </c>
      <c r="B768" s="45" t="n">
        <v>45616</v>
      </c>
      <c r="C768" s="44" t="n">
        <v>11</v>
      </c>
      <c r="D768" s="44" t="n">
        <v>2024</v>
      </c>
      <c r="E768" s="44" t="n">
        <v>20</v>
      </c>
      <c r="F768" s="44" t="s">
        <v>321</v>
      </c>
      <c r="G768" s="44" t="s">
        <v>425</v>
      </c>
      <c r="H768" s="44" t="s">
        <v>138</v>
      </c>
      <c r="I768" s="44" t="s">
        <v>172</v>
      </c>
      <c r="J768" s="44" t="s">
        <v>192</v>
      </c>
      <c r="K768" s="44" t="n">
        <v>1</v>
      </c>
      <c r="L768" s="46" t="n">
        <v>16.23</v>
      </c>
      <c r="M768" s="47" t="n">
        <v>1.7</v>
      </c>
      <c r="N768" s="46" t="n">
        <v>15.95</v>
      </c>
      <c r="O768" s="44" t="s">
        <v>309</v>
      </c>
      <c r="P768" s="44" t="s">
        <v>309</v>
      </c>
      <c r="Q768" s="44" t="s">
        <v>309</v>
      </c>
    </row>
    <row r="769" customFormat="false" ht="15" hidden="false" customHeight="false" outlineLevel="0" collapsed="false">
      <c r="A769" s="44" t="n">
        <v>768</v>
      </c>
      <c r="B769" s="45" t="n">
        <v>45493</v>
      </c>
      <c r="C769" s="44" t="n">
        <v>7</v>
      </c>
      <c r="D769" s="44" t="n">
        <v>2024</v>
      </c>
      <c r="E769" s="44" t="n">
        <v>20</v>
      </c>
      <c r="F769" s="44" t="s">
        <v>318</v>
      </c>
      <c r="G769" s="44" t="s">
        <v>449</v>
      </c>
      <c r="H769" s="44" t="s">
        <v>134</v>
      </c>
      <c r="I769" s="44" t="s">
        <v>172</v>
      </c>
      <c r="J769" s="44" t="s">
        <v>191</v>
      </c>
      <c r="K769" s="44" t="n">
        <v>3</v>
      </c>
      <c r="L769" s="46" t="n">
        <v>32.06</v>
      </c>
      <c r="M769" s="47" t="n">
        <v>2.43</v>
      </c>
      <c r="N769" s="46" t="n">
        <v>93.84</v>
      </c>
      <c r="O769" s="44" t="s">
        <v>309</v>
      </c>
      <c r="P769" s="44" t="s">
        <v>317</v>
      </c>
      <c r="Q769" s="44" t="s">
        <v>309</v>
      </c>
    </row>
    <row r="770" customFormat="false" ht="15" hidden="false" customHeight="false" outlineLevel="0" collapsed="false">
      <c r="A770" s="44" t="n">
        <v>769</v>
      </c>
      <c r="B770" s="45" t="n">
        <v>45359</v>
      </c>
      <c r="C770" s="44" t="n">
        <v>3</v>
      </c>
      <c r="D770" s="44" t="n">
        <v>2024</v>
      </c>
      <c r="E770" s="44" t="n">
        <v>8</v>
      </c>
      <c r="F770" s="44" t="s">
        <v>325</v>
      </c>
      <c r="G770" s="44" t="s">
        <v>379</v>
      </c>
      <c r="H770" s="44" t="s">
        <v>140</v>
      </c>
      <c r="I770" s="44" t="s">
        <v>172</v>
      </c>
      <c r="J770" s="44" t="s">
        <v>191</v>
      </c>
      <c r="K770" s="44" t="n">
        <v>4</v>
      </c>
      <c r="L770" s="46" t="n">
        <v>11.31</v>
      </c>
      <c r="M770" s="47" t="n">
        <v>1.905</v>
      </c>
      <c r="N770" s="46" t="n">
        <v>7.35</v>
      </c>
      <c r="O770" s="44" t="s">
        <v>308</v>
      </c>
      <c r="P770" s="44" t="s">
        <v>369</v>
      </c>
      <c r="Q770" s="44" t="s">
        <v>309</v>
      </c>
    </row>
    <row r="771" customFormat="false" ht="15" hidden="false" customHeight="false" outlineLevel="0" collapsed="false">
      <c r="A771" s="44" t="n">
        <v>770</v>
      </c>
      <c r="B771" s="45" t="n">
        <v>45653</v>
      </c>
      <c r="C771" s="44" t="n">
        <v>12</v>
      </c>
      <c r="D771" s="44" t="n">
        <v>2024</v>
      </c>
      <c r="E771" s="44" t="n">
        <v>27</v>
      </c>
      <c r="F771" s="44" t="s">
        <v>325</v>
      </c>
      <c r="G771" s="44" t="s">
        <v>532</v>
      </c>
      <c r="H771" s="44" t="s">
        <v>140</v>
      </c>
      <c r="I771" s="44" t="s">
        <v>173</v>
      </c>
      <c r="J771" s="44" t="s">
        <v>193</v>
      </c>
      <c r="K771" s="44" t="n">
        <v>4</v>
      </c>
      <c r="L771" s="46" t="n">
        <v>19.59</v>
      </c>
      <c r="M771" s="47" t="n">
        <v>6.39</v>
      </c>
      <c r="N771" s="46" t="n">
        <v>73.35</v>
      </c>
      <c r="O771" s="44" t="s">
        <v>309</v>
      </c>
      <c r="P771" s="44" t="s">
        <v>309</v>
      </c>
      <c r="Q771" s="44" t="s">
        <v>309</v>
      </c>
    </row>
    <row r="772" customFormat="false" ht="15" hidden="false" customHeight="false" outlineLevel="0" collapsed="false">
      <c r="A772" s="44" t="n">
        <v>771</v>
      </c>
      <c r="B772" s="45" t="n">
        <v>45620</v>
      </c>
      <c r="C772" s="44" t="n">
        <v>11</v>
      </c>
      <c r="D772" s="44" t="n">
        <v>2024</v>
      </c>
      <c r="E772" s="44" t="n">
        <v>24</v>
      </c>
      <c r="F772" s="44" t="s">
        <v>312</v>
      </c>
      <c r="G772" s="44" t="s">
        <v>409</v>
      </c>
      <c r="H772" s="44" t="s">
        <v>135</v>
      </c>
      <c r="I772" s="44" t="s">
        <v>176</v>
      </c>
      <c r="J772" s="44" t="s">
        <v>196</v>
      </c>
      <c r="K772" s="44" t="n">
        <v>3</v>
      </c>
      <c r="L772" s="46" t="n">
        <v>88.53</v>
      </c>
      <c r="M772" s="47" t="n">
        <v>4.54</v>
      </c>
      <c r="N772" s="46" t="n">
        <v>253.53</v>
      </c>
      <c r="O772" s="44" t="s">
        <v>309</v>
      </c>
      <c r="P772" s="44" t="s">
        <v>309</v>
      </c>
      <c r="Q772" s="44" t="s">
        <v>309</v>
      </c>
    </row>
    <row r="773" customFormat="false" ht="15" hidden="false" customHeight="false" outlineLevel="0" collapsed="false">
      <c r="A773" s="44" t="n">
        <v>772</v>
      </c>
      <c r="B773" s="45" t="n">
        <v>45449</v>
      </c>
      <c r="C773" s="44" t="n">
        <v>6</v>
      </c>
      <c r="D773" s="44" t="n">
        <v>2024</v>
      </c>
      <c r="E773" s="44" t="n">
        <v>6</v>
      </c>
      <c r="F773" s="44" t="s">
        <v>306</v>
      </c>
      <c r="G773" s="44" t="s">
        <v>345</v>
      </c>
      <c r="H773" s="44" t="s">
        <v>135</v>
      </c>
      <c r="I773" s="44" t="s">
        <v>172</v>
      </c>
      <c r="J773" s="44" t="s">
        <v>197</v>
      </c>
      <c r="K773" s="44" t="n">
        <v>3</v>
      </c>
      <c r="L773" s="46" t="n">
        <v>2.69</v>
      </c>
      <c r="M773" s="47" t="n">
        <v>2.68</v>
      </c>
      <c r="N773" s="46" t="n">
        <v>7.85</v>
      </c>
      <c r="O773" s="44" t="s">
        <v>309</v>
      </c>
      <c r="P773" s="44" t="s">
        <v>309</v>
      </c>
      <c r="Q773" s="44" t="s">
        <v>309</v>
      </c>
    </row>
    <row r="774" customFormat="false" ht="15" hidden="false" customHeight="false" outlineLevel="0" collapsed="false">
      <c r="A774" s="44" t="n">
        <v>773</v>
      </c>
      <c r="B774" s="45" t="n">
        <v>45386</v>
      </c>
      <c r="C774" s="44" t="n">
        <v>4</v>
      </c>
      <c r="D774" s="44" t="n">
        <v>2024</v>
      </c>
      <c r="E774" s="44" t="n">
        <v>4</v>
      </c>
      <c r="F774" s="44" t="s">
        <v>306</v>
      </c>
      <c r="G774" s="44" t="s">
        <v>552</v>
      </c>
      <c r="H774" s="44" t="s">
        <v>139</v>
      </c>
      <c r="I774" s="44" t="s">
        <v>172</v>
      </c>
      <c r="J774" s="44" t="s">
        <v>206</v>
      </c>
      <c r="K774" s="44" t="n">
        <v>1</v>
      </c>
      <c r="L774" s="46" t="n">
        <v>71.13</v>
      </c>
      <c r="M774" s="47" t="n">
        <v>0</v>
      </c>
      <c r="N774" s="46" t="n">
        <v>71.13</v>
      </c>
      <c r="O774" s="44" t="s">
        <v>309</v>
      </c>
      <c r="P774" s="44" t="s">
        <v>309</v>
      </c>
      <c r="Q774" s="44" t="s">
        <v>309</v>
      </c>
    </row>
    <row r="775" customFormat="false" ht="15" hidden="false" customHeight="false" outlineLevel="0" collapsed="false">
      <c r="A775" s="44" t="n">
        <v>774</v>
      </c>
      <c r="B775" s="45" t="n">
        <v>45657</v>
      </c>
      <c r="C775" s="44" t="n">
        <v>12</v>
      </c>
      <c r="D775" s="44" t="n">
        <v>2024</v>
      </c>
      <c r="E775" s="44" t="n">
        <v>31</v>
      </c>
      <c r="F775" s="44" t="s">
        <v>310</v>
      </c>
      <c r="G775" s="44" t="s">
        <v>535</v>
      </c>
      <c r="H775" s="44" t="s">
        <v>136</v>
      </c>
      <c r="I775" s="44" t="s">
        <v>172</v>
      </c>
      <c r="J775" s="44" t="s">
        <v>191</v>
      </c>
      <c r="K775" s="44" t="n">
        <v>1</v>
      </c>
      <c r="L775" s="46" t="n">
        <v>5.49</v>
      </c>
      <c r="M775" s="47" t="n">
        <v>0.35</v>
      </c>
      <c r="N775" s="46" t="n">
        <v>5.47</v>
      </c>
      <c r="O775" s="44" t="s">
        <v>309</v>
      </c>
      <c r="P775" s="44" t="s">
        <v>309</v>
      </c>
      <c r="Q775" s="44" t="s">
        <v>309</v>
      </c>
    </row>
    <row r="776" customFormat="false" ht="15" hidden="false" customHeight="false" outlineLevel="0" collapsed="false">
      <c r="A776" s="44" t="n">
        <v>775</v>
      </c>
      <c r="B776" s="45" t="n">
        <v>45425</v>
      </c>
      <c r="C776" s="44" t="n">
        <v>5</v>
      </c>
      <c r="D776" s="44" t="n">
        <v>2024</v>
      </c>
      <c r="E776" s="44" t="n">
        <v>13</v>
      </c>
      <c r="F776" s="44" t="s">
        <v>328</v>
      </c>
      <c r="G776" s="44" t="s">
        <v>462</v>
      </c>
      <c r="H776" s="44" t="s">
        <v>140</v>
      </c>
      <c r="I776" s="44" t="s">
        <v>173</v>
      </c>
      <c r="J776" s="44" t="s">
        <v>191</v>
      </c>
      <c r="K776" s="44" t="n">
        <v>10</v>
      </c>
      <c r="L776" s="46" t="n">
        <v>11.31</v>
      </c>
      <c r="M776" s="47" t="n">
        <v>13.08</v>
      </c>
      <c r="N776" s="46" t="n">
        <v>20.6</v>
      </c>
      <c r="O776" s="44" t="s">
        <v>308</v>
      </c>
      <c r="P776" s="44" t="s">
        <v>309</v>
      </c>
      <c r="Q776" s="44" t="s">
        <v>309</v>
      </c>
    </row>
    <row r="777" customFormat="false" ht="15" hidden="false" customHeight="false" outlineLevel="0" collapsed="false">
      <c r="A777" s="44" t="n">
        <v>776</v>
      </c>
      <c r="B777" s="45" t="n">
        <v>45489</v>
      </c>
      <c r="C777" s="44" t="n">
        <v>7</v>
      </c>
      <c r="D777" s="44" t="n">
        <v>2024</v>
      </c>
      <c r="E777" s="44" t="n">
        <v>16</v>
      </c>
      <c r="F777" s="44" t="s">
        <v>310</v>
      </c>
      <c r="G777" s="44" t="s">
        <v>487</v>
      </c>
      <c r="H777" s="44" t="s">
        <v>137</v>
      </c>
      <c r="I777" s="44" t="s">
        <v>172</v>
      </c>
      <c r="J777" s="44" t="s">
        <v>206</v>
      </c>
      <c r="K777" s="44" t="n">
        <v>2</v>
      </c>
      <c r="L777" s="46" t="n">
        <v>28.2</v>
      </c>
      <c r="M777" s="47" t="n">
        <v>1.905</v>
      </c>
      <c r="N777" s="46" t="n">
        <v>46.16</v>
      </c>
      <c r="O777" s="44" t="s">
        <v>308</v>
      </c>
      <c r="P777" s="44" t="s">
        <v>369</v>
      </c>
      <c r="Q777" s="44" t="s">
        <v>314</v>
      </c>
    </row>
    <row r="778" customFormat="false" ht="15" hidden="false" customHeight="false" outlineLevel="0" collapsed="false">
      <c r="A778" s="44" t="n">
        <v>777</v>
      </c>
      <c r="B778" s="45" t="n">
        <v>45464</v>
      </c>
      <c r="C778" s="44" t="n">
        <v>6</v>
      </c>
      <c r="D778" s="44" t="n">
        <v>2024</v>
      </c>
      <c r="E778" s="44" t="n">
        <v>21</v>
      </c>
      <c r="F778" s="44" t="s">
        <v>325</v>
      </c>
      <c r="G778" s="44" t="s">
        <v>454</v>
      </c>
      <c r="H778" s="44" t="s">
        <v>136</v>
      </c>
      <c r="I778" s="44" t="s">
        <v>172</v>
      </c>
      <c r="J778" s="44" t="s">
        <v>200</v>
      </c>
      <c r="K778" s="44" t="n">
        <v>1</v>
      </c>
      <c r="L778" s="46" t="n">
        <v>21.67</v>
      </c>
      <c r="M778" s="47" t="n">
        <v>1.905</v>
      </c>
      <c r="N778" s="46" t="n">
        <v>36.3</v>
      </c>
      <c r="O778" s="44" t="s">
        <v>308</v>
      </c>
      <c r="P778" s="44" t="s">
        <v>369</v>
      </c>
      <c r="Q778" s="44" t="s">
        <v>309</v>
      </c>
    </row>
    <row r="779" customFormat="false" ht="15" hidden="false" customHeight="false" outlineLevel="0" collapsed="false">
      <c r="A779" s="44" t="n">
        <v>778</v>
      </c>
      <c r="B779" s="45" t="n">
        <v>45561</v>
      </c>
      <c r="C779" s="44" t="n">
        <v>9</v>
      </c>
      <c r="D779" s="44" t="n">
        <v>2024</v>
      </c>
      <c r="E779" s="44" t="n">
        <v>26</v>
      </c>
      <c r="F779" s="44" t="s">
        <v>306</v>
      </c>
      <c r="G779" s="44" t="s">
        <v>410</v>
      </c>
      <c r="H779" s="44" t="s">
        <v>136</v>
      </c>
      <c r="I779" s="44" t="s">
        <v>176</v>
      </c>
      <c r="J779" s="44" t="s">
        <v>206</v>
      </c>
      <c r="K779" s="44" t="n">
        <v>1</v>
      </c>
      <c r="L779" s="46" t="n">
        <v>14.57</v>
      </c>
      <c r="M779" s="47" t="n">
        <v>0</v>
      </c>
      <c r="N779" s="46" t="n">
        <v>14.57</v>
      </c>
      <c r="O779" s="44" t="s">
        <v>309</v>
      </c>
      <c r="P779" s="44" t="s">
        <v>317</v>
      </c>
      <c r="Q779" s="44" t="s">
        <v>309</v>
      </c>
    </row>
    <row r="780" customFormat="false" ht="15" hidden="false" customHeight="false" outlineLevel="0" collapsed="false">
      <c r="A780" s="44" t="n">
        <v>779</v>
      </c>
      <c r="B780" s="45" t="n">
        <v>45468</v>
      </c>
      <c r="C780" s="44" t="n">
        <v>6</v>
      </c>
      <c r="D780" s="44" t="n">
        <v>2024</v>
      </c>
      <c r="E780" s="44" t="n">
        <v>25</v>
      </c>
      <c r="F780" s="44" t="s">
        <v>310</v>
      </c>
      <c r="G780" s="44" t="s">
        <v>474</v>
      </c>
      <c r="H780" s="44" t="s">
        <v>140</v>
      </c>
      <c r="I780" s="44" t="s">
        <v>173</v>
      </c>
      <c r="J780" s="44" t="s">
        <v>195</v>
      </c>
      <c r="K780" s="44" t="n">
        <v>2</v>
      </c>
      <c r="L780" s="46" t="n">
        <v>13.75</v>
      </c>
      <c r="M780" s="47" t="n">
        <v>3.05</v>
      </c>
      <c r="N780" s="46" t="n">
        <v>26.66</v>
      </c>
      <c r="O780" s="44" t="s">
        <v>309</v>
      </c>
      <c r="P780" s="44" t="s">
        <v>317</v>
      </c>
      <c r="Q780" s="44" t="s">
        <v>309</v>
      </c>
    </row>
    <row r="781" customFormat="false" ht="15" hidden="false" customHeight="false" outlineLevel="0" collapsed="false">
      <c r="A781" s="44" t="n">
        <v>780</v>
      </c>
      <c r="B781" s="45" t="n">
        <v>45431</v>
      </c>
      <c r="C781" s="44" t="n">
        <v>5</v>
      </c>
      <c r="D781" s="44" t="n">
        <v>2024</v>
      </c>
      <c r="E781" s="44" t="n">
        <v>19</v>
      </c>
      <c r="F781" s="44" t="s">
        <v>312</v>
      </c>
      <c r="G781" s="44" t="s">
        <v>518</v>
      </c>
      <c r="H781" s="44" t="s">
        <v>134</v>
      </c>
      <c r="I781" s="44" t="s">
        <v>172</v>
      </c>
      <c r="J781" s="44" t="s">
        <v>191</v>
      </c>
      <c r="K781" s="44" t="n">
        <v>1</v>
      </c>
      <c r="L781" s="46" t="n">
        <v>4.65</v>
      </c>
      <c r="M781" s="47" t="n">
        <v>0</v>
      </c>
      <c r="N781" s="46" t="n">
        <v>4.65</v>
      </c>
      <c r="O781" s="44" t="s">
        <v>309</v>
      </c>
      <c r="P781" s="44" t="s">
        <v>309</v>
      </c>
      <c r="Q781" s="44" t="s">
        <v>309</v>
      </c>
    </row>
    <row r="782" customFormat="false" ht="15" hidden="false" customHeight="false" outlineLevel="0" collapsed="false">
      <c r="A782" s="44" t="n">
        <v>781</v>
      </c>
      <c r="B782" s="45" t="n">
        <v>45502</v>
      </c>
      <c r="C782" s="44" t="n">
        <v>7</v>
      </c>
      <c r="D782" s="44" t="n">
        <v>2024</v>
      </c>
      <c r="E782" s="44" t="n">
        <v>29</v>
      </c>
      <c r="F782" s="44" t="s">
        <v>328</v>
      </c>
      <c r="G782" s="44" t="s">
        <v>402</v>
      </c>
      <c r="H782" s="44" t="s">
        <v>135</v>
      </c>
      <c r="I782" s="44" t="s">
        <v>175</v>
      </c>
      <c r="J782" s="44" t="s">
        <v>193</v>
      </c>
      <c r="K782" s="44" t="n">
        <v>12</v>
      </c>
      <c r="L782" s="46" t="n">
        <v>2.83</v>
      </c>
      <c r="M782" s="47" t="n">
        <v>18</v>
      </c>
      <c r="N782" s="46" t="n">
        <v>27.85</v>
      </c>
      <c r="O782" s="44" t="s">
        <v>309</v>
      </c>
      <c r="P782" s="44" t="s">
        <v>309</v>
      </c>
      <c r="Q782" s="44" t="s">
        <v>309</v>
      </c>
    </row>
    <row r="783" customFormat="false" ht="15" hidden="false" customHeight="false" outlineLevel="0" collapsed="false">
      <c r="A783" s="44" t="n">
        <v>782</v>
      </c>
      <c r="B783" s="45" t="n">
        <v>45384</v>
      </c>
      <c r="C783" s="44" t="n">
        <v>4</v>
      </c>
      <c r="D783" s="44" t="n">
        <v>2024</v>
      </c>
      <c r="E783" s="44" t="n">
        <v>2</v>
      </c>
      <c r="F783" s="44" t="s">
        <v>310</v>
      </c>
      <c r="G783" s="44" t="s">
        <v>440</v>
      </c>
      <c r="H783" s="44" t="s">
        <v>135</v>
      </c>
      <c r="I783" s="44" t="s">
        <v>172</v>
      </c>
      <c r="J783" s="44" t="s">
        <v>197</v>
      </c>
      <c r="K783" s="44" t="n">
        <v>1</v>
      </c>
      <c r="L783" s="46" t="n">
        <v>3.07</v>
      </c>
      <c r="M783" s="47" t="n">
        <v>0.41</v>
      </c>
      <c r="N783" s="46" t="n">
        <v>3.06</v>
      </c>
      <c r="O783" s="44" t="s">
        <v>309</v>
      </c>
      <c r="P783" s="44" t="s">
        <v>309</v>
      </c>
      <c r="Q783" s="44" t="s">
        <v>309</v>
      </c>
    </row>
    <row r="784" customFormat="false" ht="15" hidden="false" customHeight="false" outlineLevel="0" collapsed="false">
      <c r="A784" s="44" t="n">
        <v>783</v>
      </c>
      <c r="B784" s="45" t="n">
        <v>45526</v>
      </c>
      <c r="C784" s="44" t="n">
        <v>8</v>
      </c>
      <c r="D784" s="44" t="n">
        <v>2024</v>
      </c>
      <c r="E784" s="44" t="n">
        <v>22</v>
      </c>
      <c r="F784" s="44" t="s">
        <v>306</v>
      </c>
      <c r="G784" s="44" t="s">
        <v>488</v>
      </c>
      <c r="H784" s="44" t="s">
        <v>134</v>
      </c>
      <c r="I784" s="44" t="s">
        <v>172</v>
      </c>
      <c r="J784" s="44" t="s">
        <v>203</v>
      </c>
      <c r="K784" s="44" t="n">
        <v>6</v>
      </c>
      <c r="L784" s="46" t="n">
        <v>29.18</v>
      </c>
      <c r="M784" s="47" t="n">
        <v>7.13</v>
      </c>
      <c r="N784" s="46" t="n">
        <v>179.81</v>
      </c>
      <c r="O784" s="44" t="s">
        <v>308</v>
      </c>
      <c r="P784" s="44" t="s">
        <v>309</v>
      </c>
      <c r="Q784" s="44" t="s">
        <v>309</v>
      </c>
    </row>
    <row r="785" customFormat="false" ht="15" hidden="false" customHeight="false" outlineLevel="0" collapsed="false">
      <c r="A785" s="44" t="n">
        <v>784</v>
      </c>
      <c r="B785" s="45" t="n">
        <v>45589</v>
      </c>
      <c r="C785" s="44" t="n">
        <v>10</v>
      </c>
      <c r="D785" s="44" t="n">
        <v>2024</v>
      </c>
      <c r="E785" s="44" t="n">
        <v>24</v>
      </c>
      <c r="F785" s="44" t="s">
        <v>306</v>
      </c>
      <c r="G785" s="44" t="s">
        <v>525</v>
      </c>
      <c r="H785" s="44" t="s">
        <v>134</v>
      </c>
      <c r="I785" s="44" t="s">
        <v>172</v>
      </c>
      <c r="J785" s="44" t="s">
        <v>206</v>
      </c>
      <c r="K785" s="44" t="n">
        <v>3</v>
      </c>
      <c r="L785" s="46" t="n">
        <v>20.01</v>
      </c>
      <c r="M785" s="47" t="n">
        <v>2.14</v>
      </c>
      <c r="N785" s="46" t="n">
        <v>58.75</v>
      </c>
      <c r="O785" s="44" t="s">
        <v>309</v>
      </c>
      <c r="P785" s="44" t="s">
        <v>309</v>
      </c>
      <c r="Q785" s="44" t="s">
        <v>309</v>
      </c>
    </row>
    <row r="786" customFormat="false" ht="15" hidden="false" customHeight="false" outlineLevel="0" collapsed="false">
      <c r="A786" s="44" t="n">
        <v>785</v>
      </c>
      <c r="B786" s="45" t="n">
        <v>45500</v>
      </c>
      <c r="C786" s="44" t="n">
        <v>7</v>
      </c>
      <c r="D786" s="44" t="n">
        <v>2024</v>
      </c>
      <c r="E786" s="44" t="n">
        <v>27</v>
      </c>
      <c r="F786" s="44" t="s">
        <v>318</v>
      </c>
      <c r="G786" s="44" t="s">
        <v>439</v>
      </c>
      <c r="H786" s="44" t="s">
        <v>139</v>
      </c>
      <c r="I786" s="44" t="s">
        <v>173</v>
      </c>
      <c r="J786" s="44" t="s">
        <v>206</v>
      </c>
      <c r="K786" s="44" t="n">
        <v>1</v>
      </c>
      <c r="L786" s="46" t="n">
        <v>18.33</v>
      </c>
      <c r="M786" s="47" t="n">
        <v>0.38</v>
      </c>
      <c r="N786" s="46" t="n">
        <v>77.38</v>
      </c>
      <c r="O786" s="44" t="s">
        <v>308</v>
      </c>
      <c r="P786" s="44" t="s">
        <v>309</v>
      </c>
      <c r="Q786" s="44" t="s">
        <v>309</v>
      </c>
    </row>
    <row r="787" customFormat="false" ht="15" hidden="false" customHeight="false" outlineLevel="0" collapsed="false">
      <c r="A787" s="44" t="n">
        <v>786</v>
      </c>
      <c r="B787" s="45" t="n">
        <v>45486</v>
      </c>
      <c r="C787" s="44" t="n">
        <v>7</v>
      </c>
      <c r="D787" s="44" t="n">
        <v>2024</v>
      </c>
      <c r="E787" s="44" t="n">
        <v>13</v>
      </c>
      <c r="F787" s="44" t="s">
        <v>318</v>
      </c>
      <c r="G787" s="44" t="s">
        <v>445</v>
      </c>
      <c r="H787" s="44" t="s">
        <v>139</v>
      </c>
      <c r="I787" s="44" t="s">
        <v>174</v>
      </c>
      <c r="J787" s="44" t="s">
        <v>199</v>
      </c>
      <c r="K787" s="44" t="n">
        <v>3</v>
      </c>
      <c r="L787" s="46" t="n">
        <v>18.33</v>
      </c>
      <c r="M787" s="47" t="n">
        <v>2.69</v>
      </c>
      <c r="N787" s="46" t="n">
        <v>130.49</v>
      </c>
      <c r="O787" s="44" t="s">
        <v>308</v>
      </c>
      <c r="P787" s="44" t="s">
        <v>309</v>
      </c>
      <c r="Q787" s="44" t="s">
        <v>309</v>
      </c>
    </row>
    <row r="788" customFormat="false" ht="15" hidden="false" customHeight="false" outlineLevel="0" collapsed="false">
      <c r="A788" s="44" t="n">
        <v>787</v>
      </c>
      <c r="B788" s="45" t="n">
        <v>45298</v>
      </c>
      <c r="C788" s="44" t="n">
        <v>1</v>
      </c>
      <c r="D788" s="44" t="n">
        <v>2024</v>
      </c>
      <c r="E788" s="44" t="n">
        <v>7</v>
      </c>
      <c r="F788" s="44" t="s">
        <v>312</v>
      </c>
      <c r="G788" s="44" t="s">
        <v>348</v>
      </c>
      <c r="H788" s="44" t="s">
        <v>135</v>
      </c>
      <c r="I788" s="44" t="s">
        <v>173</v>
      </c>
      <c r="J788" s="44" t="s">
        <v>191</v>
      </c>
      <c r="K788" s="44" t="n">
        <v>4</v>
      </c>
      <c r="L788" s="46" t="n">
        <v>2.5</v>
      </c>
      <c r="M788" s="47" t="n">
        <v>4.58</v>
      </c>
      <c r="N788" s="46" t="n">
        <v>9.54</v>
      </c>
      <c r="O788" s="44" t="s">
        <v>309</v>
      </c>
      <c r="P788" s="44" t="s">
        <v>309</v>
      </c>
      <c r="Q788" s="44" t="s">
        <v>309</v>
      </c>
    </row>
    <row r="789" customFormat="false" ht="15" hidden="false" customHeight="false" outlineLevel="0" collapsed="false">
      <c r="A789" s="44" t="n">
        <v>788</v>
      </c>
      <c r="B789" s="45" t="n">
        <v>45466</v>
      </c>
      <c r="C789" s="44" t="n">
        <v>6</v>
      </c>
      <c r="D789" s="44" t="n">
        <v>2024</v>
      </c>
      <c r="E789" s="44" t="n">
        <v>23</v>
      </c>
      <c r="F789" s="44" t="s">
        <v>312</v>
      </c>
      <c r="G789" s="44" t="s">
        <v>472</v>
      </c>
      <c r="H789" s="44" t="s">
        <v>140</v>
      </c>
      <c r="I789" s="44" t="s">
        <v>174</v>
      </c>
      <c r="J789" s="44" t="s">
        <v>195</v>
      </c>
      <c r="K789" s="44" t="n">
        <v>2</v>
      </c>
      <c r="L789" s="46" t="n">
        <v>6.31</v>
      </c>
      <c r="M789" s="47" t="n">
        <v>1.14</v>
      </c>
      <c r="N789" s="46" t="n">
        <v>12.48</v>
      </c>
      <c r="O789" s="44" t="s">
        <v>309</v>
      </c>
      <c r="P789" s="44" t="s">
        <v>309</v>
      </c>
      <c r="Q789" s="44" t="s">
        <v>309</v>
      </c>
    </row>
    <row r="790" customFormat="false" ht="15" hidden="false" customHeight="false" outlineLevel="0" collapsed="false">
      <c r="A790" s="44" t="n">
        <v>789</v>
      </c>
      <c r="B790" s="45" t="n">
        <v>45345</v>
      </c>
      <c r="C790" s="44" t="n">
        <v>2</v>
      </c>
      <c r="D790" s="44" t="n">
        <v>2024</v>
      </c>
      <c r="E790" s="44" t="n">
        <v>23</v>
      </c>
      <c r="F790" s="44" t="s">
        <v>325</v>
      </c>
      <c r="G790" s="44" t="s">
        <v>365</v>
      </c>
      <c r="H790" s="44" t="s">
        <v>136</v>
      </c>
      <c r="I790" s="44" t="s">
        <v>172</v>
      </c>
      <c r="J790" s="44" t="s">
        <v>191</v>
      </c>
      <c r="K790" s="44" t="n">
        <v>1</v>
      </c>
      <c r="L790" s="46" t="n">
        <v>21.67</v>
      </c>
      <c r="M790" s="47" t="n">
        <v>1.905</v>
      </c>
      <c r="N790" s="46" t="n">
        <v>22.5</v>
      </c>
      <c r="O790" s="44" t="s">
        <v>308</v>
      </c>
      <c r="P790" s="44" t="s">
        <v>369</v>
      </c>
      <c r="Q790" s="44" t="s">
        <v>309</v>
      </c>
    </row>
    <row r="791" customFormat="false" ht="15" hidden="false" customHeight="false" outlineLevel="0" collapsed="false">
      <c r="A791" s="44" t="n">
        <v>790</v>
      </c>
      <c r="B791" s="45" t="n">
        <v>45478</v>
      </c>
      <c r="C791" s="44" t="n">
        <v>7</v>
      </c>
      <c r="D791" s="44" t="n">
        <v>2024</v>
      </c>
      <c r="E791" s="44" t="n">
        <v>5</v>
      </c>
      <c r="F791" s="44" t="s">
        <v>325</v>
      </c>
      <c r="G791" s="44" t="s">
        <v>540</v>
      </c>
      <c r="H791" s="44" t="s">
        <v>136</v>
      </c>
      <c r="I791" s="44" t="s">
        <v>173</v>
      </c>
      <c r="J791" s="44" t="s">
        <v>201</v>
      </c>
      <c r="K791" s="44" t="n">
        <v>3</v>
      </c>
      <c r="L791" s="46" t="n">
        <v>72.96</v>
      </c>
      <c r="M791" s="47" t="n">
        <v>4.54</v>
      </c>
      <c r="N791" s="46" t="n">
        <v>208.94</v>
      </c>
      <c r="O791" s="44" t="s">
        <v>309</v>
      </c>
      <c r="P791" s="44" t="s">
        <v>309</v>
      </c>
      <c r="Q791" s="44" t="s">
        <v>309</v>
      </c>
    </row>
    <row r="792" customFormat="false" ht="15" hidden="false" customHeight="false" outlineLevel="0" collapsed="false">
      <c r="A792" s="44" t="n">
        <v>791</v>
      </c>
      <c r="B792" s="45" t="n">
        <v>45528</v>
      </c>
      <c r="C792" s="44" t="n">
        <v>8</v>
      </c>
      <c r="D792" s="44" t="n">
        <v>2024</v>
      </c>
      <c r="E792" s="44" t="n">
        <v>24</v>
      </c>
      <c r="F792" s="44" t="s">
        <v>318</v>
      </c>
      <c r="G792" s="44" t="s">
        <v>428</v>
      </c>
      <c r="H792" s="44" t="s">
        <v>136</v>
      </c>
      <c r="I792" s="44" t="s">
        <v>174</v>
      </c>
      <c r="J792" s="44" t="s">
        <v>206</v>
      </c>
      <c r="K792" s="44" t="n">
        <v>8</v>
      </c>
      <c r="L792" s="46" t="n">
        <v>29.85</v>
      </c>
      <c r="M792" s="47" t="n">
        <v>12.19</v>
      </c>
      <c r="N792" s="46" t="n">
        <v>209.69</v>
      </c>
      <c r="O792" s="44" t="s">
        <v>309</v>
      </c>
      <c r="P792" s="44" t="s">
        <v>317</v>
      </c>
      <c r="Q792" s="44" t="s">
        <v>309</v>
      </c>
    </row>
    <row r="793" customFormat="false" ht="15" hidden="false" customHeight="false" outlineLevel="0" collapsed="false">
      <c r="A793" s="44" t="n">
        <v>792</v>
      </c>
      <c r="B793" s="45" t="n">
        <v>45605</v>
      </c>
      <c r="C793" s="44" t="n">
        <v>11</v>
      </c>
      <c r="D793" s="44" t="n">
        <v>2024</v>
      </c>
      <c r="E793" s="44" t="n">
        <v>9</v>
      </c>
      <c r="F793" s="44" t="s">
        <v>318</v>
      </c>
      <c r="G793" s="44" t="s">
        <v>323</v>
      </c>
      <c r="H793" s="44" t="s">
        <v>136</v>
      </c>
      <c r="I793" s="44" t="s">
        <v>174</v>
      </c>
      <c r="J793" s="44" t="s">
        <v>192</v>
      </c>
      <c r="K793" s="44" t="n">
        <v>8</v>
      </c>
      <c r="L793" s="46" t="n">
        <v>21.67</v>
      </c>
      <c r="M793" s="47" t="n">
        <v>12.17</v>
      </c>
      <c r="N793" s="46" t="n">
        <v>831.15</v>
      </c>
      <c r="O793" s="44" t="s">
        <v>308</v>
      </c>
      <c r="P793" s="44" t="s">
        <v>309</v>
      </c>
      <c r="Q793" s="44" t="s">
        <v>309</v>
      </c>
    </row>
    <row r="794" customFormat="false" ht="15" hidden="false" customHeight="false" outlineLevel="0" collapsed="false">
      <c r="A794" s="44" t="n">
        <v>793</v>
      </c>
      <c r="B794" s="45" t="n">
        <v>45454</v>
      </c>
      <c r="C794" s="44" t="n">
        <v>6</v>
      </c>
      <c r="D794" s="44" t="n">
        <v>2024</v>
      </c>
      <c r="E794" s="44" t="n">
        <v>11</v>
      </c>
      <c r="F794" s="44" t="s">
        <v>310</v>
      </c>
      <c r="G794" s="44" t="s">
        <v>528</v>
      </c>
      <c r="H794" s="44" t="s">
        <v>138</v>
      </c>
      <c r="I794" s="44" t="s">
        <v>176</v>
      </c>
      <c r="J794" s="44" t="s">
        <v>192</v>
      </c>
      <c r="K794" s="44" t="n">
        <v>4</v>
      </c>
      <c r="L794" s="46" t="n">
        <v>38.11</v>
      </c>
      <c r="M794" s="47" t="n">
        <v>4.23</v>
      </c>
      <c r="N794" s="46" t="n">
        <v>145.99</v>
      </c>
      <c r="O794" s="44" t="s">
        <v>309</v>
      </c>
      <c r="P794" s="44" t="s">
        <v>309</v>
      </c>
      <c r="Q794" s="44" t="s">
        <v>309</v>
      </c>
    </row>
    <row r="795" customFormat="false" ht="15" hidden="false" customHeight="false" outlineLevel="0" collapsed="false">
      <c r="A795" s="44" t="n">
        <v>794</v>
      </c>
      <c r="B795" s="45" t="n">
        <v>45316</v>
      </c>
      <c r="C795" s="44" t="n">
        <v>1</v>
      </c>
      <c r="D795" s="44" t="n">
        <v>2024</v>
      </c>
      <c r="E795" s="44" t="n">
        <v>25</v>
      </c>
      <c r="F795" s="44" t="s">
        <v>306</v>
      </c>
      <c r="G795" s="44" t="s">
        <v>365</v>
      </c>
      <c r="H795" s="44" t="s">
        <v>135</v>
      </c>
      <c r="I795" s="44" t="s">
        <v>172</v>
      </c>
      <c r="J795" s="44" t="s">
        <v>206</v>
      </c>
      <c r="K795" s="44" t="n">
        <v>1</v>
      </c>
      <c r="L795" s="46" t="n">
        <v>30.44</v>
      </c>
      <c r="M795" s="47" t="n">
        <v>0</v>
      </c>
      <c r="N795" s="46" t="n">
        <v>92.38</v>
      </c>
      <c r="O795" s="44" t="s">
        <v>308</v>
      </c>
      <c r="P795" s="44" t="s">
        <v>309</v>
      </c>
      <c r="Q795" s="44" t="s">
        <v>309</v>
      </c>
    </row>
    <row r="796" customFormat="false" ht="15" hidden="false" customHeight="false" outlineLevel="0" collapsed="false">
      <c r="A796" s="44" t="n">
        <v>795</v>
      </c>
      <c r="B796" s="45" t="n">
        <v>45611</v>
      </c>
      <c r="C796" s="44" t="n">
        <v>11</v>
      </c>
      <c r="D796" s="44" t="n">
        <v>2024</v>
      </c>
      <c r="E796" s="44" t="n">
        <v>15</v>
      </c>
      <c r="F796" s="44" t="s">
        <v>325</v>
      </c>
      <c r="G796" s="44" t="s">
        <v>327</v>
      </c>
      <c r="H796" s="44" t="s">
        <v>134</v>
      </c>
      <c r="I796" s="44" t="s">
        <v>176</v>
      </c>
      <c r="J796" s="44" t="s">
        <v>206</v>
      </c>
      <c r="K796" s="44" t="n">
        <v>4</v>
      </c>
      <c r="L796" s="46" t="n">
        <v>4.59</v>
      </c>
      <c r="M796" s="47" t="n">
        <v>3.59</v>
      </c>
      <c r="N796" s="46" t="n">
        <v>17.7</v>
      </c>
      <c r="O796" s="44" t="s">
        <v>309</v>
      </c>
      <c r="P796" s="44" t="s">
        <v>317</v>
      </c>
      <c r="Q796" s="44" t="s">
        <v>309</v>
      </c>
    </row>
    <row r="797" customFormat="false" ht="15" hidden="false" customHeight="false" outlineLevel="0" collapsed="false">
      <c r="A797" s="44" t="n">
        <v>796</v>
      </c>
      <c r="B797" s="45" t="n">
        <v>45614</v>
      </c>
      <c r="C797" s="44" t="n">
        <v>11</v>
      </c>
      <c r="D797" s="44" t="n">
        <v>2024</v>
      </c>
      <c r="E797" s="44" t="n">
        <v>18</v>
      </c>
      <c r="F797" s="44" t="s">
        <v>328</v>
      </c>
      <c r="G797" s="44" t="s">
        <v>378</v>
      </c>
      <c r="H797" s="44" t="s">
        <v>136</v>
      </c>
      <c r="I797" s="44" t="s">
        <v>176</v>
      </c>
      <c r="J797" s="44" t="s">
        <v>201</v>
      </c>
      <c r="K797" s="44" t="n">
        <v>2</v>
      </c>
      <c r="L797" s="46" t="n">
        <v>76.05</v>
      </c>
      <c r="M797" s="47" t="n">
        <v>3.43</v>
      </c>
      <c r="N797" s="46" t="n">
        <v>146.88</v>
      </c>
      <c r="O797" s="44" t="s">
        <v>309</v>
      </c>
      <c r="P797" s="44" t="s">
        <v>317</v>
      </c>
      <c r="Q797" s="44" t="s">
        <v>309</v>
      </c>
    </row>
    <row r="798" customFormat="false" ht="15" hidden="false" customHeight="false" outlineLevel="0" collapsed="false">
      <c r="A798" s="44" t="n">
        <v>797</v>
      </c>
      <c r="B798" s="45" t="n">
        <v>45373</v>
      </c>
      <c r="C798" s="44" t="n">
        <v>3</v>
      </c>
      <c r="D798" s="44" t="n">
        <v>2024</v>
      </c>
      <c r="E798" s="44" t="n">
        <v>22</v>
      </c>
      <c r="F798" s="44" t="s">
        <v>325</v>
      </c>
      <c r="G798" s="44" t="s">
        <v>324</v>
      </c>
      <c r="H798" s="44" t="s">
        <v>138</v>
      </c>
      <c r="I798" s="44" t="s">
        <v>176</v>
      </c>
      <c r="J798" s="44" t="s">
        <v>204</v>
      </c>
      <c r="K798" s="44" t="n">
        <v>2</v>
      </c>
      <c r="L798" s="46" t="n">
        <v>26.69</v>
      </c>
      <c r="M798" s="47" t="n">
        <v>1.905</v>
      </c>
      <c r="N798" s="46" t="n">
        <v>47.82</v>
      </c>
      <c r="O798" s="44" t="s">
        <v>308</v>
      </c>
      <c r="P798" s="44" t="s">
        <v>369</v>
      </c>
      <c r="Q798" s="44" t="s">
        <v>309</v>
      </c>
    </row>
    <row r="799" customFormat="false" ht="15" hidden="false" customHeight="false" outlineLevel="0" collapsed="false">
      <c r="A799" s="44" t="n">
        <v>798</v>
      </c>
      <c r="B799" s="45" t="n">
        <v>45377</v>
      </c>
      <c r="C799" s="44" t="n">
        <v>3</v>
      </c>
      <c r="D799" s="44" t="n">
        <v>2024</v>
      </c>
      <c r="E799" s="44" t="n">
        <v>26</v>
      </c>
      <c r="F799" s="44" t="s">
        <v>310</v>
      </c>
      <c r="G799" s="44" t="s">
        <v>511</v>
      </c>
      <c r="H799" s="44" t="s">
        <v>134</v>
      </c>
      <c r="I799" s="44" t="s">
        <v>176</v>
      </c>
      <c r="J799" s="44" t="s">
        <v>191</v>
      </c>
      <c r="K799" s="44" t="n">
        <v>4</v>
      </c>
      <c r="L799" s="46" t="n">
        <v>29.18</v>
      </c>
      <c r="M799" s="47" t="n">
        <v>6.12</v>
      </c>
      <c r="N799" s="46" t="n">
        <v>57.98</v>
      </c>
      <c r="O799" s="44" t="s">
        <v>308</v>
      </c>
      <c r="P799" s="44" t="s">
        <v>309</v>
      </c>
      <c r="Q799" s="44" t="s">
        <v>309</v>
      </c>
    </row>
    <row r="800" customFormat="false" ht="15" hidden="false" customHeight="false" outlineLevel="0" collapsed="false">
      <c r="A800" s="44" t="n">
        <v>799</v>
      </c>
      <c r="B800" s="45" t="n">
        <v>45503</v>
      </c>
      <c r="C800" s="44" t="n">
        <v>7</v>
      </c>
      <c r="D800" s="44" t="n">
        <v>2024</v>
      </c>
      <c r="E800" s="44" t="n">
        <v>30</v>
      </c>
      <c r="F800" s="44" t="s">
        <v>310</v>
      </c>
      <c r="G800" s="44" t="s">
        <v>350</v>
      </c>
      <c r="H800" s="44" t="s">
        <v>136</v>
      </c>
      <c r="I800" s="44" t="s">
        <v>174</v>
      </c>
      <c r="J800" s="44" t="s">
        <v>205</v>
      </c>
      <c r="K800" s="44" t="n">
        <v>12</v>
      </c>
      <c r="L800" s="46" t="n">
        <v>8.35</v>
      </c>
      <c r="M800" s="47" t="n">
        <v>18</v>
      </c>
      <c r="N800" s="46" t="n">
        <v>82.16</v>
      </c>
      <c r="O800" s="44" t="s">
        <v>309</v>
      </c>
      <c r="P800" s="44" t="s">
        <v>309</v>
      </c>
      <c r="Q800" s="44" t="s">
        <v>309</v>
      </c>
    </row>
    <row r="801" customFormat="false" ht="15" hidden="false" customHeight="false" outlineLevel="0" collapsed="false">
      <c r="A801" s="44" t="n">
        <v>800</v>
      </c>
      <c r="B801" s="45" t="n">
        <v>45582</v>
      </c>
      <c r="C801" s="44" t="n">
        <v>10</v>
      </c>
      <c r="D801" s="44" t="n">
        <v>2024</v>
      </c>
      <c r="E801" s="44" t="n">
        <v>17</v>
      </c>
      <c r="F801" s="44" t="s">
        <v>306</v>
      </c>
      <c r="G801" s="44" t="s">
        <v>525</v>
      </c>
      <c r="H801" s="44" t="s">
        <v>140</v>
      </c>
      <c r="I801" s="44" t="s">
        <v>173</v>
      </c>
      <c r="J801" s="44" t="s">
        <v>191</v>
      </c>
      <c r="K801" s="44" t="n">
        <v>2</v>
      </c>
      <c r="L801" s="46" t="n">
        <v>25.97</v>
      </c>
      <c r="M801" s="47" t="n">
        <v>1.91</v>
      </c>
      <c r="N801" s="46" t="n">
        <v>50.95</v>
      </c>
      <c r="O801" s="44" t="s">
        <v>309</v>
      </c>
      <c r="P801" s="44" t="s">
        <v>317</v>
      </c>
      <c r="Q801" s="44" t="s">
        <v>309</v>
      </c>
    </row>
    <row r="802" customFormat="false" ht="15" hidden="false" customHeight="false" outlineLevel="0" collapsed="false">
      <c r="A802" s="44" t="n">
        <v>801</v>
      </c>
      <c r="B802" s="45" t="n">
        <v>45354</v>
      </c>
      <c r="C802" s="44" t="n">
        <v>3</v>
      </c>
      <c r="D802" s="44" t="n">
        <v>2024</v>
      </c>
      <c r="E802" s="44" t="n">
        <v>3</v>
      </c>
      <c r="F802" s="44" t="s">
        <v>312</v>
      </c>
      <c r="G802" s="44" t="s">
        <v>386</v>
      </c>
      <c r="H802" s="44" t="s">
        <v>135</v>
      </c>
      <c r="I802" s="44" t="s">
        <v>174</v>
      </c>
      <c r="J802" s="44" t="s">
        <v>206</v>
      </c>
      <c r="K802" s="44" t="n">
        <v>2</v>
      </c>
      <c r="L802" s="46" t="n">
        <v>23.44</v>
      </c>
      <c r="M802" s="47" t="n">
        <v>2.91</v>
      </c>
      <c r="N802" s="46" t="n">
        <v>45.52</v>
      </c>
      <c r="O802" s="44" t="s">
        <v>309</v>
      </c>
      <c r="P802" s="44" t="s">
        <v>309</v>
      </c>
      <c r="Q802" s="44" t="s">
        <v>309</v>
      </c>
    </row>
    <row r="803" customFormat="false" ht="15" hidden="false" customHeight="false" outlineLevel="0" collapsed="false">
      <c r="A803" s="44" t="n">
        <v>802</v>
      </c>
      <c r="B803" s="45" t="n">
        <v>45422</v>
      </c>
      <c r="C803" s="44" t="n">
        <v>5</v>
      </c>
      <c r="D803" s="44" t="n">
        <v>2024</v>
      </c>
      <c r="E803" s="44" t="n">
        <v>10</v>
      </c>
      <c r="F803" s="44" t="s">
        <v>325</v>
      </c>
      <c r="G803" s="44" t="s">
        <v>364</v>
      </c>
      <c r="H803" s="44" t="s">
        <v>135</v>
      </c>
      <c r="I803" s="44" t="s">
        <v>176</v>
      </c>
      <c r="J803" s="44" t="s">
        <v>200</v>
      </c>
      <c r="K803" s="44" t="n">
        <v>1</v>
      </c>
      <c r="L803" s="46" t="n">
        <v>30.44</v>
      </c>
      <c r="M803" s="47" t="n">
        <v>0.25</v>
      </c>
      <c r="N803" s="46" t="n">
        <v>2.87</v>
      </c>
      <c r="O803" s="44" t="s">
        <v>308</v>
      </c>
      <c r="P803" s="44" t="s">
        <v>309</v>
      </c>
      <c r="Q803" s="44" t="s">
        <v>309</v>
      </c>
    </row>
    <row r="804" customFormat="false" ht="15" hidden="false" customHeight="false" outlineLevel="0" collapsed="false">
      <c r="A804" s="44" t="n">
        <v>803</v>
      </c>
      <c r="B804" s="45" t="n">
        <v>45407</v>
      </c>
      <c r="C804" s="44" t="n">
        <v>4</v>
      </c>
      <c r="D804" s="44" t="n">
        <v>2024</v>
      </c>
      <c r="E804" s="44" t="n">
        <v>25</v>
      </c>
      <c r="F804" s="44" t="s">
        <v>306</v>
      </c>
      <c r="G804" s="44" t="s">
        <v>385</v>
      </c>
      <c r="H804" s="44" t="s">
        <v>136</v>
      </c>
      <c r="I804" s="44" t="s">
        <v>173</v>
      </c>
      <c r="J804" s="44" t="s">
        <v>194</v>
      </c>
      <c r="K804" s="44" t="n">
        <v>1</v>
      </c>
      <c r="L804" s="46" t="n">
        <v>142.29</v>
      </c>
      <c r="M804" s="47" t="n">
        <v>1.24</v>
      </c>
      <c r="N804" s="46" t="n">
        <v>140.53</v>
      </c>
      <c r="O804" s="44" t="s">
        <v>309</v>
      </c>
      <c r="P804" s="44" t="s">
        <v>309</v>
      </c>
      <c r="Q804" s="44" t="s">
        <v>309</v>
      </c>
    </row>
    <row r="805" customFormat="false" ht="15" hidden="false" customHeight="false" outlineLevel="0" collapsed="false">
      <c r="A805" s="44" t="n">
        <v>804</v>
      </c>
      <c r="B805" s="45" t="n">
        <v>45452</v>
      </c>
      <c r="C805" s="44" t="n">
        <v>6</v>
      </c>
      <c r="D805" s="44" t="n">
        <v>2024</v>
      </c>
      <c r="E805" s="44" t="n">
        <v>9</v>
      </c>
      <c r="F805" s="44" t="s">
        <v>312</v>
      </c>
      <c r="G805" s="44" t="s">
        <v>544</v>
      </c>
      <c r="H805" s="44" t="s">
        <v>139</v>
      </c>
      <c r="I805" s="44" t="s">
        <v>174</v>
      </c>
      <c r="J805" s="44" t="s">
        <v>191</v>
      </c>
      <c r="K805" s="44" t="n">
        <v>1</v>
      </c>
      <c r="L805" s="46" t="n">
        <v>75.9</v>
      </c>
      <c r="M805" s="47" t="n">
        <v>1.77</v>
      </c>
      <c r="N805" s="46" t="n">
        <v>74.56</v>
      </c>
      <c r="O805" s="44" t="s">
        <v>309</v>
      </c>
      <c r="P805" s="44" t="s">
        <v>317</v>
      </c>
      <c r="Q805" s="44" t="s">
        <v>309</v>
      </c>
    </row>
    <row r="806" customFormat="false" ht="15" hidden="false" customHeight="false" outlineLevel="0" collapsed="false">
      <c r="A806" s="44" t="n">
        <v>805</v>
      </c>
      <c r="B806" s="45" t="n">
        <v>45363</v>
      </c>
      <c r="C806" s="44" t="n">
        <v>3</v>
      </c>
      <c r="D806" s="44" t="n">
        <v>2024</v>
      </c>
      <c r="E806" s="44" t="n">
        <v>12</v>
      </c>
      <c r="F806" s="44" t="s">
        <v>310</v>
      </c>
      <c r="G806" s="44" t="s">
        <v>329</v>
      </c>
      <c r="H806" s="44" t="s">
        <v>134</v>
      </c>
      <c r="I806" s="44" t="s">
        <v>172</v>
      </c>
      <c r="J806" s="44" t="s">
        <v>191</v>
      </c>
      <c r="K806" s="44" t="n">
        <v>2</v>
      </c>
      <c r="L806" s="46" t="n">
        <v>29.18</v>
      </c>
      <c r="M806" s="47" t="n">
        <v>2.61</v>
      </c>
      <c r="N806" s="46" t="n">
        <v>26.53</v>
      </c>
      <c r="O806" s="44" t="s">
        <v>308</v>
      </c>
      <c r="P806" s="44" t="s">
        <v>309</v>
      </c>
      <c r="Q806" s="44" t="s">
        <v>309</v>
      </c>
    </row>
    <row r="807" customFormat="false" ht="15" hidden="false" customHeight="false" outlineLevel="0" collapsed="false">
      <c r="A807" s="44" t="n">
        <v>806</v>
      </c>
      <c r="B807" s="45" t="n">
        <v>45362</v>
      </c>
      <c r="C807" s="44" t="n">
        <v>3</v>
      </c>
      <c r="D807" s="44" t="n">
        <v>2024</v>
      </c>
      <c r="E807" s="44" t="n">
        <v>11</v>
      </c>
      <c r="F807" s="44" t="s">
        <v>328</v>
      </c>
      <c r="G807" s="44" t="s">
        <v>365</v>
      </c>
      <c r="H807" s="44" t="s">
        <v>135</v>
      </c>
      <c r="I807" s="44" t="s">
        <v>172</v>
      </c>
      <c r="J807" s="44" t="s">
        <v>194</v>
      </c>
      <c r="K807" s="44" t="n">
        <v>3</v>
      </c>
      <c r="L807" s="46" t="n">
        <v>30.44</v>
      </c>
      <c r="M807" s="47" t="n">
        <v>1.905</v>
      </c>
      <c r="N807" s="46" t="n">
        <v>207.28</v>
      </c>
      <c r="O807" s="44" t="s">
        <v>308</v>
      </c>
      <c r="P807" s="44" t="s">
        <v>369</v>
      </c>
      <c r="Q807" s="44" t="s">
        <v>309</v>
      </c>
    </row>
    <row r="808" customFormat="false" ht="15" hidden="false" customHeight="false" outlineLevel="0" collapsed="false">
      <c r="A808" s="44" t="n">
        <v>807</v>
      </c>
      <c r="B808" s="45" t="n">
        <v>45414</v>
      </c>
      <c r="C808" s="44" t="n">
        <v>5</v>
      </c>
      <c r="D808" s="44" t="n">
        <v>2024</v>
      </c>
      <c r="E808" s="44" t="n">
        <v>2</v>
      </c>
      <c r="F808" s="44" t="s">
        <v>306</v>
      </c>
      <c r="G808" s="44" t="s">
        <v>313</v>
      </c>
      <c r="H808" s="44" t="s">
        <v>135</v>
      </c>
      <c r="I808" s="44" t="s">
        <v>176</v>
      </c>
      <c r="J808" s="44" t="s">
        <v>197</v>
      </c>
      <c r="K808" s="44" t="n">
        <v>6</v>
      </c>
      <c r="L808" s="46" t="n">
        <v>177.16</v>
      </c>
      <c r="M808" s="47" t="n">
        <v>8.05</v>
      </c>
      <c r="N808" s="46" t="n">
        <v>977.39</v>
      </c>
      <c r="O808" s="44" t="s">
        <v>309</v>
      </c>
      <c r="P808" s="44" t="s">
        <v>309</v>
      </c>
      <c r="Q808" s="44" t="s">
        <v>309</v>
      </c>
    </row>
    <row r="809" customFormat="false" ht="15" hidden="false" customHeight="false" outlineLevel="0" collapsed="false">
      <c r="A809" s="44" t="n">
        <v>808</v>
      </c>
      <c r="B809" s="45" t="n">
        <v>45523</v>
      </c>
      <c r="C809" s="44" t="n">
        <v>8</v>
      </c>
      <c r="D809" s="44" t="n">
        <v>2024</v>
      </c>
      <c r="E809" s="44" t="n">
        <v>19</v>
      </c>
      <c r="F809" s="44" t="s">
        <v>328</v>
      </c>
      <c r="G809" s="44" t="s">
        <v>395</v>
      </c>
      <c r="H809" s="44" t="s">
        <v>134</v>
      </c>
      <c r="I809" s="44" t="s">
        <v>172</v>
      </c>
      <c r="J809" s="44" t="s">
        <v>196</v>
      </c>
      <c r="K809" s="44" t="n">
        <v>4</v>
      </c>
      <c r="L809" s="46" t="n">
        <v>29.18</v>
      </c>
      <c r="M809" s="47" t="n">
        <v>5.57</v>
      </c>
      <c r="N809" s="46" t="n">
        <v>742.94</v>
      </c>
      <c r="O809" s="44" t="s">
        <v>308</v>
      </c>
      <c r="P809" s="44" t="s">
        <v>309</v>
      </c>
      <c r="Q809" s="44" t="s">
        <v>309</v>
      </c>
    </row>
    <row r="810" customFormat="false" ht="15" hidden="false" customHeight="false" outlineLevel="0" collapsed="false">
      <c r="A810" s="44" t="n">
        <v>809</v>
      </c>
      <c r="B810" s="45" t="n">
        <v>45648</v>
      </c>
      <c r="C810" s="44" t="n">
        <v>12</v>
      </c>
      <c r="D810" s="44" t="n">
        <v>2024</v>
      </c>
      <c r="E810" s="44" t="n">
        <v>22</v>
      </c>
      <c r="F810" s="44" t="s">
        <v>312</v>
      </c>
      <c r="G810" s="44" t="s">
        <v>521</v>
      </c>
      <c r="H810" s="44" t="s">
        <v>137</v>
      </c>
      <c r="I810" s="44" t="s">
        <v>176</v>
      </c>
      <c r="J810" s="44" t="s">
        <v>199</v>
      </c>
      <c r="K810" s="44" t="n">
        <v>1</v>
      </c>
      <c r="L810" s="46" t="n">
        <v>65.96</v>
      </c>
      <c r="M810" s="47" t="n">
        <v>0.92</v>
      </c>
      <c r="N810" s="46" t="n">
        <v>65.35</v>
      </c>
      <c r="O810" s="44" t="s">
        <v>309</v>
      </c>
      <c r="P810" s="44" t="s">
        <v>309</v>
      </c>
      <c r="Q810" s="44" t="s">
        <v>309</v>
      </c>
    </row>
    <row r="811" customFormat="false" ht="15" hidden="false" customHeight="false" outlineLevel="0" collapsed="false">
      <c r="A811" s="44" t="n">
        <v>810</v>
      </c>
      <c r="B811" s="45" t="n">
        <v>45572</v>
      </c>
      <c r="C811" s="44" t="n">
        <v>10</v>
      </c>
      <c r="D811" s="44" t="n">
        <v>2024</v>
      </c>
      <c r="E811" s="44" t="n">
        <v>7</v>
      </c>
      <c r="F811" s="44" t="s">
        <v>328</v>
      </c>
      <c r="G811" s="44" t="s">
        <v>386</v>
      </c>
      <c r="H811" s="44" t="s">
        <v>140</v>
      </c>
      <c r="I811" s="44" t="s">
        <v>172</v>
      </c>
      <c r="J811" s="44" t="s">
        <v>191</v>
      </c>
      <c r="K811" s="44" t="n">
        <v>1</v>
      </c>
      <c r="L811" s="46" t="n">
        <v>5.99</v>
      </c>
      <c r="M811" s="47" t="n">
        <v>0</v>
      </c>
      <c r="N811" s="46" t="n">
        <v>5.99</v>
      </c>
      <c r="O811" s="44" t="s">
        <v>309</v>
      </c>
      <c r="P811" s="44" t="s">
        <v>317</v>
      </c>
      <c r="Q811" s="44" t="s">
        <v>309</v>
      </c>
    </row>
    <row r="812" customFormat="false" ht="15" hidden="false" customHeight="false" outlineLevel="0" collapsed="false">
      <c r="A812" s="44" t="n">
        <v>811</v>
      </c>
      <c r="B812" s="45" t="n">
        <v>45522</v>
      </c>
      <c r="C812" s="44" t="n">
        <v>8</v>
      </c>
      <c r="D812" s="44" t="n">
        <v>2024</v>
      </c>
      <c r="E812" s="44" t="n">
        <v>18</v>
      </c>
      <c r="F812" s="44" t="s">
        <v>312</v>
      </c>
      <c r="G812" s="44" t="s">
        <v>361</v>
      </c>
      <c r="H812" s="44" t="s">
        <v>139</v>
      </c>
      <c r="I812" s="44" t="s">
        <v>176</v>
      </c>
      <c r="J812" s="44" t="s">
        <v>206</v>
      </c>
      <c r="K812" s="44" t="n">
        <v>3</v>
      </c>
      <c r="L812" s="46" t="n">
        <v>11.62</v>
      </c>
      <c r="M812" s="47" t="n">
        <v>3.73</v>
      </c>
      <c r="N812" s="46" t="n">
        <v>33.56</v>
      </c>
      <c r="O812" s="44" t="s">
        <v>309</v>
      </c>
      <c r="P812" s="44" t="s">
        <v>317</v>
      </c>
      <c r="Q812" s="44" t="s">
        <v>309</v>
      </c>
    </row>
    <row r="813" customFormat="false" ht="15" hidden="false" customHeight="false" outlineLevel="0" collapsed="false">
      <c r="A813" s="44" t="n">
        <v>812</v>
      </c>
      <c r="B813" s="45" t="n">
        <v>45458</v>
      </c>
      <c r="C813" s="44" t="n">
        <v>6</v>
      </c>
      <c r="D813" s="44" t="n">
        <v>2024</v>
      </c>
      <c r="E813" s="44" t="n">
        <v>15</v>
      </c>
      <c r="F813" s="44" t="s">
        <v>318</v>
      </c>
      <c r="G813" s="44" t="s">
        <v>426</v>
      </c>
      <c r="H813" s="44" t="s">
        <v>134</v>
      </c>
      <c r="I813" s="44" t="s">
        <v>172</v>
      </c>
      <c r="J813" s="44" t="s">
        <v>195</v>
      </c>
      <c r="K813" s="44" t="n">
        <v>2</v>
      </c>
      <c r="L813" s="46" t="n">
        <v>29.18</v>
      </c>
      <c r="M813" s="47" t="n">
        <v>1.82</v>
      </c>
      <c r="N813" s="46" t="n">
        <v>400.34</v>
      </c>
      <c r="O813" s="44" t="s">
        <v>308</v>
      </c>
      <c r="P813" s="44" t="s">
        <v>309</v>
      </c>
      <c r="Q813" s="44" t="s">
        <v>309</v>
      </c>
    </row>
    <row r="814" customFormat="false" ht="15" hidden="false" customHeight="false" outlineLevel="0" collapsed="false">
      <c r="A814" s="44" t="n">
        <v>813</v>
      </c>
      <c r="B814" s="45" t="n">
        <v>45431</v>
      </c>
      <c r="C814" s="44" t="n">
        <v>5</v>
      </c>
      <c r="D814" s="44" t="n">
        <v>2024</v>
      </c>
      <c r="E814" s="44" t="n">
        <v>19</v>
      </c>
      <c r="F814" s="44" t="s">
        <v>312</v>
      </c>
      <c r="G814" s="44" t="s">
        <v>313</v>
      </c>
      <c r="H814" s="44" t="s">
        <v>140</v>
      </c>
      <c r="I814" s="44" t="s">
        <v>172</v>
      </c>
      <c r="J814" s="44" t="s">
        <v>191</v>
      </c>
      <c r="K814" s="44" t="n">
        <v>4</v>
      </c>
      <c r="L814" s="46" t="n">
        <v>6.77</v>
      </c>
      <c r="M814" s="47" t="n">
        <v>4.58</v>
      </c>
      <c r="N814" s="46" t="n">
        <v>25.84</v>
      </c>
      <c r="O814" s="44" t="s">
        <v>309</v>
      </c>
      <c r="P814" s="44" t="s">
        <v>317</v>
      </c>
      <c r="Q814" s="44" t="s">
        <v>309</v>
      </c>
    </row>
    <row r="815" customFormat="false" ht="15" hidden="false" customHeight="false" outlineLevel="0" collapsed="false">
      <c r="A815" s="44" t="n">
        <v>814</v>
      </c>
      <c r="B815" s="45" t="n">
        <v>45365</v>
      </c>
      <c r="C815" s="44" t="n">
        <v>3</v>
      </c>
      <c r="D815" s="44" t="n">
        <v>2024</v>
      </c>
      <c r="E815" s="44" t="n">
        <v>14</v>
      </c>
      <c r="F815" s="44" t="s">
        <v>306</v>
      </c>
      <c r="G815" s="44" t="s">
        <v>367</v>
      </c>
      <c r="H815" s="44" t="s">
        <v>135</v>
      </c>
      <c r="I815" s="44" t="s">
        <v>176</v>
      </c>
      <c r="J815" s="44" t="s">
        <v>193</v>
      </c>
      <c r="K815" s="44" t="n">
        <v>2</v>
      </c>
      <c r="L815" s="46" t="n">
        <v>30.44</v>
      </c>
      <c r="M815" s="47" t="n">
        <v>1.76</v>
      </c>
      <c r="N815" s="46" t="n">
        <v>166.46</v>
      </c>
      <c r="O815" s="44" t="s">
        <v>308</v>
      </c>
      <c r="P815" s="44" t="s">
        <v>309</v>
      </c>
      <c r="Q815" s="44" t="s">
        <v>309</v>
      </c>
    </row>
    <row r="816" customFormat="false" ht="15" hidden="false" customHeight="false" outlineLevel="0" collapsed="false">
      <c r="A816" s="44" t="n">
        <v>815</v>
      </c>
      <c r="B816" s="45" t="n">
        <v>45527</v>
      </c>
      <c r="C816" s="44" t="n">
        <v>8</v>
      </c>
      <c r="D816" s="44" t="n">
        <v>2024</v>
      </c>
      <c r="E816" s="44" t="n">
        <v>23</v>
      </c>
      <c r="F816" s="44" t="s">
        <v>325</v>
      </c>
      <c r="G816" s="44" t="s">
        <v>495</v>
      </c>
      <c r="H816" s="44" t="s">
        <v>135</v>
      </c>
      <c r="I816" s="44" t="s">
        <v>173</v>
      </c>
      <c r="J816" s="44" t="s">
        <v>191</v>
      </c>
      <c r="K816" s="44" t="n">
        <v>2</v>
      </c>
      <c r="L816" s="46" t="n">
        <v>48.14</v>
      </c>
      <c r="M816" s="47" t="n">
        <v>2.01</v>
      </c>
      <c r="N816" s="46" t="n">
        <v>94.34</v>
      </c>
      <c r="O816" s="44" t="s">
        <v>309</v>
      </c>
      <c r="P816" s="44" t="s">
        <v>317</v>
      </c>
      <c r="Q816" s="44" t="s">
        <v>309</v>
      </c>
    </row>
    <row r="817" customFormat="false" ht="15" hidden="false" customHeight="false" outlineLevel="0" collapsed="false">
      <c r="A817" s="44" t="n">
        <v>816</v>
      </c>
      <c r="B817" s="45" t="n">
        <v>45617</v>
      </c>
      <c r="C817" s="44" t="n">
        <v>11</v>
      </c>
      <c r="D817" s="44" t="n">
        <v>2024</v>
      </c>
      <c r="E817" s="44" t="n">
        <v>21</v>
      </c>
      <c r="F817" s="44" t="s">
        <v>306</v>
      </c>
      <c r="G817" s="44" t="s">
        <v>447</v>
      </c>
      <c r="H817" s="44" t="s">
        <v>135</v>
      </c>
      <c r="I817" s="44" t="s">
        <v>172</v>
      </c>
      <c r="J817" s="44" t="s">
        <v>191</v>
      </c>
      <c r="K817" s="44" t="n">
        <v>1</v>
      </c>
      <c r="L817" s="46" t="n">
        <v>30.44</v>
      </c>
      <c r="M817" s="47" t="n">
        <v>1.905</v>
      </c>
      <c r="N817" s="46" t="n">
        <v>101.82</v>
      </c>
      <c r="O817" s="44" t="s">
        <v>308</v>
      </c>
      <c r="P817" s="44" t="s">
        <v>369</v>
      </c>
      <c r="Q817" s="44" t="s">
        <v>309</v>
      </c>
    </row>
    <row r="818" customFormat="false" ht="15" hidden="false" customHeight="false" outlineLevel="0" collapsed="false">
      <c r="A818" s="44" t="n">
        <v>817</v>
      </c>
      <c r="B818" s="45" t="n">
        <v>45417</v>
      </c>
      <c r="C818" s="44" t="n">
        <v>5</v>
      </c>
      <c r="D818" s="44" t="n">
        <v>2024</v>
      </c>
      <c r="E818" s="44" t="n">
        <v>5</v>
      </c>
      <c r="F818" s="44" t="s">
        <v>312</v>
      </c>
      <c r="G818" s="44" t="s">
        <v>480</v>
      </c>
      <c r="H818" s="44" t="s">
        <v>140</v>
      </c>
      <c r="I818" s="44" t="s">
        <v>176</v>
      </c>
      <c r="J818" s="44" t="s">
        <v>195</v>
      </c>
      <c r="K818" s="44" t="n">
        <v>2</v>
      </c>
      <c r="L818" s="46" t="n">
        <v>6.08</v>
      </c>
      <c r="M818" s="47" t="n">
        <v>1.75</v>
      </c>
      <c r="N818" s="46" t="n">
        <v>11.95</v>
      </c>
      <c r="O818" s="44" t="s">
        <v>309</v>
      </c>
      <c r="P818" s="44" t="s">
        <v>309</v>
      </c>
      <c r="Q818" s="44" t="s">
        <v>309</v>
      </c>
    </row>
    <row r="819" customFormat="false" ht="15" hidden="false" customHeight="false" outlineLevel="0" collapsed="false">
      <c r="A819" s="44" t="n">
        <v>818</v>
      </c>
      <c r="B819" s="45" t="n">
        <v>45450</v>
      </c>
      <c r="C819" s="44" t="n">
        <v>6</v>
      </c>
      <c r="D819" s="44" t="n">
        <v>2024</v>
      </c>
      <c r="E819" s="44" t="n">
        <v>7</v>
      </c>
      <c r="F819" s="44" t="s">
        <v>325</v>
      </c>
      <c r="G819" s="44" t="s">
        <v>397</v>
      </c>
      <c r="H819" s="44" t="s">
        <v>134</v>
      </c>
      <c r="I819" s="44" t="s">
        <v>175</v>
      </c>
      <c r="J819" s="44" t="s">
        <v>191</v>
      </c>
      <c r="K819" s="44" t="n">
        <v>3</v>
      </c>
      <c r="L819" s="46" t="n">
        <v>29.18</v>
      </c>
      <c r="M819" s="47" t="n">
        <v>1.905</v>
      </c>
      <c r="N819" s="46" t="n">
        <v>68.75</v>
      </c>
      <c r="O819" s="44" t="s">
        <v>308</v>
      </c>
      <c r="P819" s="44" t="s">
        <v>369</v>
      </c>
      <c r="Q819" s="44" t="s">
        <v>309</v>
      </c>
    </row>
    <row r="820" customFormat="false" ht="15" hidden="false" customHeight="false" outlineLevel="0" collapsed="false">
      <c r="A820" s="44" t="n">
        <v>819</v>
      </c>
      <c r="B820" s="45" t="n">
        <v>45384</v>
      </c>
      <c r="C820" s="44" t="n">
        <v>4</v>
      </c>
      <c r="D820" s="44" t="n">
        <v>2024</v>
      </c>
      <c r="E820" s="44" t="n">
        <v>2</v>
      </c>
      <c r="F820" s="44" t="s">
        <v>310</v>
      </c>
      <c r="G820" s="44" t="s">
        <v>352</v>
      </c>
      <c r="H820" s="44" t="s">
        <v>135</v>
      </c>
      <c r="I820" s="44" t="s">
        <v>175</v>
      </c>
      <c r="J820" s="44" t="s">
        <v>193</v>
      </c>
      <c r="K820" s="44" t="n">
        <v>1</v>
      </c>
      <c r="L820" s="46" t="n">
        <v>37.92</v>
      </c>
      <c r="M820" s="47" t="n">
        <v>0</v>
      </c>
      <c r="N820" s="46" t="n">
        <v>37.92</v>
      </c>
      <c r="O820" s="44" t="s">
        <v>309</v>
      </c>
      <c r="P820" s="44" t="s">
        <v>317</v>
      </c>
      <c r="Q820" s="44" t="s">
        <v>309</v>
      </c>
    </row>
    <row r="821" customFormat="false" ht="15" hidden="false" customHeight="false" outlineLevel="0" collapsed="false">
      <c r="A821" s="44" t="n">
        <v>820</v>
      </c>
      <c r="B821" s="45" t="n">
        <v>45330</v>
      </c>
      <c r="C821" s="44" t="n">
        <v>2</v>
      </c>
      <c r="D821" s="44" t="n">
        <v>2024</v>
      </c>
      <c r="E821" s="44" t="n">
        <v>8</v>
      </c>
      <c r="F821" s="44" t="s">
        <v>306</v>
      </c>
      <c r="G821" s="44" t="s">
        <v>484</v>
      </c>
      <c r="H821" s="44" t="s">
        <v>134</v>
      </c>
      <c r="I821" s="44" t="s">
        <v>172</v>
      </c>
      <c r="J821" s="44" t="s">
        <v>206</v>
      </c>
      <c r="K821" s="44" t="n">
        <v>1</v>
      </c>
      <c r="L821" s="46" t="n">
        <v>3.19</v>
      </c>
      <c r="M821" s="47" t="n">
        <v>0</v>
      </c>
      <c r="N821" s="46" t="n">
        <v>3.19</v>
      </c>
      <c r="O821" s="44" t="s">
        <v>309</v>
      </c>
      <c r="P821" s="44" t="s">
        <v>309</v>
      </c>
      <c r="Q821" s="44" t="s">
        <v>309</v>
      </c>
    </row>
    <row r="822" customFormat="false" ht="15" hidden="false" customHeight="false" outlineLevel="0" collapsed="false">
      <c r="A822" s="44" t="n">
        <v>821</v>
      </c>
      <c r="B822" s="45" t="n">
        <v>45316</v>
      </c>
      <c r="C822" s="44" t="n">
        <v>1</v>
      </c>
      <c r="D822" s="44" t="n">
        <v>2024</v>
      </c>
      <c r="E822" s="44" t="n">
        <v>25</v>
      </c>
      <c r="F822" s="44" t="s">
        <v>306</v>
      </c>
      <c r="G822" s="44" t="s">
        <v>555</v>
      </c>
      <c r="H822" s="44" t="s">
        <v>135</v>
      </c>
      <c r="I822" s="44" t="s">
        <v>176</v>
      </c>
      <c r="J822" s="44" t="s">
        <v>206</v>
      </c>
      <c r="K822" s="44" t="n">
        <v>4</v>
      </c>
      <c r="L822" s="46" t="n">
        <v>2.52</v>
      </c>
      <c r="M822" s="47" t="n">
        <v>6.41</v>
      </c>
      <c r="N822" s="46" t="n">
        <v>9.43</v>
      </c>
      <c r="O822" s="44" t="s">
        <v>309</v>
      </c>
      <c r="P822" s="44" t="s">
        <v>309</v>
      </c>
      <c r="Q822" s="44" t="s">
        <v>309</v>
      </c>
    </row>
    <row r="823" customFormat="false" ht="15" hidden="false" customHeight="false" outlineLevel="0" collapsed="false">
      <c r="A823" s="44" t="n">
        <v>822</v>
      </c>
      <c r="B823" s="45" t="n">
        <v>45305</v>
      </c>
      <c r="C823" s="44" t="n">
        <v>1</v>
      </c>
      <c r="D823" s="44" t="n">
        <v>2024</v>
      </c>
      <c r="E823" s="44" t="n">
        <v>14</v>
      </c>
      <c r="F823" s="44" t="s">
        <v>312</v>
      </c>
      <c r="G823" s="44" t="s">
        <v>391</v>
      </c>
      <c r="H823" s="44" t="s">
        <v>137</v>
      </c>
      <c r="I823" s="44" t="s">
        <v>174</v>
      </c>
      <c r="J823" s="44" t="s">
        <v>206</v>
      </c>
      <c r="K823" s="44" t="n">
        <v>1</v>
      </c>
      <c r="L823" s="46" t="n">
        <v>28.2</v>
      </c>
      <c r="M823" s="47" t="n">
        <v>0</v>
      </c>
      <c r="N823" s="46" t="n">
        <v>103.98</v>
      </c>
      <c r="O823" s="44" t="s">
        <v>308</v>
      </c>
      <c r="P823" s="44" t="s">
        <v>309</v>
      </c>
      <c r="Q823" s="44" t="s">
        <v>309</v>
      </c>
    </row>
    <row r="824" customFormat="false" ht="15" hidden="false" customHeight="false" outlineLevel="0" collapsed="false">
      <c r="A824" s="44" t="n">
        <v>823</v>
      </c>
      <c r="B824" s="45" t="n">
        <v>45637</v>
      </c>
      <c r="C824" s="44" t="n">
        <v>12</v>
      </c>
      <c r="D824" s="44" t="n">
        <v>2024</v>
      </c>
      <c r="E824" s="44" t="n">
        <v>11</v>
      </c>
      <c r="F824" s="44" t="s">
        <v>321</v>
      </c>
      <c r="G824" s="44" t="s">
        <v>387</v>
      </c>
      <c r="H824" s="44" t="s">
        <v>139</v>
      </c>
      <c r="I824" s="44" t="s">
        <v>173</v>
      </c>
      <c r="J824" s="44" t="s">
        <v>194</v>
      </c>
      <c r="K824" s="44" t="n">
        <v>3</v>
      </c>
      <c r="L824" s="46" t="n">
        <v>1.91</v>
      </c>
      <c r="M824" s="47" t="n">
        <v>3.66</v>
      </c>
      <c r="N824" s="46" t="n">
        <v>5.52</v>
      </c>
      <c r="O824" s="44" t="s">
        <v>309</v>
      </c>
      <c r="P824" s="44" t="s">
        <v>317</v>
      </c>
      <c r="Q824" s="44" t="s">
        <v>309</v>
      </c>
    </row>
    <row r="825" customFormat="false" ht="15" hidden="false" customHeight="false" outlineLevel="0" collapsed="false">
      <c r="A825" s="44" t="n">
        <v>824</v>
      </c>
      <c r="B825" s="45" t="n">
        <v>45529</v>
      </c>
      <c r="C825" s="44" t="n">
        <v>8</v>
      </c>
      <c r="D825" s="44" t="n">
        <v>2024</v>
      </c>
      <c r="E825" s="44" t="n">
        <v>25</v>
      </c>
      <c r="F825" s="44" t="s">
        <v>312</v>
      </c>
      <c r="G825" s="44" t="s">
        <v>397</v>
      </c>
      <c r="H825" s="44" t="s">
        <v>136</v>
      </c>
      <c r="I825" s="44" t="s">
        <v>174</v>
      </c>
      <c r="J825" s="44" t="s">
        <v>193</v>
      </c>
      <c r="K825" s="44" t="n">
        <v>3</v>
      </c>
      <c r="L825" s="46" t="n">
        <v>4.43</v>
      </c>
      <c r="M825" s="47" t="n">
        <v>4.65</v>
      </c>
      <c r="N825" s="46" t="n">
        <v>12.67</v>
      </c>
      <c r="O825" s="44" t="s">
        <v>309</v>
      </c>
      <c r="P825" s="44" t="s">
        <v>309</v>
      </c>
      <c r="Q825" s="44" t="s">
        <v>309</v>
      </c>
    </row>
    <row r="826" customFormat="false" ht="15" hidden="false" customHeight="false" outlineLevel="0" collapsed="false">
      <c r="A826" s="44" t="n">
        <v>825</v>
      </c>
      <c r="B826" s="45" t="n">
        <v>45338</v>
      </c>
      <c r="C826" s="44" t="n">
        <v>2</v>
      </c>
      <c r="D826" s="44" t="n">
        <v>2024</v>
      </c>
      <c r="E826" s="44" t="n">
        <v>16</v>
      </c>
      <c r="F826" s="44" t="s">
        <v>325</v>
      </c>
      <c r="G826" s="44" t="s">
        <v>488</v>
      </c>
      <c r="H826" s="44" t="s">
        <v>134</v>
      </c>
      <c r="I826" s="44" t="s">
        <v>172</v>
      </c>
      <c r="J826" s="44" t="s">
        <v>201</v>
      </c>
      <c r="K826" s="44" t="n">
        <v>1</v>
      </c>
      <c r="L826" s="46" t="n">
        <v>29.18</v>
      </c>
      <c r="M826" s="47" t="n">
        <v>0</v>
      </c>
      <c r="N826" s="46" t="n">
        <v>53.74</v>
      </c>
      <c r="O826" s="44" t="s">
        <v>308</v>
      </c>
      <c r="P826" s="44" t="s">
        <v>309</v>
      </c>
      <c r="Q826" s="44" t="s">
        <v>309</v>
      </c>
    </row>
    <row r="827" customFormat="false" ht="15" hidden="false" customHeight="false" outlineLevel="0" collapsed="false">
      <c r="A827" s="44" t="n">
        <v>826</v>
      </c>
      <c r="B827" s="45" t="n">
        <v>45645</v>
      </c>
      <c r="C827" s="44" t="n">
        <v>12</v>
      </c>
      <c r="D827" s="44" t="n">
        <v>2024</v>
      </c>
      <c r="E827" s="44" t="n">
        <v>19</v>
      </c>
      <c r="F827" s="44" t="s">
        <v>306</v>
      </c>
      <c r="G827" s="44" t="s">
        <v>440</v>
      </c>
      <c r="H827" s="44" t="s">
        <v>134</v>
      </c>
      <c r="I827" s="44" t="s">
        <v>172</v>
      </c>
      <c r="J827" s="44" t="s">
        <v>198</v>
      </c>
      <c r="K827" s="44" t="n">
        <v>2</v>
      </c>
      <c r="L827" s="46" t="n">
        <v>239.17</v>
      </c>
      <c r="M827" s="47" t="n">
        <v>2.82</v>
      </c>
      <c r="N827" s="46" t="n">
        <v>464.85</v>
      </c>
      <c r="O827" s="44" t="s">
        <v>309</v>
      </c>
      <c r="P827" s="44" t="s">
        <v>309</v>
      </c>
      <c r="Q827" s="44" t="s">
        <v>309</v>
      </c>
    </row>
    <row r="828" customFormat="false" ht="15" hidden="false" customHeight="false" outlineLevel="0" collapsed="false">
      <c r="A828" s="44" t="n">
        <v>827</v>
      </c>
      <c r="B828" s="45" t="n">
        <v>45588</v>
      </c>
      <c r="C828" s="44" t="n">
        <v>10</v>
      </c>
      <c r="D828" s="44" t="n">
        <v>2024</v>
      </c>
      <c r="E828" s="44" t="n">
        <v>23</v>
      </c>
      <c r="F828" s="44" t="s">
        <v>321</v>
      </c>
      <c r="G828" s="44" t="s">
        <v>556</v>
      </c>
      <c r="H828" s="44" t="s">
        <v>138</v>
      </c>
      <c r="I828" s="44" t="s">
        <v>174</v>
      </c>
      <c r="J828" s="44" t="s">
        <v>194</v>
      </c>
      <c r="K828" s="44" t="n">
        <v>6</v>
      </c>
      <c r="L828" s="46" t="n">
        <v>3.59</v>
      </c>
      <c r="M828" s="47" t="n">
        <v>8.77</v>
      </c>
      <c r="N828" s="46" t="n">
        <v>19.65</v>
      </c>
      <c r="O828" s="44" t="s">
        <v>309</v>
      </c>
      <c r="P828" s="44" t="s">
        <v>309</v>
      </c>
      <c r="Q828" s="44" t="s">
        <v>309</v>
      </c>
    </row>
    <row r="829" customFormat="false" ht="15" hidden="false" customHeight="false" outlineLevel="0" collapsed="false">
      <c r="A829" s="44" t="n">
        <v>828</v>
      </c>
      <c r="B829" s="45" t="n">
        <v>45515</v>
      </c>
      <c r="C829" s="44" t="n">
        <v>8</v>
      </c>
      <c r="D829" s="44" t="n">
        <v>2024</v>
      </c>
      <c r="E829" s="44" t="n">
        <v>11</v>
      </c>
      <c r="F829" s="44" t="s">
        <v>312</v>
      </c>
      <c r="G829" s="44" t="s">
        <v>535</v>
      </c>
      <c r="H829" s="44" t="s">
        <v>140</v>
      </c>
      <c r="I829" s="44" t="s">
        <v>173</v>
      </c>
      <c r="J829" s="44" t="s">
        <v>192</v>
      </c>
      <c r="K829" s="44" t="n">
        <v>2</v>
      </c>
      <c r="L829" s="46" t="n">
        <v>17.37</v>
      </c>
      <c r="M829" s="47" t="n">
        <v>0.09</v>
      </c>
      <c r="N829" s="46" t="n">
        <v>34.71</v>
      </c>
      <c r="O829" s="44" t="s">
        <v>309</v>
      </c>
      <c r="P829" s="44" t="s">
        <v>317</v>
      </c>
      <c r="Q829" s="44" t="s">
        <v>309</v>
      </c>
    </row>
    <row r="830" customFormat="false" ht="15" hidden="false" customHeight="false" outlineLevel="0" collapsed="false">
      <c r="A830" s="44" t="n">
        <v>829</v>
      </c>
      <c r="B830" s="45" t="n">
        <v>45319</v>
      </c>
      <c r="C830" s="44" t="n">
        <v>1</v>
      </c>
      <c r="D830" s="44" t="n">
        <v>2024</v>
      </c>
      <c r="E830" s="44" t="n">
        <v>28</v>
      </c>
      <c r="F830" s="44" t="s">
        <v>312</v>
      </c>
      <c r="G830" s="44" t="s">
        <v>394</v>
      </c>
      <c r="H830" s="44" t="s">
        <v>135</v>
      </c>
      <c r="I830" s="44" t="s">
        <v>176</v>
      </c>
      <c r="J830" s="44" t="s">
        <v>197</v>
      </c>
      <c r="K830" s="44" t="n">
        <v>1</v>
      </c>
      <c r="L830" s="46" t="n">
        <v>49.24</v>
      </c>
      <c r="M830" s="47" t="n">
        <v>1.37</v>
      </c>
      <c r="N830" s="46" t="n">
        <v>48.57</v>
      </c>
      <c r="O830" s="44" t="s">
        <v>309</v>
      </c>
      <c r="P830" s="44" t="s">
        <v>309</v>
      </c>
      <c r="Q830" s="44" t="s">
        <v>309</v>
      </c>
    </row>
    <row r="831" customFormat="false" ht="15" hidden="false" customHeight="false" outlineLevel="0" collapsed="false">
      <c r="A831" s="44" t="n">
        <v>830</v>
      </c>
      <c r="B831" s="45" t="n">
        <v>45593</v>
      </c>
      <c r="C831" s="44" t="n">
        <v>10</v>
      </c>
      <c r="D831" s="44" t="n">
        <v>2024</v>
      </c>
      <c r="E831" s="44" t="n">
        <v>28</v>
      </c>
      <c r="F831" s="44" t="s">
        <v>328</v>
      </c>
      <c r="G831" s="44" t="s">
        <v>442</v>
      </c>
      <c r="H831" s="44" t="s">
        <v>135</v>
      </c>
      <c r="I831" s="44" t="s">
        <v>176</v>
      </c>
      <c r="J831" s="44" t="s">
        <v>191</v>
      </c>
      <c r="K831" s="44" t="n">
        <v>1</v>
      </c>
      <c r="L831" s="46" t="n">
        <v>114.45</v>
      </c>
      <c r="M831" s="47" t="n">
        <v>0</v>
      </c>
      <c r="N831" s="46" t="n">
        <v>114.45</v>
      </c>
      <c r="O831" s="44" t="s">
        <v>309</v>
      </c>
      <c r="P831" s="44" t="s">
        <v>309</v>
      </c>
      <c r="Q831" s="44" t="s">
        <v>309</v>
      </c>
    </row>
    <row r="832" customFormat="false" ht="15" hidden="false" customHeight="false" outlineLevel="0" collapsed="false">
      <c r="A832" s="44" t="n">
        <v>831</v>
      </c>
      <c r="B832" s="45" t="n">
        <v>45628</v>
      </c>
      <c r="C832" s="44" t="n">
        <v>12</v>
      </c>
      <c r="D832" s="44" t="n">
        <v>2024</v>
      </c>
      <c r="E832" s="44" t="n">
        <v>2</v>
      </c>
      <c r="F832" s="44" t="s">
        <v>328</v>
      </c>
      <c r="G832" s="44" t="s">
        <v>324</v>
      </c>
      <c r="H832" s="44" t="s">
        <v>134</v>
      </c>
      <c r="I832" s="44" t="s">
        <v>172</v>
      </c>
      <c r="J832" s="44" t="s">
        <v>206</v>
      </c>
      <c r="K832" s="44" t="n">
        <v>2</v>
      </c>
      <c r="L832" s="46" t="n">
        <v>43.27</v>
      </c>
      <c r="M832" s="47" t="n">
        <v>0.76</v>
      </c>
      <c r="N832" s="46" t="n">
        <v>85.88</v>
      </c>
      <c r="O832" s="44" t="s">
        <v>309</v>
      </c>
      <c r="P832" s="44" t="s">
        <v>309</v>
      </c>
      <c r="Q832" s="44" t="s">
        <v>309</v>
      </c>
    </row>
    <row r="833" customFormat="false" ht="15" hidden="false" customHeight="false" outlineLevel="0" collapsed="false">
      <c r="A833" s="44" t="n">
        <v>832</v>
      </c>
      <c r="B833" s="45" t="n">
        <v>45520</v>
      </c>
      <c r="C833" s="44" t="n">
        <v>8</v>
      </c>
      <c r="D833" s="44" t="n">
        <v>2024</v>
      </c>
      <c r="E833" s="44" t="n">
        <v>16</v>
      </c>
      <c r="F833" s="44" t="s">
        <v>325</v>
      </c>
      <c r="G833" s="44" t="s">
        <v>468</v>
      </c>
      <c r="H833" s="44" t="s">
        <v>137</v>
      </c>
      <c r="I833" s="44" t="s">
        <v>176</v>
      </c>
      <c r="J833" s="44" t="s">
        <v>192</v>
      </c>
      <c r="K833" s="44" t="n">
        <v>2</v>
      </c>
      <c r="L833" s="46" t="n">
        <v>9.21</v>
      </c>
      <c r="M833" s="47" t="n">
        <v>3.08</v>
      </c>
      <c r="N833" s="46" t="n">
        <v>17.85</v>
      </c>
      <c r="O833" s="44" t="s">
        <v>309</v>
      </c>
      <c r="P833" s="44" t="s">
        <v>309</v>
      </c>
      <c r="Q833" s="44" t="s">
        <v>309</v>
      </c>
    </row>
    <row r="834" customFormat="false" ht="15" hidden="false" customHeight="false" outlineLevel="0" collapsed="false">
      <c r="A834" s="44" t="n">
        <v>833</v>
      </c>
      <c r="B834" s="45" t="n">
        <v>45294</v>
      </c>
      <c r="C834" s="44" t="n">
        <v>1</v>
      </c>
      <c r="D834" s="44" t="n">
        <v>2024</v>
      </c>
      <c r="E834" s="44" t="n">
        <v>3</v>
      </c>
      <c r="F834" s="44" t="s">
        <v>321</v>
      </c>
      <c r="G834" s="44" t="s">
        <v>545</v>
      </c>
      <c r="H834" s="44" t="s">
        <v>139</v>
      </c>
      <c r="I834" s="44" t="s">
        <v>173</v>
      </c>
      <c r="J834" s="44" t="s">
        <v>191</v>
      </c>
      <c r="K834" s="44" t="n">
        <v>3</v>
      </c>
      <c r="L834" s="46" t="n">
        <v>18.33</v>
      </c>
      <c r="M834" s="47" t="n">
        <v>1.905</v>
      </c>
      <c r="N834" s="46" t="n">
        <v>13.04</v>
      </c>
      <c r="O834" s="44" t="s">
        <v>308</v>
      </c>
      <c r="P834" s="44" t="s">
        <v>369</v>
      </c>
      <c r="Q834" s="44" t="s">
        <v>309</v>
      </c>
    </row>
    <row r="835" customFormat="false" ht="15" hidden="false" customHeight="false" outlineLevel="0" collapsed="false">
      <c r="A835" s="44" t="n">
        <v>834</v>
      </c>
      <c r="B835" s="45" t="n">
        <v>45533</v>
      </c>
      <c r="C835" s="44" t="n">
        <v>8</v>
      </c>
      <c r="D835" s="44" t="n">
        <v>2024</v>
      </c>
      <c r="E835" s="44" t="n">
        <v>29</v>
      </c>
      <c r="F835" s="44" t="s">
        <v>306</v>
      </c>
      <c r="G835" s="44" t="s">
        <v>517</v>
      </c>
      <c r="H835" s="44" t="s">
        <v>134</v>
      </c>
      <c r="I835" s="44" t="s">
        <v>172</v>
      </c>
      <c r="J835" s="44" t="s">
        <v>191</v>
      </c>
      <c r="K835" s="44" t="n">
        <v>10</v>
      </c>
      <c r="L835" s="46" t="n">
        <v>3.01</v>
      </c>
      <c r="M835" s="47" t="n">
        <v>16.36</v>
      </c>
      <c r="N835" s="46" t="n">
        <v>25.18</v>
      </c>
      <c r="O835" s="44" t="s">
        <v>309</v>
      </c>
      <c r="P835" s="44" t="s">
        <v>309</v>
      </c>
      <c r="Q835" s="44" t="s">
        <v>309</v>
      </c>
    </row>
    <row r="836" customFormat="false" ht="15" hidden="false" customHeight="false" outlineLevel="0" collapsed="false">
      <c r="A836" s="44" t="n">
        <v>835</v>
      </c>
      <c r="B836" s="45" t="n">
        <v>45418</v>
      </c>
      <c r="C836" s="44" t="n">
        <v>5</v>
      </c>
      <c r="D836" s="44" t="n">
        <v>2024</v>
      </c>
      <c r="E836" s="44" t="n">
        <v>6</v>
      </c>
      <c r="F836" s="44" t="s">
        <v>328</v>
      </c>
      <c r="G836" s="44" t="s">
        <v>399</v>
      </c>
      <c r="H836" s="44" t="s">
        <v>138</v>
      </c>
      <c r="I836" s="44" t="s">
        <v>173</v>
      </c>
      <c r="J836" s="44" t="s">
        <v>191</v>
      </c>
      <c r="K836" s="44" t="n">
        <v>1</v>
      </c>
      <c r="L836" s="46" t="n">
        <v>26.69</v>
      </c>
      <c r="M836" s="47" t="n">
        <v>0</v>
      </c>
      <c r="N836" s="46" t="n">
        <v>21.54</v>
      </c>
      <c r="O836" s="44" t="s">
        <v>308</v>
      </c>
      <c r="P836" s="44" t="s">
        <v>309</v>
      </c>
      <c r="Q836" s="44" t="s">
        <v>309</v>
      </c>
    </row>
    <row r="837" customFormat="false" ht="15" hidden="false" customHeight="false" outlineLevel="0" collapsed="false">
      <c r="A837" s="44" t="n">
        <v>836</v>
      </c>
      <c r="B837" s="45" t="n">
        <v>45421</v>
      </c>
      <c r="C837" s="44" t="n">
        <v>5</v>
      </c>
      <c r="D837" s="44" t="n">
        <v>2024</v>
      </c>
      <c r="E837" s="44" t="n">
        <v>9</v>
      </c>
      <c r="F837" s="44" t="s">
        <v>306</v>
      </c>
      <c r="G837" s="44" t="s">
        <v>341</v>
      </c>
      <c r="H837" s="44" t="s">
        <v>140</v>
      </c>
      <c r="I837" s="44" t="s">
        <v>172</v>
      </c>
      <c r="J837" s="44" t="s">
        <v>194</v>
      </c>
      <c r="K837" s="44" t="n">
        <v>1</v>
      </c>
      <c r="L837" s="46" t="n">
        <v>2.02</v>
      </c>
      <c r="M837" s="47" t="n">
        <v>0.7</v>
      </c>
      <c r="N837" s="46" t="n">
        <v>2.01</v>
      </c>
      <c r="O837" s="44" t="s">
        <v>309</v>
      </c>
      <c r="P837" s="44" t="s">
        <v>309</v>
      </c>
      <c r="Q837" s="44" t="s">
        <v>309</v>
      </c>
    </row>
    <row r="838" customFormat="false" ht="15" hidden="false" customHeight="false" outlineLevel="0" collapsed="false">
      <c r="A838" s="44" t="n">
        <v>837</v>
      </c>
      <c r="B838" s="45" t="n">
        <v>45489</v>
      </c>
      <c r="C838" s="44" t="n">
        <v>7</v>
      </c>
      <c r="D838" s="44" t="n">
        <v>2024</v>
      </c>
      <c r="E838" s="44" t="n">
        <v>16</v>
      </c>
      <c r="F838" s="44" t="s">
        <v>310</v>
      </c>
      <c r="G838" s="44" t="s">
        <v>549</v>
      </c>
      <c r="H838" s="44" t="s">
        <v>136</v>
      </c>
      <c r="I838" s="44" t="s">
        <v>172</v>
      </c>
      <c r="J838" s="44" t="s">
        <v>192</v>
      </c>
      <c r="K838" s="44" t="n">
        <v>1</v>
      </c>
      <c r="L838" s="46" t="n">
        <v>9.98</v>
      </c>
      <c r="M838" s="47" t="n">
        <v>0</v>
      </c>
      <c r="N838" s="46" t="n">
        <v>9.98</v>
      </c>
      <c r="O838" s="44" t="s">
        <v>309</v>
      </c>
      <c r="P838" s="44" t="s">
        <v>317</v>
      </c>
      <c r="Q838" s="44" t="s">
        <v>309</v>
      </c>
    </row>
    <row r="839" customFormat="false" ht="15" hidden="false" customHeight="false" outlineLevel="0" collapsed="false">
      <c r="A839" s="44" t="n">
        <v>838</v>
      </c>
      <c r="B839" s="45" t="n">
        <v>45314</v>
      </c>
      <c r="C839" s="44" t="n">
        <v>1</v>
      </c>
      <c r="D839" s="44" t="n">
        <v>2024</v>
      </c>
      <c r="E839" s="44" t="n">
        <v>23</v>
      </c>
      <c r="F839" s="44" t="s">
        <v>310</v>
      </c>
      <c r="G839" s="44" t="s">
        <v>444</v>
      </c>
      <c r="H839" s="44" t="s">
        <v>139</v>
      </c>
      <c r="I839" s="44" t="s">
        <v>172</v>
      </c>
      <c r="J839" s="44" t="s">
        <v>194</v>
      </c>
      <c r="K839" s="44" t="n">
        <v>2</v>
      </c>
      <c r="L839" s="46" t="n">
        <v>71.76</v>
      </c>
      <c r="M839" s="47" t="n">
        <v>0</v>
      </c>
      <c r="N839" s="46" t="n">
        <v>143.52</v>
      </c>
      <c r="O839" s="44" t="s">
        <v>309</v>
      </c>
      <c r="P839" s="44" t="s">
        <v>309</v>
      </c>
      <c r="Q839" s="44" t="s">
        <v>309</v>
      </c>
    </row>
    <row r="840" customFormat="false" ht="15" hidden="false" customHeight="false" outlineLevel="0" collapsed="false">
      <c r="A840" s="44" t="n">
        <v>839</v>
      </c>
      <c r="B840" s="45" t="n">
        <v>45353</v>
      </c>
      <c r="C840" s="44" t="n">
        <v>3</v>
      </c>
      <c r="D840" s="44" t="n">
        <v>2024</v>
      </c>
      <c r="E840" s="44" t="n">
        <v>2</v>
      </c>
      <c r="F840" s="44" t="s">
        <v>318</v>
      </c>
      <c r="G840" s="44" t="s">
        <v>420</v>
      </c>
      <c r="H840" s="44" t="s">
        <v>136</v>
      </c>
      <c r="I840" s="44" t="s">
        <v>176</v>
      </c>
      <c r="J840" s="44" t="s">
        <v>206</v>
      </c>
      <c r="K840" s="44" t="n">
        <v>1</v>
      </c>
      <c r="L840" s="46" t="n">
        <v>4.1</v>
      </c>
      <c r="M840" s="47" t="n">
        <v>0.5</v>
      </c>
      <c r="N840" s="46" t="n">
        <v>4.08</v>
      </c>
      <c r="O840" s="44" t="s">
        <v>309</v>
      </c>
      <c r="P840" s="44" t="s">
        <v>309</v>
      </c>
      <c r="Q840" s="44" t="s">
        <v>309</v>
      </c>
    </row>
    <row r="841" customFormat="false" ht="15" hidden="false" customHeight="false" outlineLevel="0" collapsed="false">
      <c r="A841" s="44" t="n">
        <v>840</v>
      </c>
      <c r="B841" s="45" t="n">
        <v>45600</v>
      </c>
      <c r="C841" s="44" t="n">
        <v>11</v>
      </c>
      <c r="D841" s="44" t="n">
        <v>2024</v>
      </c>
      <c r="E841" s="44" t="n">
        <v>4</v>
      </c>
      <c r="F841" s="44" t="s">
        <v>328</v>
      </c>
      <c r="G841" s="44" t="s">
        <v>315</v>
      </c>
      <c r="H841" s="44" t="s">
        <v>134</v>
      </c>
      <c r="I841" s="44" t="s">
        <v>174</v>
      </c>
      <c r="J841" s="44" t="s">
        <v>197</v>
      </c>
      <c r="K841" s="44" t="n">
        <v>8</v>
      </c>
      <c r="L841" s="46" t="n">
        <v>63.7</v>
      </c>
      <c r="M841" s="47" t="n">
        <v>10.78</v>
      </c>
      <c r="N841" s="46" t="n">
        <v>454.67</v>
      </c>
      <c r="O841" s="44" t="s">
        <v>309</v>
      </c>
      <c r="P841" s="44" t="s">
        <v>317</v>
      </c>
      <c r="Q841" s="44" t="s">
        <v>309</v>
      </c>
    </row>
    <row r="842" customFormat="false" ht="15" hidden="false" customHeight="false" outlineLevel="0" collapsed="false">
      <c r="A842" s="44" t="n">
        <v>841</v>
      </c>
      <c r="B842" s="45" t="n">
        <v>45353</v>
      </c>
      <c r="C842" s="44" t="n">
        <v>3</v>
      </c>
      <c r="D842" s="44" t="n">
        <v>2024</v>
      </c>
      <c r="E842" s="44" t="n">
        <v>2</v>
      </c>
      <c r="F842" s="44" t="s">
        <v>318</v>
      </c>
      <c r="G842" s="44" t="s">
        <v>422</v>
      </c>
      <c r="H842" s="44" t="s">
        <v>140</v>
      </c>
      <c r="I842" s="44" t="s">
        <v>174</v>
      </c>
      <c r="J842" s="44" t="s">
        <v>206</v>
      </c>
      <c r="K842" s="44" t="n">
        <v>2</v>
      </c>
      <c r="L842" s="46" t="n">
        <v>18.58</v>
      </c>
      <c r="M842" s="47" t="n">
        <v>2.53</v>
      </c>
      <c r="N842" s="46" t="n">
        <v>36.22</v>
      </c>
      <c r="O842" s="44" t="s">
        <v>309</v>
      </c>
      <c r="P842" s="44" t="s">
        <v>317</v>
      </c>
      <c r="Q842" s="44" t="s">
        <v>309</v>
      </c>
    </row>
    <row r="843" customFormat="false" ht="15" hidden="false" customHeight="false" outlineLevel="0" collapsed="false">
      <c r="A843" s="44" t="n">
        <v>842</v>
      </c>
      <c r="B843" s="45" t="n">
        <v>45434</v>
      </c>
      <c r="C843" s="44" t="n">
        <v>5</v>
      </c>
      <c r="D843" s="44" t="n">
        <v>2024</v>
      </c>
      <c r="E843" s="44" t="n">
        <v>22</v>
      </c>
      <c r="F843" s="44" t="s">
        <v>321</v>
      </c>
      <c r="G843" s="44" t="s">
        <v>418</v>
      </c>
      <c r="H843" s="44" t="s">
        <v>135</v>
      </c>
      <c r="I843" s="44" t="s">
        <v>172</v>
      </c>
      <c r="J843" s="44" t="s">
        <v>198</v>
      </c>
      <c r="K843" s="44" t="n">
        <v>3</v>
      </c>
      <c r="L843" s="46" t="n">
        <v>12.57</v>
      </c>
      <c r="M843" s="47" t="n">
        <v>2.12</v>
      </c>
      <c r="N843" s="46" t="n">
        <v>36.91</v>
      </c>
      <c r="O843" s="44" t="s">
        <v>309</v>
      </c>
      <c r="P843" s="44" t="s">
        <v>309</v>
      </c>
      <c r="Q843" s="44" t="s">
        <v>309</v>
      </c>
    </row>
    <row r="844" customFormat="false" ht="15" hidden="false" customHeight="false" outlineLevel="0" collapsed="false">
      <c r="A844" s="44" t="n">
        <v>843</v>
      </c>
      <c r="B844" s="45" t="n">
        <v>45386</v>
      </c>
      <c r="C844" s="44" t="n">
        <v>4</v>
      </c>
      <c r="D844" s="44" t="n">
        <v>2024</v>
      </c>
      <c r="E844" s="44" t="n">
        <v>4</v>
      </c>
      <c r="F844" s="44" t="s">
        <v>306</v>
      </c>
      <c r="G844" s="44" t="s">
        <v>475</v>
      </c>
      <c r="H844" s="44" t="s">
        <v>134</v>
      </c>
      <c r="I844" s="44" t="s">
        <v>174</v>
      </c>
      <c r="J844" s="44" t="s">
        <v>191</v>
      </c>
      <c r="K844" s="44" t="n">
        <v>3</v>
      </c>
      <c r="L844" s="46" t="n">
        <v>29.18</v>
      </c>
      <c r="M844" s="47" t="n">
        <v>3.43</v>
      </c>
      <c r="N844" s="46" t="n">
        <v>8.84</v>
      </c>
      <c r="O844" s="44" t="s">
        <v>308</v>
      </c>
      <c r="P844" s="44" t="s">
        <v>309</v>
      </c>
      <c r="Q844" s="44" t="s">
        <v>309</v>
      </c>
    </row>
    <row r="845" customFormat="false" ht="15" hidden="false" customHeight="false" outlineLevel="0" collapsed="false">
      <c r="A845" s="44" t="n">
        <v>844</v>
      </c>
      <c r="B845" s="45" t="n">
        <v>45624</v>
      </c>
      <c r="C845" s="44" t="n">
        <v>11</v>
      </c>
      <c r="D845" s="44" t="n">
        <v>2024</v>
      </c>
      <c r="E845" s="44" t="n">
        <v>28</v>
      </c>
      <c r="F845" s="44" t="s">
        <v>306</v>
      </c>
      <c r="G845" s="44" t="s">
        <v>337</v>
      </c>
      <c r="H845" s="44" t="s">
        <v>134</v>
      </c>
      <c r="I845" s="44" t="s">
        <v>174</v>
      </c>
      <c r="J845" s="44" t="s">
        <v>198</v>
      </c>
      <c r="K845" s="44" t="n">
        <v>3</v>
      </c>
      <c r="L845" s="46" t="n">
        <v>3.03</v>
      </c>
      <c r="M845" s="47" t="n">
        <v>2.98</v>
      </c>
      <c r="N845" s="46" t="n">
        <v>8.82</v>
      </c>
      <c r="O845" s="44" t="s">
        <v>309</v>
      </c>
      <c r="P845" s="44" t="s">
        <v>309</v>
      </c>
      <c r="Q845" s="44" t="s">
        <v>309</v>
      </c>
    </row>
    <row r="846" customFormat="false" ht="15" hidden="false" customHeight="false" outlineLevel="0" collapsed="false">
      <c r="A846" s="44" t="n">
        <v>845</v>
      </c>
      <c r="B846" s="45" t="n">
        <v>45627</v>
      </c>
      <c r="C846" s="44" t="n">
        <v>12</v>
      </c>
      <c r="D846" s="44" t="n">
        <v>2024</v>
      </c>
      <c r="E846" s="44" t="n">
        <v>1</v>
      </c>
      <c r="F846" s="44" t="s">
        <v>312</v>
      </c>
      <c r="G846" s="44" t="s">
        <v>404</v>
      </c>
      <c r="H846" s="44" t="s">
        <v>139</v>
      </c>
      <c r="I846" s="44" t="s">
        <v>172</v>
      </c>
      <c r="J846" s="44" t="s">
        <v>192</v>
      </c>
      <c r="K846" s="44" t="n">
        <v>1</v>
      </c>
      <c r="L846" s="46" t="n">
        <v>12.21</v>
      </c>
      <c r="M846" s="47" t="n">
        <v>1.74</v>
      </c>
      <c r="N846" s="46" t="n">
        <v>12</v>
      </c>
      <c r="O846" s="44" t="s">
        <v>309</v>
      </c>
      <c r="P846" s="44" t="s">
        <v>309</v>
      </c>
      <c r="Q846" s="44" t="s">
        <v>309</v>
      </c>
    </row>
    <row r="847" customFormat="false" ht="15" hidden="false" customHeight="false" outlineLevel="0" collapsed="false">
      <c r="A847" s="44" t="n">
        <v>846</v>
      </c>
      <c r="B847" s="45" t="n">
        <v>45470</v>
      </c>
      <c r="C847" s="44" t="n">
        <v>6</v>
      </c>
      <c r="D847" s="44" t="n">
        <v>2024</v>
      </c>
      <c r="E847" s="44" t="n">
        <v>27</v>
      </c>
      <c r="F847" s="44" t="s">
        <v>306</v>
      </c>
      <c r="G847" s="44" t="s">
        <v>507</v>
      </c>
      <c r="H847" s="44" t="s">
        <v>135</v>
      </c>
      <c r="I847" s="44" t="s">
        <v>176</v>
      </c>
      <c r="J847" s="44" t="s">
        <v>206</v>
      </c>
      <c r="K847" s="44" t="n">
        <v>3</v>
      </c>
      <c r="L847" s="46" t="n">
        <v>4.71</v>
      </c>
      <c r="M847" s="47" t="n">
        <v>2.83</v>
      </c>
      <c r="N847" s="46" t="n">
        <v>13.73</v>
      </c>
      <c r="O847" s="44" t="s">
        <v>309</v>
      </c>
      <c r="P847" s="44" t="s">
        <v>317</v>
      </c>
      <c r="Q847" s="44" t="s">
        <v>309</v>
      </c>
    </row>
    <row r="848" customFormat="false" ht="15" hidden="false" customHeight="false" outlineLevel="0" collapsed="false">
      <c r="A848" s="44" t="n">
        <v>847</v>
      </c>
      <c r="B848" s="45" t="n">
        <v>45615</v>
      </c>
      <c r="C848" s="44" t="n">
        <v>11</v>
      </c>
      <c r="D848" s="44" t="n">
        <v>2024</v>
      </c>
      <c r="E848" s="44" t="n">
        <v>19</v>
      </c>
      <c r="F848" s="44" t="s">
        <v>310</v>
      </c>
      <c r="G848" s="44" t="s">
        <v>440</v>
      </c>
      <c r="H848" s="44" t="s">
        <v>135</v>
      </c>
      <c r="I848" s="44" t="s">
        <v>172</v>
      </c>
      <c r="J848" s="44" t="s">
        <v>196</v>
      </c>
      <c r="K848" s="44" t="n">
        <v>4</v>
      </c>
      <c r="L848" s="46" t="n">
        <v>164.87</v>
      </c>
      <c r="M848" s="47" t="n">
        <v>5.13</v>
      </c>
      <c r="N848" s="46" t="n">
        <v>625.65</v>
      </c>
      <c r="O848" s="44" t="s">
        <v>309</v>
      </c>
      <c r="P848" s="44" t="s">
        <v>317</v>
      </c>
      <c r="Q848" s="44" t="s">
        <v>309</v>
      </c>
    </row>
    <row r="849" customFormat="false" ht="15" hidden="false" customHeight="false" outlineLevel="0" collapsed="false">
      <c r="A849" s="44" t="n">
        <v>848</v>
      </c>
      <c r="B849" s="45" t="n">
        <v>45464</v>
      </c>
      <c r="C849" s="44" t="n">
        <v>6</v>
      </c>
      <c r="D849" s="44" t="n">
        <v>2024</v>
      </c>
      <c r="E849" s="44" t="n">
        <v>21</v>
      </c>
      <c r="F849" s="44" t="s">
        <v>325</v>
      </c>
      <c r="G849" s="44" t="s">
        <v>455</v>
      </c>
      <c r="H849" s="44" t="s">
        <v>136</v>
      </c>
      <c r="I849" s="44" t="s">
        <v>175</v>
      </c>
      <c r="J849" s="44" t="s">
        <v>191</v>
      </c>
      <c r="K849" s="44" t="n">
        <v>4</v>
      </c>
      <c r="L849" s="46" t="n">
        <v>21.67</v>
      </c>
      <c r="M849" s="47" t="n">
        <v>1.905</v>
      </c>
      <c r="N849" s="46" t="n">
        <v>27.88</v>
      </c>
      <c r="O849" s="44" t="s">
        <v>308</v>
      </c>
      <c r="P849" s="44" t="s">
        <v>369</v>
      </c>
      <c r="Q849" s="44" t="s">
        <v>309</v>
      </c>
    </row>
    <row r="850" customFormat="false" ht="15" hidden="false" customHeight="false" outlineLevel="0" collapsed="false">
      <c r="A850" s="44" t="n">
        <v>849</v>
      </c>
      <c r="B850" s="45" t="n">
        <v>45434</v>
      </c>
      <c r="C850" s="44" t="n">
        <v>5</v>
      </c>
      <c r="D850" s="44" t="n">
        <v>2024</v>
      </c>
      <c r="E850" s="44" t="n">
        <v>22</v>
      </c>
      <c r="F850" s="44" t="s">
        <v>321</v>
      </c>
      <c r="G850" s="44" t="s">
        <v>452</v>
      </c>
      <c r="H850" s="44" t="s">
        <v>134</v>
      </c>
      <c r="I850" s="44" t="s">
        <v>176</v>
      </c>
      <c r="J850" s="44" t="s">
        <v>206</v>
      </c>
      <c r="K850" s="44" t="n">
        <v>2</v>
      </c>
      <c r="L850" s="46" t="n">
        <v>36.09</v>
      </c>
      <c r="M850" s="47" t="n">
        <v>0.17</v>
      </c>
      <c r="N850" s="46" t="n">
        <v>72.06</v>
      </c>
      <c r="O850" s="44" t="s">
        <v>309</v>
      </c>
      <c r="P850" s="44" t="s">
        <v>309</v>
      </c>
      <c r="Q850" s="44" t="s">
        <v>309</v>
      </c>
    </row>
    <row r="851" customFormat="false" ht="15" hidden="false" customHeight="false" outlineLevel="0" collapsed="false">
      <c r="A851" s="44" t="n">
        <v>850</v>
      </c>
      <c r="B851" s="45" t="n">
        <v>45380</v>
      </c>
      <c r="C851" s="44" t="n">
        <v>3</v>
      </c>
      <c r="D851" s="44" t="n">
        <v>2024</v>
      </c>
      <c r="E851" s="44" t="n">
        <v>29</v>
      </c>
      <c r="F851" s="44" t="s">
        <v>325</v>
      </c>
      <c r="G851" s="44" t="s">
        <v>405</v>
      </c>
      <c r="H851" s="44" t="s">
        <v>134</v>
      </c>
      <c r="I851" s="44" t="s">
        <v>176</v>
      </c>
      <c r="J851" s="44" t="s">
        <v>206</v>
      </c>
      <c r="K851" s="44" t="n">
        <v>6</v>
      </c>
      <c r="L851" s="46" t="n">
        <v>8.16</v>
      </c>
      <c r="M851" s="47" t="n">
        <v>7.3</v>
      </c>
      <c r="N851" s="46" t="n">
        <v>45.39</v>
      </c>
      <c r="O851" s="44" t="s">
        <v>309</v>
      </c>
      <c r="P851" s="44" t="s">
        <v>309</v>
      </c>
      <c r="Q851" s="44" t="s">
        <v>309</v>
      </c>
    </row>
    <row r="852" customFormat="false" ht="15" hidden="false" customHeight="false" outlineLevel="0" collapsed="false">
      <c r="A852" s="44" t="n">
        <v>851</v>
      </c>
      <c r="B852" s="45" t="n">
        <v>45422</v>
      </c>
      <c r="C852" s="44" t="n">
        <v>5</v>
      </c>
      <c r="D852" s="44" t="n">
        <v>2024</v>
      </c>
      <c r="E852" s="44" t="n">
        <v>10</v>
      </c>
      <c r="F852" s="44" t="s">
        <v>325</v>
      </c>
      <c r="G852" s="44" t="s">
        <v>466</v>
      </c>
      <c r="H852" s="44" t="s">
        <v>140</v>
      </c>
      <c r="I852" s="44" t="s">
        <v>172</v>
      </c>
      <c r="J852" s="44" t="s">
        <v>206</v>
      </c>
      <c r="K852" s="44" t="n">
        <v>8</v>
      </c>
      <c r="L852" s="46" t="n">
        <v>20.09</v>
      </c>
      <c r="M852" s="47" t="n">
        <v>11.04</v>
      </c>
      <c r="N852" s="46" t="n">
        <v>142.98</v>
      </c>
      <c r="O852" s="44" t="s">
        <v>309</v>
      </c>
      <c r="P852" s="44" t="s">
        <v>309</v>
      </c>
      <c r="Q852" s="44" t="s">
        <v>309</v>
      </c>
    </row>
    <row r="853" customFormat="false" ht="15" hidden="false" customHeight="false" outlineLevel="0" collapsed="false">
      <c r="A853" s="44" t="n">
        <v>852</v>
      </c>
      <c r="B853" s="45" t="n">
        <v>45391</v>
      </c>
      <c r="C853" s="44" t="n">
        <v>4</v>
      </c>
      <c r="D853" s="44" t="n">
        <v>2024</v>
      </c>
      <c r="E853" s="44" t="n">
        <v>9</v>
      </c>
      <c r="F853" s="44" t="s">
        <v>310</v>
      </c>
      <c r="G853" s="44" t="s">
        <v>322</v>
      </c>
      <c r="H853" s="44" t="s">
        <v>134</v>
      </c>
      <c r="I853" s="44" t="s">
        <v>172</v>
      </c>
      <c r="J853" s="44" t="s">
        <v>192</v>
      </c>
      <c r="K853" s="44" t="n">
        <v>1</v>
      </c>
      <c r="L853" s="46" t="n">
        <v>29.18</v>
      </c>
      <c r="M853" s="47" t="n">
        <v>0.79</v>
      </c>
      <c r="N853" s="46" t="n">
        <v>17.53</v>
      </c>
      <c r="O853" s="44" t="s">
        <v>308</v>
      </c>
      <c r="P853" s="44" t="s">
        <v>309</v>
      </c>
      <c r="Q853" s="44" t="s">
        <v>309</v>
      </c>
    </row>
    <row r="854" customFormat="false" ht="15" hidden="false" customHeight="false" outlineLevel="0" collapsed="false">
      <c r="A854" s="44" t="n">
        <v>853</v>
      </c>
      <c r="B854" s="45" t="n">
        <v>45569</v>
      </c>
      <c r="C854" s="44" t="n">
        <v>10</v>
      </c>
      <c r="D854" s="44" t="n">
        <v>2024</v>
      </c>
      <c r="E854" s="44" t="n">
        <v>4</v>
      </c>
      <c r="F854" s="44" t="s">
        <v>325</v>
      </c>
      <c r="G854" s="44" t="s">
        <v>535</v>
      </c>
      <c r="H854" s="44" t="s">
        <v>136</v>
      </c>
      <c r="I854" s="44" t="s">
        <v>172</v>
      </c>
      <c r="J854" s="44" t="s">
        <v>195</v>
      </c>
      <c r="K854" s="44" t="n">
        <v>1</v>
      </c>
      <c r="L854" s="46" t="n">
        <v>26.76</v>
      </c>
      <c r="M854" s="47" t="n">
        <v>0</v>
      </c>
      <c r="N854" s="46" t="n">
        <v>26.76</v>
      </c>
      <c r="O854" s="44" t="s">
        <v>309</v>
      </c>
      <c r="P854" s="44" t="s">
        <v>317</v>
      </c>
      <c r="Q854" s="44" t="s">
        <v>309</v>
      </c>
    </row>
    <row r="855" customFormat="false" ht="15" hidden="false" customHeight="false" outlineLevel="0" collapsed="false">
      <c r="A855" s="44" t="n">
        <v>854</v>
      </c>
      <c r="B855" s="45" t="n">
        <v>45362</v>
      </c>
      <c r="C855" s="44" t="n">
        <v>3</v>
      </c>
      <c r="D855" s="44" t="n">
        <v>2024</v>
      </c>
      <c r="E855" s="44" t="n">
        <v>11</v>
      </c>
      <c r="F855" s="44" t="s">
        <v>328</v>
      </c>
      <c r="G855" s="44" t="s">
        <v>364</v>
      </c>
      <c r="H855" s="44" t="s">
        <v>136</v>
      </c>
      <c r="I855" s="44" t="s">
        <v>174</v>
      </c>
      <c r="J855" s="44" t="s">
        <v>200</v>
      </c>
      <c r="K855" s="44" t="n">
        <v>3</v>
      </c>
      <c r="L855" s="46" t="n">
        <v>26.92</v>
      </c>
      <c r="M855" s="47" t="n">
        <v>4.79</v>
      </c>
      <c r="N855" s="46" t="n">
        <v>76.89</v>
      </c>
      <c r="O855" s="44" t="s">
        <v>309</v>
      </c>
      <c r="P855" s="44" t="s">
        <v>309</v>
      </c>
      <c r="Q855" s="44" t="s">
        <v>309</v>
      </c>
    </row>
    <row r="856" customFormat="false" ht="15" hidden="false" customHeight="false" outlineLevel="0" collapsed="false">
      <c r="A856" s="44" t="n">
        <v>855</v>
      </c>
      <c r="B856" s="45" t="n">
        <v>45541</v>
      </c>
      <c r="C856" s="44" t="n">
        <v>9</v>
      </c>
      <c r="D856" s="44" t="n">
        <v>2024</v>
      </c>
      <c r="E856" s="44" t="n">
        <v>6</v>
      </c>
      <c r="F856" s="44" t="s">
        <v>325</v>
      </c>
      <c r="G856" s="44" t="s">
        <v>557</v>
      </c>
      <c r="H856" s="44" t="s">
        <v>139</v>
      </c>
      <c r="I856" s="44" t="s">
        <v>172</v>
      </c>
      <c r="J856" s="44" t="s">
        <v>194</v>
      </c>
      <c r="K856" s="44" t="n">
        <v>1</v>
      </c>
      <c r="L856" s="46" t="n">
        <v>21.99</v>
      </c>
      <c r="M856" s="47" t="n">
        <v>0</v>
      </c>
      <c r="N856" s="46" t="n">
        <v>21.99</v>
      </c>
      <c r="O856" s="44" t="s">
        <v>309</v>
      </c>
      <c r="P856" s="44" t="s">
        <v>317</v>
      </c>
      <c r="Q856" s="44" t="s">
        <v>309</v>
      </c>
    </row>
    <row r="857" customFormat="false" ht="15" hidden="false" customHeight="false" outlineLevel="0" collapsed="false">
      <c r="A857" s="44" t="n">
        <v>856</v>
      </c>
      <c r="B857" s="45" t="n">
        <v>45518</v>
      </c>
      <c r="C857" s="44" t="n">
        <v>8</v>
      </c>
      <c r="D857" s="44" t="n">
        <v>2024</v>
      </c>
      <c r="E857" s="44" t="n">
        <v>14</v>
      </c>
      <c r="F857" s="44" t="s">
        <v>321</v>
      </c>
      <c r="G857" s="44" t="s">
        <v>356</v>
      </c>
      <c r="H857" s="44" t="s">
        <v>135</v>
      </c>
      <c r="I857" s="44" t="s">
        <v>172</v>
      </c>
      <c r="J857" s="44" t="s">
        <v>206</v>
      </c>
      <c r="K857" s="44" t="n">
        <v>1</v>
      </c>
      <c r="L857" s="46" t="n">
        <v>46.65</v>
      </c>
      <c r="M857" s="47" t="n">
        <v>0.81</v>
      </c>
      <c r="N857" s="46" t="n">
        <v>46.27</v>
      </c>
      <c r="O857" s="44" t="s">
        <v>309</v>
      </c>
      <c r="P857" s="44" t="s">
        <v>309</v>
      </c>
      <c r="Q857" s="44" t="s">
        <v>309</v>
      </c>
    </row>
    <row r="858" customFormat="false" ht="15" hidden="false" customHeight="false" outlineLevel="0" collapsed="false">
      <c r="A858" s="44" t="n">
        <v>857</v>
      </c>
      <c r="B858" s="45" t="n">
        <v>45433</v>
      </c>
      <c r="C858" s="44" t="n">
        <v>5</v>
      </c>
      <c r="D858" s="44" t="n">
        <v>2024</v>
      </c>
      <c r="E858" s="44" t="n">
        <v>21</v>
      </c>
      <c r="F858" s="44" t="s">
        <v>310</v>
      </c>
      <c r="G858" s="44" t="s">
        <v>423</v>
      </c>
      <c r="H858" s="44" t="s">
        <v>137</v>
      </c>
      <c r="I858" s="44" t="s">
        <v>173</v>
      </c>
      <c r="J858" s="44" t="s">
        <v>191</v>
      </c>
      <c r="K858" s="44" t="n">
        <v>4</v>
      </c>
      <c r="L858" s="46" t="n">
        <v>28.2</v>
      </c>
      <c r="M858" s="47" t="n">
        <v>3.65</v>
      </c>
      <c r="N858" s="46" t="n">
        <v>24.63</v>
      </c>
      <c r="O858" s="44" t="s">
        <v>308</v>
      </c>
      <c r="P858" s="44" t="s">
        <v>309</v>
      </c>
      <c r="Q858" s="44" t="s">
        <v>309</v>
      </c>
    </row>
    <row r="859" customFormat="false" ht="15" hidden="false" customHeight="false" outlineLevel="0" collapsed="false">
      <c r="A859" s="44" t="n">
        <v>858</v>
      </c>
      <c r="B859" s="45" t="n">
        <v>45534</v>
      </c>
      <c r="C859" s="44" t="n">
        <v>8</v>
      </c>
      <c r="D859" s="44" t="n">
        <v>2024</v>
      </c>
      <c r="E859" s="44" t="n">
        <v>30</v>
      </c>
      <c r="F859" s="44" t="s">
        <v>325</v>
      </c>
      <c r="G859" s="44" t="s">
        <v>366</v>
      </c>
      <c r="H859" s="44" t="s">
        <v>135</v>
      </c>
      <c r="I859" s="44" t="s">
        <v>176</v>
      </c>
      <c r="J859" s="44" t="s">
        <v>194</v>
      </c>
      <c r="K859" s="44" t="n">
        <v>2</v>
      </c>
      <c r="L859" s="46" t="n">
        <v>30.44</v>
      </c>
      <c r="M859" s="47" t="n">
        <v>1.905</v>
      </c>
      <c r="N859" s="46" t="n">
        <v>5.05</v>
      </c>
      <c r="O859" s="44" t="s">
        <v>308</v>
      </c>
      <c r="P859" s="44" t="s">
        <v>369</v>
      </c>
      <c r="Q859" s="44" t="s">
        <v>309</v>
      </c>
    </row>
    <row r="860" customFormat="false" ht="15" hidden="false" customHeight="false" outlineLevel="0" collapsed="false">
      <c r="A860" s="44" t="n">
        <v>859</v>
      </c>
      <c r="B860" s="45" t="n">
        <v>45501</v>
      </c>
      <c r="C860" s="44" t="n">
        <v>7</v>
      </c>
      <c r="D860" s="44" t="n">
        <v>2024</v>
      </c>
      <c r="E860" s="44" t="n">
        <v>28</v>
      </c>
      <c r="F860" s="44" t="s">
        <v>312</v>
      </c>
      <c r="G860" s="44" t="s">
        <v>431</v>
      </c>
      <c r="H860" s="44" t="s">
        <v>135</v>
      </c>
      <c r="I860" s="44" t="s">
        <v>176</v>
      </c>
      <c r="J860" s="44" t="s">
        <v>194</v>
      </c>
      <c r="K860" s="44" t="n">
        <v>2</v>
      </c>
      <c r="L860" s="46" t="n">
        <v>13.74</v>
      </c>
      <c r="M860" s="47" t="n">
        <v>0</v>
      </c>
      <c r="N860" s="46" t="n">
        <v>27.48</v>
      </c>
      <c r="O860" s="44" t="s">
        <v>309</v>
      </c>
      <c r="P860" s="44" t="s">
        <v>309</v>
      </c>
      <c r="Q860" s="44" t="s">
        <v>309</v>
      </c>
    </row>
    <row r="861" customFormat="false" ht="15" hidden="false" customHeight="false" outlineLevel="0" collapsed="false">
      <c r="A861" s="44" t="n">
        <v>860</v>
      </c>
      <c r="B861" s="45" t="n">
        <v>45423</v>
      </c>
      <c r="C861" s="44" t="n">
        <v>5</v>
      </c>
      <c r="D861" s="44" t="n">
        <v>2024</v>
      </c>
      <c r="E861" s="44" t="n">
        <v>11</v>
      </c>
      <c r="F861" s="44" t="s">
        <v>318</v>
      </c>
      <c r="G861" s="44" t="s">
        <v>525</v>
      </c>
      <c r="H861" s="44" t="s">
        <v>134</v>
      </c>
      <c r="I861" s="44" t="s">
        <v>173</v>
      </c>
      <c r="J861" s="44" t="s">
        <v>194</v>
      </c>
      <c r="K861" s="44" t="n">
        <v>6</v>
      </c>
      <c r="L861" s="46" t="n">
        <v>29.18</v>
      </c>
      <c r="M861" s="47" t="n">
        <v>6.86</v>
      </c>
      <c r="N861" s="46" t="n">
        <v>57.84</v>
      </c>
      <c r="O861" s="44" t="s">
        <v>308</v>
      </c>
      <c r="P861" s="44" t="s">
        <v>309</v>
      </c>
      <c r="Q861" s="44" t="s">
        <v>309</v>
      </c>
    </row>
    <row r="862" customFormat="false" ht="15" hidden="false" customHeight="false" outlineLevel="0" collapsed="false">
      <c r="A862" s="44" t="n">
        <v>861</v>
      </c>
      <c r="B862" s="45" t="n">
        <v>45466</v>
      </c>
      <c r="C862" s="44" t="n">
        <v>6</v>
      </c>
      <c r="D862" s="44" t="n">
        <v>2024</v>
      </c>
      <c r="E862" s="44" t="n">
        <v>23</v>
      </c>
      <c r="F862" s="44" t="s">
        <v>312</v>
      </c>
      <c r="G862" s="44" t="s">
        <v>433</v>
      </c>
      <c r="H862" s="44" t="s">
        <v>134</v>
      </c>
      <c r="I862" s="44" t="s">
        <v>173</v>
      </c>
      <c r="J862" s="44" t="s">
        <v>191</v>
      </c>
      <c r="K862" s="44" t="n">
        <v>6</v>
      </c>
      <c r="L862" s="46" t="n">
        <v>29.18</v>
      </c>
      <c r="M862" s="47" t="n">
        <v>1.905</v>
      </c>
      <c r="N862" s="46" t="n">
        <v>320.56</v>
      </c>
      <c r="O862" s="44" t="s">
        <v>308</v>
      </c>
      <c r="P862" s="44" t="s">
        <v>369</v>
      </c>
      <c r="Q862" s="44" t="s">
        <v>309</v>
      </c>
    </row>
    <row r="863" customFormat="false" ht="15" hidden="false" customHeight="false" outlineLevel="0" collapsed="false">
      <c r="A863" s="44" t="n">
        <v>862</v>
      </c>
      <c r="B863" s="45" t="n">
        <v>45438</v>
      </c>
      <c r="C863" s="44" t="n">
        <v>5</v>
      </c>
      <c r="D863" s="44" t="n">
        <v>2024</v>
      </c>
      <c r="E863" s="44" t="n">
        <v>26</v>
      </c>
      <c r="F863" s="44" t="s">
        <v>312</v>
      </c>
      <c r="G863" s="44" t="s">
        <v>410</v>
      </c>
      <c r="H863" s="44" t="s">
        <v>137</v>
      </c>
      <c r="I863" s="44" t="s">
        <v>172</v>
      </c>
      <c r="J863" s="44" t="s">
        <v>194</v>
      </c>
      <c r="K863" s="44" t="n">
        <v>10</v>
      </c>
      <c r="L863" s="46" t="n">
        <v>30.67</v>
      </c>
      <c r="M863" s="47" t="n">
        <v>16</v>
      </c>
      <c r="N863" s="46" t="n">
        <v>257.63</v>
      </c>
      <c r="O863" s="44" t="s">
        <v>309</v>
      </c>
      <c r="P863" s="44" t="s">
        <v>309</v>
      </c>
      <c r="Q863" s="44" t="s">
        <v>309</v>
      </c>
    </row>
    <row r="864" customFormat="false" ht="15" hidden="false" customHeight="false" outlineLevel="0" collapsed="false">
      <c r="A864" s="44" t="n">
        <v>863</v>
      </c>
      <c r="B864" s="45" t="n">
        <v>45336</v>
      </c>
      <c r="C864" s="44" t="n">
        <v>2</v>
      </c>
      <c r="D864" s="44" t="n">
        <v>2024</v>
      </c>
      <c r="E864" s="44" t="n">
        <v>14</v>
      </c>
      <c r="F864" s="44" t="s">
        <v>321</v>
      </c>
      <c r="G864" s="44" t="s">
        <v>443</v>
      </c>
      <c r="H864" s="44" t="s">
        <v>140</v>
      </c>
      <c r="I864" s="44" t="s">
        <v>172</v>
      </c>
      <c r="J864" s="44" t="s">
        <v>191</v>
      </c>
      <c r="K864" s="44" t="n">
        <v>2</v>
      </c>
      <c r="L864" s="46" t="n">
        <v>9.32</v>
      </c>
      <c r="M864" s="47" t="n">
        <v>0.82</v>
      </c>
      <c r="N864" s="46" t="n">
        <v>18.49</v>
      </c>
      <c r="O864" s="44" t="s">
        <v>309</v>
      </c>
      <c r="P864" s="44" t="s">
        <v>309</v>
      </c>
      <c r="Q864" s="44" t="s">
        <v>309</v>
      </c>
    </row>
    <row r="865" customFormat="false" ht="15" hidden="false" customHeight="false" outlineLevel="0" collapsed="false">
      <c r="A865" s="44" t="n">
        <v>864</v>
      </c>
      <c r="B865" s="45" t="n">
        <v>45650</v>
      </c>
      <c r="C865" s="44" t="n">
        <v>12</v>
      </c>
      <c r="D865" s="44" t="n">
        <v>2024</v>
      </c>
      <c r="E865" s="44" t="n">
        <v>24</v>
      </c>
      <c r="F865" s="44" t="s">
        <v>310</v>
      </c>
      <c r="G865" s="44" t="s">
        <v>535</v>
      </c>
      <c r="H865" s="44" t="s">
        <v>139</v>
      </c>
      <c r="I865" s="44" t="s">
        <v>174</v>
      </c>
      <c r="J865" s="44" t="s">
        <v>196</v>
      </c>
      <c r="K865" s="44" t="n">
        <v>1</v>
      </c>
      <c r="L865" s="46" t="n">
        <v>27.43</v>
      </c>
      <c r="M865" s="47" t="n">
        <v>0.11</v>
      </c>
      <c r="N865" s="46" t="n">
        <v>27.4</v>
      </c>
      <c r="O865" s="44" t="s">
        <v>309</v>
      </c>
      <c r="P865" s="44" t="s">
        <v>317</v>
      </c>
      <c r="Q865" s="44" t="s">
        <v>309</v>
      </c>
    </row>
    <row r="866" customFormat="false" ht="15" hidden="false" customHeight="false" outlineLevel="0" collapsed="false">
      <c r="A866" s="44" t="n">
        <v>865</v>
      </c>
      <c r="B866" s="45" t="n">
        <v>45525</v>
      </c>
      <c r="C866" s="44" t="n">
        <v>8</v>
      </c>
      <c r="D866" s="44" t="n">
        <v>2024</v>
      </c>
      <c r="E866" s="44" t="n">
        <v>21</v>
      </c>
      <c r="F866" s="44" t="s">
        <v>321</v>
      </c>
      <c r="G866" s="44" t="s">
        <v>491</v>
      </c>
      <c r="H866" s="44" t="s">
        <v>137</v>
      </c>
      <c r="I866" s="44" t="s">
        <v>174</v>
      </c>
      <c r="J866" s="44" t="s">
        <v>206</v>
      </c>
      <c r="K866" s="44" t="n">
        <v>1</v>
      </c>
      <c r="L866" s="46" t="n">
        <v>28.2</v>
      </c>
      <c r="M866" s="47" t="n">
        <v>1.905</v>
      </c>
      <c r="N866" s="46" t="n">
        <v>18.07</v>
      </c>
      <c r="O866" s="44" t="s">
        <v>308</v>
      </c>
      <c r="P866" s="44" t="s">
        <v>369</v>
      </c>
      <c r="Q866" s="44" t="s">
        <v>309</v>
      </c>
    </row>
    <row r="867" customFormat="false" ht="15" hidden="false" customHeight="false" outlineLevel="0" collapsed="false">
      <c r="A867" s="44" t="n">
        <v>866</v>
      </c>
      <c r="B867" s="45" t="n">
        <v>45329</v>
      </c>
      <c r="C867" s="44" t="n">
        <v>2</v>
      </c>
      <c r="D867" s="44" t="n">
        <v>2024</v>
      </c>
      <c r="E867" s="44" t="n">
        <v>7</v>
      </c>
      <c r="F867" s="44" t="s">
        <v>321</v>
      </c>
      <c r="G867" s="44" t="s">
        <v>497</v>
      </c>
      <c r="H867" s="44" t="s">
        <v>136</v>
      </c>
      <c r="I867" s="44" t="s">
        <v>176</v>
      </c>
      <c r="J867" s="44" t="s">
        <v>194</v>
      </c>
      <c r="K867" s="44" t="n">
        <v>5</v>
      </c>
      <c r="L867" s="46" t="n">
        <v>21.67</v>
      </c>
      <c r="M867" s="47" t="n">
        <v>7.9</v>
      </c>
      <c r="N867" s="46" t="n">
        <v>34.68</v>
      </c>
      <c r="O867" s="44" t="s">
        <v>308</v>
      </c>
      <c r="P867" s="44" t="s">
        <v>309</v>
      </c>
      <c r="Q867" s="44" t="s">
        <v>309</v>
      </c>
    </row>
    <row r="868" customFormat="false" ht="15" hidden="false" customHeight="false" outlineLevel="0" collapsed="false">
      <c r="A868" s="44" t="n">
        <v>867</v>
      </c>
      <c r="B868" s="45" t="n">
        <v>45567</v>
      </c>
      <c r="C868" s="44" t="n">
        <v>10</v>
      </c>
      <c r="D868" s="44" t="n">
        <v>2024</v>
      </c>
      <c r="E868" s="44" t="n">
        <v>2</v>
      </c>
      <c r="F868" s="44" t="s">
        <v>321</v>
      </c>
      <c r="G868" s="44" t="s">
        <v>376</v>
      </c>
      <c r="H868" s="44" t="s">
        <v>139</v>
      </c>
      <c r="I868" s="44" t="s">
        <v>172</v>
      </c>
      <c r="J868" s="44" t="s">
        <v>196</v>
      </c>
      <c r="K868" s="44" t="n">
        <v>2</v>
      </c>
      <c r="L868" s="46" t="n">
        <v>50.26</v>
      </c>
      <c r="M868" s="47" t="n">
        <v>0.66</v>
      </c>
      <c r="N868" s="46" t="n">
        <v>99.86</v>
      </c>
      <c r="O868" s="44" t="s">
        <v>309</v>
      </c>
      <c r="P868" s="44" t="s">
        <v>317</v>
      </c>
      <c r="Q868" s="44" t="s">
        <v>309</v>
      </c>
    </row>
    <row r="869" customFormat="false" ht="15" hidden="false" customHeight="false" outlineLevel="0" collapsed="false">
      <c r="A869" s="44" t="n">
        <v>868</v>
      </c>
      <c r="B869" s="45" t="n">
        <v>45496</v>
      </c>
      <c r="C869" s="44" t="n">
        <v>7</v>
      </c>
      <c r="D869" s="44" t="n">
        <v>2024</v>
      </c>
      <c r="E869" s="44" t="n">
        <v>23</v>
      </c>
      <c r="F869" s="44" t="s">
        <v>310</v>
      </c>
      <c r="G869" s="44" t="s">
        <v>428</v>
      </c>
      <c r="H869" s="44" t="s">
        <v>135</v>
      </c>
      <c r="I869" s="44" t="s">
        <v>172</v>
      </c>
      <c r="J869" s="44" t="s">
        <v>206</v>
      </c>
      <c r="K869" s="44" t="n">
        <v>3</v>
      </c>
      <c r="L869" s="46" t="n">
        <v>2.73</v>
      </c>
      <c r="M869" s="47" t="n">
        <v>3.17</v>
      </c>
      <c r="N869" s="46" t="n">
        <v>7.93</v>
      </c>
      <c r="O869" s="44" t="s">
        <v>309</v>
      </c>
      <c r="P869" s="44" t="s">
        <v>317</v>
      </c>
      <c r="Q869" s="44" t="s">
        <v>309</v>
      </c>
    </row>
    <row r="870" customFormat="false" ht="15" hidden="false" customHeight="false" outlineLevel="0" collapsed="false">
      <c r="A870" s="44" t="n">
        <v>869</v>
      </c>
      <c r="B870" s="45" t="n">
        <v>45516</v>
      </c>
      <c r="C870" s="44" t="n">
        <v>8</v>
      </c>
      <c r="D870" s="44" t="n">
        <v>2024</v>
      </c>
      <c r="E870" s="44" t="n">
        <v>12</v>
      </c>
      <c r="F870" s="44" t="s">
        <v>328</v>
      </c>
      <c r="G870" s="44" t="s">
        <v>454</v>
      </c>
      <c r="H870" s="44" t="s">
        <v>135</v>
      </c>
      <c r="I870" s="44" t="s">
        <v>173</v>
      </c>
      <c r="J870" s="44" t="s">
        <v>196</v>
      </c>
      <c r="K870" s="44" t="n">
        <v>1</v>
      </c>
      <c r="L870" s="46" t="n">
        <v>11.83</v>
      </c>
      <c r="M870" s="47" t="n">
        <v>0</v>
      </c>
      <c r="N870" s="46" t="n">
        <v>11.83</v>
      </c>
      <c r="O870" s="44" t="s">
        <v>309</v>
      </c>
      <c r="P870" s="44" t="s">
        <v>309</v>
      </c>
      <c r="Q870" s="44" t="s">
        <v>309</v>
      </c>
    </row>
    <row r="871" customFormat="false" ht="15" hidden="false" customHeight="false" outlineLevel="0" collapsed="false">
      <c r="A871" s="44" t="n">
        <v>870</v>
      </c>
      <c r="B871" s="45" t="n">
        <v>45313</v>
      </c>
      <c r="C871" s="44" t="n">
        <v>1</v>
      </c>
      <c r="D871" s="44" t="n">
        <v>2024</v>
      </c>
      <c r="E871" s="44" t="n">
        <v>22</v>
      </c>
      <c r="F871" s="44" t="s">
        <v>328</v>
      </c>
      <c r="G871" s="44" t="s">
        <v>390</v>
      </c>
      <c r="H871" s="44" t="s">
        <v>139</v>
      </c>
      <c r="I871" s="44" t="s">
        <v>173</v>
      </c>
      <c r="J871" s="44" t="s">
        <v>206</v>
      </c>
      <c r="K871" s="44" t="n">
        <v>3</v>
      </c>
      <c r="L871" s="46" t="n">
        <v>15.49</v>
      </c>
      <c r="M871" s="47" t="n">
        <v>1.83</v>
      </c>
      <c r="N871" s="46" t="n">
        <v>45.62</v>
      </c>
      <c r="O871" s="44" t="s">
        <v>309</v>
      </c>
      <c r="P871" s="44" t="s">
        <v>317</v>
      </c>
      <c r="Q871" s="44" t="s">
        <v>309</v>
      </c>
    </row>
    <row r="872" customFormat="false" ht="15" hidden="false" customHeight="false" outlineLevel="0" collapsed="false">
      <c r="A872" s="44" t="n">
        <v>871</v>
      </c>
      <c r="B872" s="45" t="n">
        <v>45353</v>
      </c>
      <c r="C872" s="44" t="n">
        <v>3</v>
      </c>
      <c r="D872" s="44" t="n">
        <v>2024</v>
      </c>
      <c r="E872" s="44" t="n">
        <v>2</v>
      </c>
      <c r="F872" s="44" t="s">
        <v>318</v>
      </c>
      <c r="G872" s="44" t="s">
        <v>365</v>
      </c>
      <c r="H872" s="44" t="s">
        <v>137</v>
      </c>
      <c r="I872" s="44" t="s">
        <v>172</v>
      </c>
      <c r="J872" s="44" t="s">
        <v>206</v>
      </c>
      <c r="K872" s="44" t="n">
        <v>3</v>
      </c>
      <c r="L872" s="46" t="n">
        <v>40.18</v>
      </c>
      <c r="M872" s="47" t="n">
        <v>3.02</v>
      </c>
      <c r="N872" s="46" t="n">
        <v>116.9</v>
      </c>
      <c r="O872" s="44" t="s">
        <v>309</v>
      </c>
      <c r="P872" s="44" t="s">
        <v>309</v>
      </c>
      <c r="Q872" s="44" t="s">
        <v>309</v>
      </c>
    </row>
    <row r="873" customFormat="false" ht="15" hidden="false" customHeight="false" outlineLevel="0" collapsed="false">
      <c r="A873" s="44" t="n">
        <v>872</v>
      </c>
      <c r="B873" s="45" t="n">
        <v>45371</v>
      </c>
      <c r="C873" s="44" t="n">
        <v>3</v>
      </c>
      <c r="D873" s="44" t="n">
        <v>2024</v>
      </c>
      <c r="E873" s="44" t="n">
        <v>20</v>
      </c>
      <c r="F873" s="44" t="s">
        <v>321</v>
      </c>
      <c r="G873" s="44" t="s">
        <v>507</v>
      </c>
      <c r="H873" s="44" t="s">
        <v>135</v>
      </c>
      <c r="I873" s="44" t="s">
        <v>172</v>
      </c>
      <c r="J873" s="44" t="s">
        <v>191</v>
      </c>
      <c r="K873" s="44" t="n">
        <v>5</v>
      </c>
      <c r="L873" s="46" t="n">
        <v>29.34</v>
      </c>
      <c r="M873" s="47" t="n">
        <v>6.48</v>
      </c>
      <c r="N873" s="46" t="n">
        <v>137.19</v>
      </c>
      <c r="O873" s="44" t="s">
        <v>309</v>
      </c>
      <c r="P873" s="44" t="s">
        <v>309</v>
      </c>
      <c r="Q873" s="44" t="s">
        <v>309</v>
      </c>
    </row>
    <row r="874" customFormat="false" ht="15" hidden="false" customHeight="false" outlineLevel="0" collapsed="false">
      <c r="A874" s="44" t="n">
        <v>873</v>
      </c>
      <c r="B874" s="45" t="n">
        <v>45399</v>
      </c>
      <c r="C874" s="44" t="n">
        <v>4</v>
      </c>
      <c r="D874" s="44" t="n">
        <v>2024</v>
      </c>
      <c r="E874" s="44" t="n">
        <v>17</v>
      </c>
      <c r="F874" s="44" t="s">
        <v>321</v>
      </c>
      <c r="G874" s="44" t="s">
        <v>425</v>
      </c>
      <c r="H874" s="44" t="s">
        <v>138</v>
      </c>
      <c r="I874" s="44" t="s">
        <v>172</v>
      </c>
      <c r="J874" s="44" t="s">
        <v>195</v>
      </c>
      <c r="K874" s="44" t="n">
        <v>2</v>
      </c>
      <c r="L874" s="46" t="n">
        <v>3.54</v>
      </c>
      <c r="M874" s="47" t="n">
        <v>0</v>
      </c>
      <c r="N874" s="46" t="n">
        <v>7.08</v>
      </c>
      <c r="O874" s="44" t="s">
        <v>309</v>
      </c>
      <c r="P874" s="44" t="s">
        <v>309</v>
      </c>
      <c r="Q874" s="44" t="s">
        <v>309</v>
      </c>
    </row>
    <row r="875" customFormat="false" ht="15" hidden="false" customHeight="false" outlineLevel="0" collapsed="false">
      <c r="A875" s="44" t="n">
        <v>874</v>
      </c>
      <c r="B875" s="45" t="n">
        <v>45329</v>
      </c>
      <c r="C875" s="44" t="n">
        <v>2</v>
      </c>
      <c r="D875" s="44" t="n">
        <v>2024</v>
      </c>
      <c r="E875" s="44" t="n">
        <v>7</v>
      </c>
      <c r="F875" s="44" t="s">
        <v>321</v>
      </c>
      <c r="G875" s="44" t="s">
        <v>394</v>
      </c>
      <c r="H875" s="44" t="s">
        <v>135</v>
      </c>
      <c r="I875" s="44" t="s">
        <v>172</v>
      </c>
      <c r="J875" s="44" t="s">
        <v>206</v>
      </c>
      <c r="K875" s="44" t="n">
        <v>1</v>
      </c>
      <c r="L875" s="46" t="n">
        <v>6.61</v>
      </c>
      <c r="M875" s="47" t="n">
        <v>0.18</v>
      </c>
      <c r="N875" s="46" t="n">
        <v>6.6</v>
      </c>
      <c r="O875" s="44" t="s">
        <v>309</v>
      </c>
      <c r="P875" s="44" t="s">
        <v>309</v>
      </c>
      <c r="Q875" s="44" t="s">
        <v>309</v>
      </c>
    </row>
    <row r="876" customFormat="false" ht="15" hidden="false" customHeight="false" outlineLevel="0" collapsed="false">
      <c r="A876" s="44" t="n">
        <v>875</v>
      </c>
      <c r="B876" s="45" t="n">
        <v>45485</v>
      </c>
      <c r="C876" s="44" t="n">
        <v>7</v>
      </c>
      <c r="D876" s="44" t="n">
        <v>2024</v>
      </c>
      <c r="E876" s="44" t="n">
        <v>12</v>
      </c>
      <c r="F876" s="44" t="s">
        <v>325</v>
      </c>
      <c r="G876" s="44" t="s">
        <v>395</v>
      </c>
      <c r="H876" s="44" t="s">
        <v>135</v>
      </c>
      <c r="I876" s="44" t="s">
        <v>172</v>
      </c>
      <c r="J876" s="44" t="s">
        <v>206</v>
      </c>
      <c r="K876" s="44" t="n">
        <v>6</v>
      </c>
      <c r="L876" s="46" t="n">
        <v>30.44</v>
      </c>
      <c r="M876" s="47" t="n">
        <v>1.905</v>
      </c>
      <c r="N876" s="46" t="n">
        <v>95.69</v>
      </c>
      <c r="O876" s="44" t="s">
        <v>308</v>
      </c>
      <c r="P876" s="44" t="s">
        <v>369</v>
      </c>
      <c r="Q876" s="44" t="s">
        <v>309</v>
      </c>
    </row>
    <row r="877" customFormat="false" ht="15" hidden="false" customHeight="false" outlineLevel="0" collapsed="false">
      <c r="A877" s="44" t="n">
        <v>876</v>
      </c>
      <c r="B877" s="45" t="n">
        <v>45495</v>
      </c>
      <c r="C877" s="44" t="n">
        <v>7</v>
      </c>
      <c r="D877" s="44" t="n">
        <v>2024</v>
      </c>
      <c r="E877" s="44" t="n">
        <v>22</v>
      </c>
      <c r="F877" s="44" t="s">
        <v>328</v>
      </c>
      <c r="G877" s="44" t="s">
        <v>388</v>
      </c>
      <c r="H877" s="44" t="s">
        <v>139</v>
      </c>
      <c r="I877" s="44" t="s">
        <v>173</v>
      </c>
      <c r="J877" s="44" t="s">
        <v>192</v>
      </c>
      <c r="K877" s="44" t="n">
        <v>4</v>
      </c>
      <c r="L877" s="46" t="n">
        <v>59.84</v>
      </c>
      <c r="M877" s="47" t="n">
        <v>4.53</v>
      </c>
      <c r="N877" s="46" t="n">
        <v>228.52</v>
      </c>
      <c r="O877" s="44" t="s">
        <v>309</v>
      </c>
      <c r="P877" s="44" t="s">
        <v>309</v>
      </c>
      <c r="Q877" s="44" t="s">
        <v>309</v>
      </c>
    </row>
    <row r="878" customFormat="false" ht="15" hidden="false" customHeight="false" outlineLevel="0" collapsed="false">
      <c r="A878" s="44" t="n">
        <v>877</v>
      </c>
      <c r="B878" s="45" t="n">
        <v>45405</v>
      </c>
      <c r="C878" s="44" t="n">
        <v>4</v>
      </c>
      <c r="D878" s="44" t="n">
        <v>2024</v>
      </c>
      <c r="E878" s="44" t="n">
        <v>23</v>
      </c>
      <c r="F878" s="44" t="s">
        <v>310</v>
      </c>
      <c r="G878" s="44" t="s">
        <v>478</v>
      </c>
      <c r="H878" s="44" t="s">
        <v>136</v>
      </c>
      <c r="I878" s="44" t="s">
        <v>172</v>
      </c>
      <c r="J878" s="44" t="s">
        <v>198</v>
      </c>
      <c r="K878" s="44" t="n">
        <v>4</v>
      </c>
      <c r="L878" s="46" t="n">
        <v>16.21</v>
      </c>
      <c r="M878" s="47" t="n">
        <v>3.13</v>
      </c>
      <c r="N878" s="46" t="n">
        <v>62.81</v>
      </c>
      <c r="O878" s="44" t="s">
        <v>309</v>
      </c>
      <c r="P878" s="44" t="s">
        <v>317</v>
      </c>
      <c r="Q878" s="44" t="s">
        <v>309</v>
      </c>
    </row>
    <row r="879" customFormat="false" ht="15" hidden="false" customHeight="false" outlineLevel="0" collapsed="false">
      <c r="A879" s="44" t="n">
        <v>878</v>
      </c>
      <c r="B879" s="45" t="n">
        <v>45618</v>
      </c>
      <c r="C879" s="44" t="n">
        <v>11</v>
      </c>
      <c r="D879" s="44" t="n">
        <v>2024</v>
      </c>
      <c r="E879" s="44" t="n">
        <v>22</v>
      </c>
      <c r="F879" s="44" t="s">
        <v>325</v>
      </c>
      <c r="G879" s="44" t="s">
        <v>396</v>
      </c>
      <c r="H879" s="44" t="s">
        <v>138</v>
      </c>
      <c r="I879" s="44" t="s">
        <v>176</v>
      </c>
      <c r="J879" s="44" t="s">
        <v>202</v>
      </c>
      <c r="K879" s="44" t="n">
        <v>3</v>
      </c>
      <c r="L879" s="46" t="n">
        <v>81.18</v>
      </c>
      <c r="M879" s="47" t="n">
        <v>4.39</v>
      </c>
      <c r="N879" s="46" t="n">
        <v>232.85</v>
      </c>
      <c r="O879" s="44" t="s">
        <v>309</v>
      </c>
      <c r="P879" s="44" t="s">
        <v>309</v>
      </c>
      <c r="Q879" s="44" t="s">
        <v>309</v>
      </c>
    </row>
    <row r="880" customFormat="false" ht="15" hidden="false" customHeight="false" outlineLevel="0" collapsed="false">
      <c r="A880" s="44" t="n">
        <v>879</v>
      </c>
      <c r="B880" s="45" t="n">
        <v>45422</v>
      </c>
      <c r="C880" s="44" t="n">
        <v>5</v>
      </c>
      <c r="D880" s="44" t="n">
        <v>2024</v>
      </c>
      <c r="E880" s="44" t="n">
        <v>10</v>
      </c>
      <c r="F880" s="44" t="s">
        <v>325</v>
      </c>
      <c r="G880" s="44" t="s">
        <v>378</v>
      </c>
      <c r="H880" s="44" t="s">
        <v>137</v>
      </c>
      <c r="I880" s="44" t="s">
        <v>176</v>
      </c>
      <c r="J880" s="44" t="s">
        <v>193</v>
      </c>
      <c r="K880" s="44" t="n">
        <v>3</v>
      </c>
      <c r="L880" s="46" t="n">
        <v>28.2</v>
      </c>
      <c r="M880" s="47" t="n">
        <v>2.24</v>
      </c>
      <c r="N880" s="46" t="n">
        <v>374.37</v>
      </c>
      <c r="O880" s="44" t="s">
        <v>308</v>
      </c>
      <c r="P880" s="44" t="s">
        <v>309</v>
      </c>
      <c r="Q880" s="44" t="s">
        <v>309</v>
      </c>
    </row>
    <row r="881" customFormat="false" ht="15" hidden="false" customHeight="false" outlineLevel="0" collapsed="false">
      <c r="A881" s="44" t="n">
        <v>880</v>
      </c>
      <c r="B881" s="45" t="n">
        <v>45322</v>
      </c>
      <c r="C881" s="44" t="n">
        <v>1</v>
      </c>
      <c r="D881" s="44" t="n">
        <v>2024</v>
      </c>
      <c r="E881" s="44" t="n">
        <v>31</v>
      </c>
      <c r="F881" s="44" t="s">
        <v>321</v>
      </c>
      <c r="G881" s="44" t="s">
        <v>361</v>
      </c>
      <c r="H881" s="44" t="s">
        <v>138</v>
      </c>
      <c r="I881" s="44" t="s">
        <v>172</v>
      </c>
      <c r="J881" s="44" t="s">
        <v>206</v>
      </c>
      <c r="K881" s="44" t="n">
        <v>1</v>
      </c>
      <c r="L881" s="46" t="n">
        <v>16.34</v>
      </c>
      <c r="M881" s="47" t="n">
        <v>0</v>
      </c>
      <c r="N881" s="46" t="n">
        <v>16.34</v>
      </c>
      <c r="O881" s="44" t="s">
        <v>309</v>
      </c>
      <c r="P881" s="44" t="s">
        <v>309</v>
      </c>
      <c r="Q881" s="44" t="s">
        <v>309</v>
      </c>
    </row>
    <row r="882" customFormat="false" ht="15" hidden="false" customHeight="false" outlineLevel="0" collapsed="false">
      <c r="A882" s="44" t="n">
        <v>881</v>
      </c>
      <c r="B882" s="45" t="n">
        <v>45503</v>
      </c>
      <c r="C882" s="44" t="n">
        <v>7</v>
      </c>
      <c r="D882" s="44" t="n">
        <v>2024</v>
      </c>
      <c r="E882" s="44" t="n">
        <v>30</v>
      </c>
      <c r="F882" s="44" t="s">
        <v>310</v>
      </c>
      <c r="G882" s="44" t="s">
        <v>541</v>
      </c>
      <c r="H882" s="44" t="s">
        <v>135</v>
      </c>
      <c r="I882" s="44" t="s">
        <v>173</v>
      </c>
      <c r="J882" s="44" t="s">
        <v>194</v>
      </c>
      <c r="K882" s="44" t="n">
        <v>1</v>
      </c>
      <c r="L882" s="46" t="n">
        <v>3.37</v>
      </c>
      <c r="M882" s="47" t="n">
        <v>0</v>
      </c>
      <c r="N882" s="46" t="n">
        <v>3.37</v>
      </c>
      <c r="O882" s="44" t="s">
        <v>309</v>
      </c>
      <c r="P882" s="44" t="s">
        <v>317</v>
      </c>
      <c r="Q882" s="44" t="s">
        <v>309</v>
      </c>
    </row>
    <row r="883" customFormat="false" ht="15" hidden="false" customHeight="false" outlineLevel="0" collapsed="false">
      <c r="A883" s="44" t="n">
        <v>882</v>
      </c>
      <c r="B883" s="45" t="n">
        <v>45386</v>
      </c>
      <c r="C883" s="44" t="n">
        <v>4</v>
      </c>
      <c r="D883" s="44" t="n">
        <v>2024</v>
      </c>
      <c r="E883" s="44" t="n">
        <v>4</v>
      </c>
      <c r="F883" s="44" t="s">
        <v>306</v>
      </c>
      <c r="G883" s="44" t="s">
        <v>380</v>
      </c>
      <c r="H883" s="44" t="s">
        <v>139</v>
      </c>
      <c r="I883" s="44" t="s">
        <v>173</v>
      </c>
      <c r="J883" s="44" t="s">
        <v>196</v>
      </c>
      <c r="K883" s="44" t="n">
        <v>1</v>
      </c>
      <c r="L883" s="46" t="n">
        <v>1.92</v>
      </c>
      <c r="M883" s="47" t="n">
        <v>0</v>
      </c>
      <c r="N883" s="46" t="n">
        <v>1.92</v>
      </c>
      <c r="O883" s="44" t="s">
        <v>309</v>
      </c>
      <c r="P883" s="44" t="s">
        <v>309</v>
      </c>
      <c r="Q883" s="44" t="s">
        <v>309</v>
      </c>
    </row>
    <row r="884" customFormat="false" ht="15" hidden="false" customHeight="false" outlineLevel="0" collapsed="false">
      <c r="A884" s="44" t="n">
        <v>883</v>
      </c>
      <c r="B884" s="45" t="n">
        <v>45330</v>
      </c>
      <c r="C884" s="44" t="n">
        <v>2</v>
      </c>
      <c r="D884" s="44" t="n">
        <v>2024</v>
      </c>
      <c r="E884" s="44" t="n">
        <v>8</v>
      </c>
      <c r="F884" s="44" t="s">
        <v>306</v>
      </c>
      <c r="G884" s="44" t="s">
        <v>395</v>
      </c>
      <c r="H884" s="44" t="s">
        <v>134</v>
      </c>
      <c r="I884" s="44" t="s">
        <v>172</v>
      </c>
      <c r="J884" s="44" t="s">
        <v>206</v>
      </c>
      <c r="K884" s="44" t="n">
        <v>2</v>
      </c>
      <c r="L884" s="46" t="n">
        <v>40.21</v>
      </c>
      <c r="M884" s="47" t="n">
        <v>2.47</v>
      </c>
      <c r="N884" s="46" t="n">
        <v>78.43</v>
      </c>
      <c r="O884" s="44" t="s">
        <v>309</v>
      </c>
      <c r="P884" s="44" t="s">
        <v>309</v>
      </c>
      <c r="Q884" s="44" t="s">
        <v>309</v>
      </c>
    </row>
    <row r="885" customFormat="false" ht="15" hidden="false" customHeight="false" outlineLevel="0" collapsed="false">
      <c r="A885" s="44" t="n">
        <v>884</v>
      </c>
      <c r="B885" s="45" t="n">
        <v>45443</v>
      </c>
      <c r="C885" s="44" t="n">
        <v>5</v>
      </c>
      <c r="D885" s="44" t="n">
        <v>2024</v>
      </c>
      <c r="E885" s="44" t="n">
        <v>31</v>
      </c>
      <c r="F885" s="44" t="s">
        <v>325</v>
      </c>
      <c r="G885" s="44" t="s">
        <v>425</v>
      </c>
      <c r="H885" s="44" t="s">
        <v>139</v>
      </c>
      <c r="I885" s="44" t="s">
        <v>174</v>
      </c>
      <c r="J885" s="44" t="s">
        <v>196</v>
      </c>
      <c r="K885" s="44" t="n">
        <v>3</v>
      </c>
      <c r="L885" s="46" t="n">
        <v>18.33</v>
      </c>
      <c r="M885" s="47" t="n">
        <v>2.54</v>
      </c>
      <c r="N885" s="46" t="n">
        <v>8.16</v>
      </c>
      <c r="O885" s="44" t="s">
        <v>308</v>
      </c>
      <c r="P885" s="44" t="s">
        <v>309</v>
      </c>
      <c r="Q885" s="44" t="s">
        <v>309</v>
      </c>
    </row>
    <row r="886" customFormat="false" ht="15" hidden="false" customHeight="false" outlineLevel="0" collapsed="false">
      <c r="A886" s="44" t="n">
        <v>885</v>
      </c>
      <c r="B886" s="45" t="n">
        <v>45592</v>
      </c>
      <c r="C886" s="44" t="n">
        <v>10</v>
      </c>
      <c r="D886" s="44" t="n">
        <v>2024</v>
      </c>
      <c r="E886" s="44" t="n">
        <v>27</v>
      </c>
      <c r="F886" s="44" t="s">
        <v>312</v>
      </c>
      <c r="G886" s="44" t="s">
        <v>530</v>
      </c>
      <c r="H886" s="44" t="s">
        <v>135</v>
      </c>
      <c r="I886" s="44" t="s">
        <v>172</v>
      </c>
      <c r="J886" s="44" t="s">
        <v>200</v>
      </c>
      <c r="K886" s="44" t="n">
        <v>3</v>
      </c>
      <c r="L886" s="46" t="n">
        <v>28.31</v>
      </c>
      <c r="M886" s="47" t="n">
        <v>1.99</v>
      </c>
      <c r="N886" s="46" t="n">
        <v>83.24</v>
      </c>
      <c r="O886" s="44" t="s">
        <v>309</v>
      </c>
      <c r="P886" s="44" t="s">
        <v>309</v>
      </c>
      <c r="Q886" s="44" t="s">
        <v>309</v>
      </c>
    </row>
    <row r="887" customFormat="false" ht="15" hidden="false" customHeight="false" outlineLevel="0" collapsed="false">
      <c r="A887" s="44" t="n">
        <v>886</v>
      </c>
      <c r="B887" s="45" t="n">
        <v>45297</v>
      </c>
      <c r="C887" s="44" t="n">
        <v>1</v>
      </c>
      <c r="D887" s="44" t="n">
        <v>2024</v>
      </c>
      <c r="E887" s="44" t="n">
        <v>6</v>
      </c>
      <c r="F887" s="44" t="s">
        <v>318</v>
      </c>
      <c r="G887" s="44" t="s">
        <v>532</v>
      </c>
      <c r="H887" s="44" t="s">
        <v>135</v>
      </c>
      <c r="I887" s="44" t="s">
        <v>173</v>
      </c>
      <c r="J887" s="44" t="s">
        <v>194</v>
      </c>
      <c r="K887" s="44" t="n">
        <v>3</v>
      </c>
      <c r="L887" s="46" t="n">
        <v>30.44</v>
      </c>
      <c r="M887" s="47" t="n">
        <v>3.88</v>
      </c>
      <c r="N887" s="46" t="n">
        <v>171.29</v>
      </c>
      <c r="O887" s="44" t="s">
        <v>308</v>
      </c>
      <c r="P887" s="44" t="s">
        <v>309</v>
      </c>
      <c r="Q887" s="44" t="s">
        <v>309</v>
      </c>
    </row>
    <row r="888" customFormat="false" ht="15" hidden="false" customHeight="false" outlineLevel="0" collapsed="false">
      <c r="A888" s="44" t="n">
        <v>887</v>
      </c>
      <c r="B888" s="45" t="n">
        <v>45572</v>
      </c>
      <c r="C888" s="44" t="n">
        <v>10</v>
      </c>
      <c r="D888" s="44" t="n">
        <v>2024</v>
      </c>
      <c r="E888" s="44" t="n">
        <v>7</v>
      </c>
      <c r="F888" s="44" t="s">
        <v>328</v>
      </c>
      <c r="G888" s="44" t="s">
        <v>383</v>
      </c>
      <c r="H888" s="44" t="s">
        <v>137</v>
      </c>
      <c r="I888" s="44" t="s">
        <v>173</v>
      </c>
      <c r="J888" s="44" t="s">
        <v>199</v>
      </c>
      <c r="K888" s="44" t="n">
        <v>4</v>
      </c>
      <c r="L888" s="46" t="n">
        <v>19.46</v>
      </c>
      <c r="M888" s="47" t="n">
        <v>6.25</v>
      </c>
      <c r="N888" s="46" t="n">
        <v>72.98</v>
      </c>
      <c r="O888" s="44" t="s">
        <v>309</v>
      </c>
      <c r="P888" s="44" t="s">
        <v>309</v>
      </c>
      <c r="Q888" s="44" t="s">
        <v>309</v>
      </c>
    </row>
    <row r="889" customFormat="false" ht="15" hidden="false" customHeight="false" outlineLevel="0" collapsed="false">
      <c r="A889" s="44" t="n">
        <v>888</v>
      </c>
      <c r="B889" s="45" t="n">
        <v>45534</v>
      </c>
      <c r="C889" s="44" t="n">
        <v>8</v>
      </c>
      <c r="D889" s="44" t="n">
        <v>2024</v>
      </c>
      <c r="E889" s="44" t="n">
        <v>30</v>
      </c>
      <c r="F889" s="44" t="s">
        <v>325</v>
      </c>
      <c r="G889" s="44" t="s">
        <v>509</v>
      </c>
      <c r="H889" s="44" t="s">
        <v>137</v>
      </c>
      <c r="I889" s="44" t="s">
        <v>172</v>
      </c>
      <c r="J889" s="44" t="s">
        <v>194</v>
      </c>
      <c r="K889" s="44" t="n">
        <v>1</v>
      </c>
      <c r="L889" s="46" t="n">
        <v>132.31</v>
      </c>
      <c r="M889" s="47" t="n">
        <v>0</v>
      </c>
      <c r="N889" s="46" t="n">
        <v>132.31</v>
      </c>
      <c r="O889" s="44" t="s">
        <v>309</v>
      </c>
      <c r="P889" s="44" t="s">
        <v>317</v>
      </c>
      <c r="Q889" s="44" t="s">
        <v>309</v>
      </c>
    </row>
    <row r="890" customFormat="false" ht="15" hidden="false" customHeight="false" outlineLevel="0" collapsed="false">
      <c r="A890" s="44" t="n">
        <v>889</v>
      </c>
      <c r="B890" s="45" t="n">
        <v>45317</v>
      </c>
      <c r="C890" s="44" t="n">
        <v>1</v>
      </c>
      <c r="D890" s="44" t="n">
        <v>2024</v>
      </c>
      <c r="E890" s="44" t="n">
        <v>26</v>
      </c>
      <c r="F890" s="44" t="s">
        <v>325</v>
      </c>
      <c r="G890" s="44" t="s">
        <v>410</v>
      </c>
      <c r="H890" s="44" t="s">
        <v>134</v>
      </c>
      <c r="I890" s="44" t="s">
        <v>172</v>
      </c>
      <c r="J890" s="44" t="s">
        <v>206</v>
      </c>
      <c r="K890" s="44" t="n">
        <v>1</v>
      </c>
      <c r="L890" s="46" t="n">
        <v>3</v>
      </c>
      <c r="M890" s="47" t="n">
        <v>0.2</v>
      </c>
      <c r="N890" s="46" t="n">
        <v>2.99</v>
      </c>
      <c r="O890" s="44" t="s">
        <v>309</v>
      </c>
      <c r="P890" s="44" t="s">
        <v>309</v>
      </c>
      <c r="Q890" s="44" t="s">
        <v>309</v>
      </c>
    </row>
    <row r="891" customFormat="false" ht="15" hidden="false" customHeight="false" outlineLevel="0" collapsed="false">
      <c r="A891" s="44" t="n">
        <v>890</v>
      </c>
      <c r="B891" s="45" t="n">
        <v>45594</v>
      </c>
      <c r="C891" s="44" t="n">
        <v>10</v>
      </c>
      <c r="D891" s="44" t="n">
        <v>2024</v>
      </c>
      <c r="E891" s="44" t="n">
        <v>29</v>
      </c>
      <c r="F891" s="44" t="s">
        <v>310</v>
      </c>
      <c r="G891" s="44" t="s">
        <v>484</v>
      </c>
      <c r="H891" s="44" t="s">
        <v>136</v>
      </c>
      <c r="I891" s="44" t="s">
        <v>173</v>
      </c>
      <c r="J891" s="44" t="s">
        <v>206</v>
      </c>
      <c r="K891" s="44" t="n">
        <v>1</v>
      </c>
      <c r="L891" s="46" t="n">
        <v>4.84</v>
      </c>
      <c r="M891" s="47" t="n">
        <v>0</v>
      </c>
      <c r="N891" s="46" t="n">
        <v>4.84</v>
      </c>
      <c r="O891" s="44" t="s">
        <v>309</v>
      </c>
      <c r="P891" s="44" t="s">
        <v>317</v>
      </c>
      <c r="Q891" s="44" t="s">
        <v>309</v>
      </c>
    </row>
    <row r="892" customFormat="false" ht="15" hidden="false" customHeight="false" outlineLevel="0" collapsed="false">
      <c r="A892" s="44" t="n">
        <v>891</v>
      </c>
      <c r="B892" s="45" t="n">
        <v>45457</v>
      </c>
      <c r="C892" s="44" t="n">
        <v>6</v>
      </c>
      <c r="D892" s="44" t="n">
        <v>2024</v>
      </c>
      <c r="E892" s="44" t="n">
        <v>14</v>
      </c>
      <c r="F892" s="44" t="s">
        <v>325</v>
      </c>
      <c r="G892" s="44" t="s">
        <v>406</v>
      </c>
      <c r="H892" s="44" t="s">
        <v>134</v>
      </c>
      <c r="I892" s="44" t="s">
        <v>172</v>
      </c>
      <c r="J892" s="44" t="s">
        <v>194</v>
      </c>
      <c r="K892" s="44" t="n">
        <v>1</v>
      </c>
      <c r="L892" s="46" t="n">
        <v>29.18</v>
      </c>
      <c r="M892" s="47" t="n">
        <v>1.905</v>
      </c>
      <c r="N892" s="46" t="n">
        <v>3.04</v>
      </c>
      <c r="O892" s="44" t="s">
        <v>308</v>
      </c>
      <c r="P892" s="44" t="s">
        <v>369</v>
      </c>
      <c r="Q892" s="44" t="s">
        <v>309</v>
      </c>
    </row>
    <row r="893" customFormat="false" ht="15" hidden="false" customHeight="false" outlineLevel="0" collapsed="false">
      <c r="A893" s="44" t="n">
        <v>892</v>
      </c>
      <c r="B893" s="45" t="n">
        <v>45620</v>
      </c>
      <c r="C893" s="44" t="n">
        <v>11</v>
      </c>
      <c r="D893" s="44" t="n">
        <v>2024</v>
      </c>
      <c r="E893" s="44" t="n">
        <v>24</v>
      </c>
      <c r="F893" s="44" t="s">
        <v>312</v>
      </c>
      <c r="G893" s="44" t="s">
        <v>335</v>
      </c>
      <c r="H893" s="44" t="s">
        <v>135</v>
      </c>
      <c r="I893" s="44" t="s">
        <v>173</v>
      </c>
      <c r="J893" s="44" t="s">
        <v>196</v>
      </c>
      <c r="K893" s="44" t="n">
        <v>2</v>
      </c>
      <c r="L893" s="46" t="n">
        <v>43.37</v>
      </c>
      <c r="M893" s="47" t="n">
        <v>3.44</v>
      </c>
      <c r="N893" s="46" t="n">
        <v>83.76</v>
      </c>
      <c r="O893" s="44" t="s">
        <v>309</v>
      </c>
      <c r="P893" s="44" t="s">
        <v>309</v>
      </c>
      <c r="Q893" s="44" t="s">
        <v>309</v>
      </c>
    </row>
    <row r="894" customFormat="false" ht="15" hidden="false" customHeight="false" outlineLevel="0" collapsed="false">
      <c r="A894" s="44" t="n">
        <v>893</v>
      </c>
      <c r="B894" s="45" t="n">
        <v>45364</v>
      </c>
      <c r="C894" s="44" t="n">
        <v>3</v>
      </c>
      <c r="D894" s="44" t="n">
        <v>2024</v>
      </c>
      <c r="E894" s="44" t="n">
        <v>13</v>
      </c>
      <c r="F894" s="44" t="s">
        <v>321</v>
      </c>
      <c r="G894" s="44" t="s">
        <v>421</v>
      </c>
      <c r="H894" s="44" t="s">
        <v>137</v>
      </c>
      <c r="I894" s="44" t="s">
        <v>173</v>
      </c>
      <c r="J894" s="44" t="s">
        <v>192</v>
      </c>
      <c r="K894" s="44" t="n">
        <v>1</v>
      </c>
      <c r="L894" s="46" t="n">
        <v>166.59</v>
      </c>
      <c r="M894" s="47" t="n">
        <v>0.22</v>
      </c>
      <c r="N894" s="46" t="n">
        <v>166.22</v>
      </c>
      <c r="O894" s="44" t="s">
        <v>309</v>
      </c>
      <c r="P894" s="44" t="s">
        <v>317</v>
      </c>
      <c r="Q894" s="44" t="s">
        <v>309</v>
      </c>
    </row>
    <row r="895" customFormat="false" ht="15" hidden="false" customHeight="false" outlineLevel="0" collapsed="false">
      <c r="A895" s="44" t="n">
        <v>894</v>
      </c>
      <c r="B895" s="45" t="n">
        <v>45623</v>
      </c>
      <c r="C895" s="44" t="n">
        <v>11</v>
      </c>
      <c r="D895" s="44" t="n">
        <v>2024</v>
      </c>
      <c r="E895" s="44" t="n">
        <v>27</v>
      </c>
      <c r="F895" s="44" t="s">
        <v>321</v>
      </c>
      <c r="G895" s="44" t="s">
        <v>350</v>
      </c>
      <c r="H895" s="44" t="s">
        <v>139</v>
      </c>
      <c r="I895" s="44" t="s">
        <v>176</v>
      </c>
      <c r="J895" s="44" t="s">
        <v>192</v>
      </c>
      <c r="K895" s="44" t="n">
        <v>6</v>
      </c>
      <c r="L895" s="46" t="n">
        <v>29.1</v>
      </c>
      <c r="M895" s="47" t="n">
        <v>7.99</v>
      </c>
      <c r="N895" s="46" t="n">
        <v>160.65</v>
      </c>
      <c r="O895" s="44" t="s">
        <v>309</v>
      </c>
      <c r="P895" s="44" t="s">
        <v>309</v>
      </c>
      <c r="Q895" s="44" t="s">
        <v>309</v>
      </c>
    </row>
    <row r="896" customFormat="false" ht="15" hidden="false" customHeight="false" outlineLevel="0" collapsed="false">
      <c r="A896" s="44" t="n">
        <v>895</v>
      </c>
      <c r="B896" s="45" t="n">
        <v>45571</v>
      </c>
      <c r="C896" s="44" t="n">
        <v>10</v>
      </c>
      <c r="D896" s="44" t="n">
        <v>2024</v>
      </c>
      <c r="E896" s="44" t="n">
        <v>6</v>
      </c>
      <c r="F896" s="44" t="s">
        <v>312</v>
      </c>
      <c r="G896" s="44" t="s">
        <v>380</v>
      </c>
      <c r="H896" s="44" t="s">
        <v>135</v>
      </c>
      <c r="I896" s="44" t="s">
        <v>172</v>
      </c>
      <c r="J896" s="44" t="s">
        <v>192</v>
      </c>
      <c r="K896" s="44" t="n">
        <v>3</v>
      </c>
      <c r="L896" s="46" t="n">
        <v>54.52</v>
      </c>
      <c r="M896" s="47" t="n">
        <v>2.92</v>
      </c>
      <c r="N896" s="46" t="n">
        <v>158.78</v>
      </c>
      <c r="O896" s="44" t="s">
        <v>309</v>
      </c>
      <c r="P896" s="44" t="s">
        <v>309</v>
      </c>
      <c r="Q896" s="44" t="s">
        <v>309</v>
      </c>
    </row>
    <row r="897" customFormat="false" ht="15" hidden="false" customHeight="false" outlineLevel="0" collapsed="false">
      <c r="A897" s="44" t="n">
        <v>896</v>
      </c>
      <c r="B897" s="45" t="n">
        <v>45470</v>
      </c>
      <c r="C897" s="44" t="n">
        <v>6</v>
      </c>
      <c r="D897" s="44" t="n">
        <v>2024</v>
      </c>
      <c r="E897" s="44" t="n">
        <v>27</v>
      </c>
      <c r="F897" s="44" t="s">
        <v>306</v>
      </c>
      <c r="G897" s="44" t="s">
        <v>429</v>
      </c>
      <c r="H897" s="44" t="s">
        <v>135</v>
      </c>
      <c r="I897" s="44" t="s">
        <v>174</v>
      </c>
      <c r="J897" s="44" t="s">
        <v>195</v>
      </c>
      <c r="K897" s="44" t="n">
        <v>3</v>
      </c>
      <c r="L897" s="46" t="n">
        <v>2.5</v>
      </c>
      <c r="M897" s="47" t="n">
        <v>4.05</v>
      </c>
      <c r="N897" s="46" t="n">
        <v>7.2</v>
      </c>
      <c r="O897" s="44" t="s">
        <v>309</v>
      </c>
      <c r="P897" s="44" t="s">
        <v>309</v>
      </c>
      <c r="Q897" s="44" t="s">
        <v>309</v>
      </c>
    </row>
    <row r="898" customFormat="false" ht="15" hidden="false" customHeight="false" outlineLevel="0" collapsed="false">
      <c r="A898" s="44" t="n">
        <v>897</v>
      </c>
      <c r="B898" s="45" t="n">
        <v>45439</v>
      </c>
      <c r="C898" s="44" t="n">
        <v>5</v>
      </c>
      <c r="D898" s="44" t="n">
        <v>2024</v>
      </c>
      <c r="E898" s="44" t="n">
        <v>27</v>
      </c>
      <c r="F898" s="44" t="s">
        <v>328</v>
      </c>
      <c r="G898" s="44" t="s">
        <v>480</v>
      </c>
      <c r="H898" s="44" t="s">
        <v>138</v>
      </c>
      <c r="I898" s="44" t="s">
        <v>172</v>
      </c>
      <c r="J898" s="44" t="s">
        <v>200</v>
      </c>
      <c r="K898" s="44" t="n">
        <v>8</v>
      </c>
      <c r="L898" s="46" t="n">
        <v>90.98</v>
      </c>
      <c r="M898" s="47" t="n">
        <v>9.97</v>
      </c>
      <c r="N898" s="46" t="n">
        <v>655.27</v>
      </c>
      <c r="O898" s="44" t="s">
        <v>309</v>
      </c>
      <c r="P898" s="44" t="s">
        <v>309</v>
      </c>
      <c r="Q898" s="44" t="s">
        <v>309</v>
      </c>
    </row>
    <row r="899" customFormat="false" ht="15" hidden="false" customHeight="false" outlineLevel="0" collapsed="false">
      <c r="A899" s="44" t="n">
        <v>898</v>
      </c>
      <c r="B899" s="45" t="n">
        <v>45321</v>
      </c>
      <c r="C899" s="44" t="n">
        <v>1</v>
      </c>
      <c r="D899" s="44" t="n">
        <v>2024</v>
      </c>
      <c r="E899" s="44" t="n">
        <v>30</v>
      </c>
      <c r="F899" s="44" t="s">
        <v>310</v>
      </c>
      <c r="G899" s="44" t="s">
        <v>399</v>
      </c>
      <c r="H899" s="44" t="s">
        <v>134</v>
      </c>
      <c r="I899" s="44" t="s">
        <v>174</v>
      </c>
      <c r="J899" s="44" t="s">
        <v>191</v>
      </c>
      <c r="K899" s="44" t="n">
        <v>6</v>
      </c>
      <c r="L899" s="46" t="n">
        <v>12.22</v>
      </c>
      <c r="M899" s="47" t="n">
        <v>9.68</v>
      </c>
      <c r="N899" s="46" t="n">
        <v>66.22</v>
      </c>
      <c r="O899" s="44" t="s">
        <v>309</v>
      </c>
      <c r="P899" s="44" t="s">
        <v>317</v>
      </c>
      <c r="Q899" s="44" t="s">
        <v>309</v>
      </c>
    </row>
    <row r="900" customFormat="false" ht="15" hidden="false" customHeight="false" outlineLevel="0" collapsed="false">
      <c r="A900" s="44" t="n">
        <v>899</v>
      </c>
      <c r="B900" s="45" t="n">
        <v>45352</v>
      </c>
      <c r="C900" s="44" t="n">
        <v>3</v>
      </c>
      <c r="D900" s="44" t="n">
        <v>2024</v>
      </c>
      <c r="E900" s="44" t="n">
        <v>1</v>
      </c>
      <c r="F900" s="44" t="s">
        <v>325</v>
      </c>
      <c r="G900" s="44" t="s">
        <v>539</v>
      </c>
      <c r="H900" s="44" t="s">
        <v>135</v>
      </c>
      <c r="I900" s="44" t="s">
        <v>176</v>
      </c>
      <c r="J900" s="44" t="s">
        <v>194</v>
      </c>
      <c r="K900" s="44" t="n">
        <v>6</v>
      </c>
      <c r="L900" s="46" t="n">
        <v>52.24</v>
      </c>
      <c r="M900" s="47" t="n">
        <v>8.94</v>
      </c>
      <c r="N900" s="46" t="n">
        <v>285.42</v>
      </c>
      <c r="O900" s="44" t="s">
        <v>309</v>
      </c>
      <c r="P900" s="44" t="s">
        <v>309</v>
      </c>
      <c r="Q900" s="44" t="s">
        <v>309</v>
      </c>
    </row>
    <row r="901" customFormat="false" ht="15" hidden="false" customHeight="false" outlineLevel="0" collapsed="false">
      <c r="A901" s="44" t="n">
        <v>900</v>
      </c>
      <c r="B901" s="45" t="n">
        <v>45302</v>
      </c>
      <c r="C901" s="44" t="n">
        <v>1</v>
      </c>
      <c r="D901" s="44" t="n">
        <v>2024</v>
      </c>
      <c r="E901" s="44" t="n">
        <v>11</v>
      </c>
      <c r="F901" s="44" t="s">
        <v>306</v>
      </c>
      <c r="G901" s="44" t="s">
        <v>345</v>
      </c>
      <c r="H901" s="44" t="s">
        <v>136</v>
      </c>
      <c r="I901" s="44" t="s">
        <v>172</v>
      </c>
      <c r="J901" s="44" t="s">
        <v>192</v>
      </c>
      <c r="K901" s="44" t="n">
        <v>1</v>
      </c>
      <c r="L901" s="46" t="n">
        <v>148.86</v>
      </c>
      <c r="M901" s="47" t="n">
        <v>1.57</v>
      </c>
      <c r="N901" s="46" t="n">
        <v>146.52</v>
      </c>
      <c r="O901" s="44" t="s">
        <v>309</v>
      </c>
      <c r="P901" s="44" t="s">
        <v>309</v>
      </c>
      <c r="Q901" s="44" t="s">
        <v>309</v>
      </c>
    </row>
    <row r="902" customFormat="false" ht="15" hidden="false" customHeight="false" outlineLevel="0" collapsed="false">
      <c r="A902" s="44" t="n">
        <v>901</v>
      </c>
      <c r="B902" s="45" t="n">
        <v>45577</v>
      </c>
      <c r="C902" s="44" t="n">
        <v>10</v>
      </c>
      <c r="D902" s="44" t="n">
        <v>2024</v>
      </c>
      <c r="E902" s="44" t="n">
        <v>12</v>
      </c>
      <c r="F902" s="44" t="s">
        <v>318</v>
      </c>
      <c r="G902" s="44" t="s">
        <v>550</v>
      </c>
      <c r="H902" s="44" t="s">
        <v>140</v>
      </c>
      <c r="I902" s="44" t="s">
        <v>172</v>
      </c>
      <c r="J902" s="44" t="s">
        <v>191</v>
      </c>
      <c r="K902" s="44" t="n">
        <v>6</v>
      </c>
      <c r="L902" s="46" t="n">
        <v>11.31</v>
      </c>
      <c r="M902" s="47" t="n">
        <v>1.905</v>
      </c>
      <c r="N902" s="46" t="n">
        <v>142.16</v>
      </c>
      <c r="O902" s="44" t="s">
        <v>308</v>
      </c>
      <c r="P902" s="44" t="s">
        <v>369</v>
      </c>
      <c r="Q902" s="44" t="s">
        <v>309</v>
      </c>
    </row>
    <row r="903" customFormat="false" ht="15" hidden="false" customHeight="false" outlineLevel="0" collapsed="false">
      <c r="A903" s="44" t="n">
        <v>902</v>
      </c>
      <c r="B903" s="45" t="n">
        <v>45326</v>
      </c>
      <c r="C903" s="44" t="n">
        <v>2</v>
      </c>
      <c r="D903" s="44" t="n">
        <v>2024</v>
      </c>
      <c r="E903" s="44" t="n">
        <v>4</v>
      </c>
      <c r="F903" s="44" t="s">
        <v>312</v>
      </c>
      <c r="G903" s="44" t="s">
        <v>548</v>
      </c>
      <c r="H903" s="44" t="s">
        <v>139</v>
      </c>
      <c r="I903" s="44" t="s">
        <v>173</v>
      </c>
      <c r="J903" s="44" t="s">
        <v>202</v>
      </c>
      <c r="K903" s="44" t="n">
        <v>6</v>
      </c>
      <c r="L903" s="46" t="n">
        <v>1.57</v>
      </c>
      <c r="M903" s="47" t="n">
        <v>6.47</v>
      </c>
      <c r="N903" s="46" t="n">
        <v>8.81</v>
      </c>
      <c r="O903" s="44" t="s">
        <v>309</v>
      </c>
      <c r="P903" s="44" t="s">
        <v>309</v>
      </c>
      <c r="Q903" s="44" t="s">
        <v>309</v>
      </c>
    </row>
    <row r="904" customFormat="false" ht="15" hidden="false" customHeight="false" outlineLevel="0" collapsed="false">
      <c r="A904" s="44" t="n">
        <v>903</v>
      </c>
      <c r="B904" s="45" t="n">
        <v>45569</v>
      </c>
      <c r="C904" s="44" t="n">
        <v>10</v>
      </c>
      <c r="D904" s="44" t="n">
        <v>2024</v>
      </c>
      <c r="E904" s="44" t="n">
        <v>4</v>
      </c>
      <c r="F904" s="44" t="s">
        <v>325</v>
      </c>
      <c r="G904" s="44" t="s">
        <v>504</v>
      </c>
      <c r="H904" s="44" t="s">
        <v>136</v>
      </c>
      <c r="I904" s="44" t="s">
        <v>174</v>
      </c>
      <c r="J904" s="44" t="s">
        <v>204</v>
      </c>
      <c r="K904" s="44" t="n">
        <v>3</v>
      </c>
      <c r="L904" s="46" t="n">
        <v>4.19</v>
      </c>
      <c r="M904" s="47" t="n">
        <v>3.34</v>
      </c>
      <c r="N904" s="46" t="n">
        <v>12.15</v>
      </c>
      <c r="O904" s="44" t="s">
        <v>309</v>
      </c>
      <c r="P904" s="44" t="s">
        <v>317</v>
      </c>
      <c r="Q904" s="44" t="s">
        <v>309</v>
      </c>
    </row>
    <row r="905" customFormat="false" ht="15" hidden="false" customHeight="false" outlineLevel="0" collapsed="false">
      <c r="A905" s="44" t="n">
        <v>904</v>
      </c>
      <c r="B905" s="45" t="n">
        <v>45641</v>
      </c>
      <c r="C905" s="44" t="n">
        <v>12</v>
      </c>
      <c r="D905" s="44" t="n">
        <v>2024</v>
      </c>
      <c r="E905" s="44" t="n">
        <v>15</v>
      </c>
      <c r="F905" s="44" t="s">
        <v>312</v>
      </c>
      <c r="G905" s="44" t="s">
        <v>359</v>
      </c>
      <c r="H905" s="44" t="s">
        <v>136</v>
      </c>
      <c r="I905" s="44" t="s">
        <v>173</v>
      </c>
      <c r="J905" s="44" t="s">
        <v>199</v>
      </c>
      <c r="K905" s="44" t="n">
        <v>1</v>
      </c>
      <c r="L905" s="46" t="n">
        <v>21.67</v>
      </c>
      <c r="M905" s="47" t="n">
        <v>0</v>
      </c>
      <c r="N905" s="46" t="n">
        <v>21.67</v>
      </c>
      <c r="O905" s="44" t="s">
        <v>309</v>
      </c>
      <c r="P905" s="44" t="s">
        <v>309</v>
      </c>
      <c r="Q905" s="44" t="s">
        <v>309</v>
      </c>
    </row>
    <row r="906" customFormat="false" ht="15" hidden="false" customHeight="false" outlineLevel="0" collapsed="false">
      <c r="A906" s="44" t="n">
        <v>905</v>
      </c>
      <c r="B906" s="45" t="n">
        <v>45537</v>
      </c>
      <c r="C906" s="44" t="n">
        <v>9</v>
      </c>
      <c r="D906" s="44" t="n">
        <v>2024</v>
      </c>
      <c r="E906" s="44" t="n">
        <v>2</v>
      </c>
      <c r="F906" s="44" t="s">
        <v>328</v>
      </c>
      <c r="G906" s="44" t="s">
        <v>382</v>
      </c>
      <c r="H906" s="44" t="s">
        <v>135</v>
      </c>
      <c r="I906" s="44" t="s">
        <v>176</v>
      </c>
      <c r="J906" s="44" t="s">
        <v>191</v>
      </c>
      <c r="K906" s="44" t="n">
        <v>5</v>
      </c>
      <c r="L906" s="46" t="n">
        <v>176.32</v>
      </c>
      <c r="M906" s="47" t="n">
        <v>7.98</v>
      </c>
      <c r="N906" s="46" t="n">
        <v>811.25</v>
      </c>
      <c r="O906" s="44" t="s">
        <v>309</v>
      </c>
      <c r="P906" s="44" t="s">
        <v>309</v>
      </c>
      <c r="Q906" s="44" t="s">
        <v>309</v>
      </c>
    </row>
    <row r="907" customFormat="false" ht="15" hidden="false" customHeight="false" outlineLevel="0" collapsed="false">
      <c r="A907" s="44" t="n">
        <v>906</v>
      </c>
      <c r="B907" s="45" t="n">
        <v>45635</v>
      </c>
      <c r="C907" s="44" t="n">
        <v>12</v>
      </c>
      <c r="D907" s="44" t="n">
        <v>2024</v>
      </c>
      <c r="E907" s="44" t="n">
        <v>9</v>
      </c>
      <c r="F907" s="44" t="s">
        <v>328</v>
      </c>
      <c r="G907" s="44" t="s">
        <v>464</v>
      </c>
      <c r="H907" s="44" t="s">
        <v>135</v>
      </c>
      <c r="I907" s="44" t="s">
        <v>176</v>
      </c>
      <c r="J907" s="44" t="s">
        <v>200</v>
      </c>
      <c r="K907" s="44" t="n">
        <v>1</v>
      </c>
      <c r="L907" s="46" t="n">
        <v>30.44</v>
      </c>
      <c r="M907" s="47" t="n">
        <v>0</v>
      </c>
      <c r="N907" s="46" t="n">
        <v>34.22</v>
      </c>
      <c r="O907" s="44" t="s">
        <v>308</v>
      </c>
      <c r="P907" s="44" t="s">
        <v>309</v>
      </c>
      <c r="Q907" s="44" t="s">
        <v>309</v>
      </c>
    </row>
    <row r="908" customFormat="false" ht="15" hidden="false" customHeight="false" outlineLevel="0" collapsed="false">
      <c r="A908" s="44" t="n">
        <v>907</v>
      </c>
      <c r="B908" s="45" t="n">
        <v>45406</v>
      </c>
      <c r="C908" s="44" t="n">
        <v>4</v>
      </c>
      <c r="D908" s="44" t="n">
        <v>2024</v>
      </c>
      <c r="E908" s="44" t="n">
        <v>24</v>
      </c>
      <c r="F908" s="44" t="s">
        <v>321</v>
      </c>
      <c r="G908" s="44" t="s">
        <v>375</v>
      </c>
      <c r="H908" s="44" t="s">
        <v>135</v>
      </c>
      <c r="I908" s="44" t="s">
        <v>172</v>
      </c>
      <c r="J908" s="44" t="s">
        <v>191</v>
      </c>
      <c r="K908" s="44" t="n">
        <v>2</v>
      </c>
      <c r="L908" s="46" t="n">
        <v>75.68</v>
      </c>
      <c r="M908" s="47" t="n">
        <v>2.48</v>
      </c>
      <c r="N908" s="46" t="n">
        <v>147.61</v>
      </c>
      <c r="O908" s="44" t="s">
        <v>309</v>
      </c>
      <c r="P908" s="44" t="s">
        <v>309</v>
      </c>
      <c r="Q908" s="44" t="s">
        <v>309</v>
      </c>
    </row>
    <row r="909" customFormat="false" ht="15" hidden="false" customHeight="false" outlineLevel="0" collapsed="false">
      <c r="A909" s="44" t="n">
        <v>908</v>
      </c>
      <c r="B909" s="45" t="n">
        <v>45619</v>
      </c>
      <c r="C909" s="44" t="n">
        <v>11</v>
      </c>
      <c r="D909" s="44" t="n">
        <v>2024</v>
      </c>
      <c r="E909" s="44" t="n">
        <v>23</v>
      </c>
      <c r="F909" s="44" t="s">
        <v>318</v>
      </c>
      <c r="G909" s="44" t="s">
        <v>342</v>
      </c>
      <c r="H909" s="44" t="s">
        <v>136</v>
      </c>
      <c r="I909" s="44" t="s">
        <v>173</v>
      </c>
      <c r="J909" s="44" t="s">
        <v>206</v>
      </c>
      <c r="K909" s="44" t="n">
        <v>5</v>
      </c>
      <c r="L909" s="46" t="n">
        <v>5.56</v>
      </c>
      <c r="M909" s="47" t="n">
        <v>4.78</v>
      </c>
      <c r="N909" s="46" t="n">
        <v>26.47</v>
      </c>
      <c r="O909" s="44" t="s">
        <v>309</v>
      </c>
      <c r="P909" s="44" t="s">
        <v>309</v>
      </c>
      <c r="Q909" s="44" t="s">
        <v>309</v>
      </c>
    </row>
    <row r="910" customFormat="false" ht="15" hidden="false" customHeight="false" outlineLevel="0" collapsed="false">
      <c r="A910" s="44" t="n">
        <v>909</v>
      </c>
      <c r="B910" s="45" t="n">
        <v>45315</v>
      </c>
      <c r="C910" s="44" t="n">
        <v>1</v>
      </c>
      <c r="D910" s="44" t="n">
        <v>2024</v>
      </c>
      <c r="E910" s="44" t="n">
        <v>24</v>
      </c>
      <c r="F910" s="44" t="s">
        <v>321</v>
      </c>
      <c r="G910" s="44" t="s">
        <v>558</v>
      </c>
      <c r="H910" s="44" t="s">
        <v>139</v>
      </c>
      <c r="I910" s="44" t="s">
        <v>175</v>
      </c>
      <c r="J910" s="44" t="s">
        <v>204</v>
      </c>
      <c r="K910" s="44" t="n">
        <v>1</v>
      </c>
      <c r="L910" s="46" t="n">
        <v>1.77</v>
      </c>
      <c r="M910" s="47" t="n">
        <v>0</v>
      </c>
      <c r="N910" s="46" t="n">
        <v>1.77</v>
      </c>
      <c r="O910" s="44" t="s">
        <v>309</v>
      </c>
      <c r="P910" s="44" t="s">
        <v>309</v>
      </c>
      <c r="Q910" s="44" t="s">
        <v>309</v>
      </c>
    </row>
    <row r="911" customFormat="false" ht="15" hidden="false" customHeight="false" outlineLevel="0" collapsed="false">
      <c r="A911" s="44" t="n">
        <v>910</v>
      </c>
      <c r="B911" s="45" t="n">
        <v>45535</v>
      </c>
      <c r="C911" s="44" t="n">
        <v>8</v>
      </c>
      <c r="D911" s="44" t="n">
        <v>2024</v>
      </c>
      <c r="E911" s="44" t="n">
        <v>31</v>
      </c>
      <c r="F911" s="44" t="s">
        <v>318</v>
      </c>
      <c r="G911" s="44" t="s">
        <v>559</v>
      </c>
      <c r="H911" s="44" t="s">
        <v>137</v>
      </c>
      <c r="I911" s="44" t="s">
        <v>174</v>
      </c>
      <c r="J911" s="44" t="s">
        <v>206</v>
      </c>
      <c r="K911" s="44" t="n">
        <v>2</v>
      </c>
      <c r="L911" s="46" t="n">
        <v>28.2</v>
      </c>
      <c r="M911" s="47" t="n">
        <v>1.905</v>
      </c>
      <c r="N911" s="46" t="n">
        <v>33.79</v>
      </c>
      <c r="O911" s="44" t="s">
        <v>308</v>
      </c>
      <c r="P911" s="44" t="s">
        <v>369</v>
      </c>
      <c r="Q911" s="44" t="s">
        <v>309</v>
      </c>
    </row>
    <row r="912" customFormat="false" ht="15" hidden="false" customHeight="false" outlineLevel="0" collapsed="false">
      <c r="A912" s="44" t="n">
        <v>911</v>
      </c>
      <c r="B912" s="45" t="n">
        <v>45351</v>
      </c>
      <c r="C912" s="44" t="n">
        <v>2</v>
      </c>
      <c r="D912" s="44" t="n">
        <v>2024</v>
      </c>
      <c r="E912" s="44" t="n">
        <v>29</v>
      </c>
      <c r="F912" s="44" t="s">
        <v>306</v>
      </c>
      <c r="G912" s="44" t="s">
        <v>493</v>
      </c>
      <c r="H912" s="44" t="s">
        <v>136</v>
      </c>
      <c r="I912" s="44" t="s">
        <v>172</v>
      </c>
      <c r="J912" s="44" t="s">
        <v>195</v>
      </c>
      <c r="K912" s="44" t="n">
        <v>3</v>
      </c>
      <c r="L912" s="46" t="n">
        <v>25.87</v>
      </c>
      <c r="M912" s="47" t="n">
        <v>1.84</v>
      </c>
      <c r="N912" s="46" t="n">
        <v>76.18</v>
      </c>
      <c r="O912" s="44" t="s">
        <v>309</v>
      </c>
      <c r="P912" s="44" t="s">
        <v>317</v>
      </c>
      <c r="Q912" s="44" t="s">
        <v>309</v>
      </c>
    </row>
    <row r="913" customFormat="false" ht="15" hidden="false" customHeight="false" outlineLevel="0" collapsed="false">
      <c r="A913" s="44" t="n">
        <v>912</v>
      </c>
      <c r="B913" s="45" t="n">
        <v>45565</v>
      </c>
      <c r="C913" s="44" t="n">
        <v>9</v>
      </c>
      <c r="D913" s="44" t="n">
        <v>2024</v>
      </c>
      <c r="E913" s="44" t="n">
        <v>30</v>
      </c>
      <c r="F913" s="44" t="s">
        <v>328</v>
      </c>
      <c r="G913" s="44" t="s">
        <v>534</v>
      </c>
      <c r="H913" s="44" t="s">
        <v>137</v>
      </c>
      <c r="I913" s="44" t="s">
        <v>176</v>
      </c>
      <c r="J913" s="44" t="s">
        <v>199</v>
      </c>
      <c r="K913" s="44" t="n">
        <v>1</v>
      </c>
      <c r="L913" s="46" t="n">
        <v>115.47</v>
      </c>
      <c r="M913" s="47" t="n">
        <v>1.41</v>
      </c>
      <c r="N913" s="46" t="n">
        <v>113.84</v>
      </c>
      <c r="O913" s="44" t="s">
        <v>309</v>
      </c>
      <c r="P913" s="44" t="s">
        <v>309</v>
      </c>
      <c r="Q913" s="44" t="s">
        <v>309</v>
      </c>
    </row>
    <row r="914" customFormat="false" ht="15" hidden="false" customHeight="false" outlineLevel="0" collapsed="false">
      <c r="A914" s="44" t="n">
        <v>913</v>
      </c>
      <c r="B914" s="45" t="n">
        <v>45511</v>
      </c>
      <c r="C914" s="44" t="n">
        <v>8</v>
      </c>
      <c r="D914" s="44" t="n">
        <v>2024</v>
      </c>
      <c r="E914" s="44" t="n">
        <v>7</v>
      </c>
      <c r="F914" s="44" t="s">
        <v>321</v>
      </c>
      <c r="G914" s="44" t="s">
        <v>556</v>
      </c>
      <c r="H914" s="44" t="s">
        <v>136</v>
      </c>
      <c r="I914" s="44" t="s">
        <v>176</v>
      </c>
      <c r="J914" s="44" t="s">
        <v>206</v>
      </c>
      <c r="K914" s="44" t="n">
        <v>1</v>
      </c>
      <c r="L914" s="46" t="n">
        <v>21.67</v>
      </c>
      <c r="M914" s="47" t="n">
        <v>1.905</v>
      </c>
      <c r="N914" s="46" t="n">
        <v>78.17</v>
      </c>
      <c r="O914" s="44" t="s">
        <v>308</v>
      </c>
      <c r="P914" s="44" t="s">
        <v>369</v>
      </c>
      <c r="Q914" s="44" t="s">
        <v>309</v>
      </c>
    </row>
    <row r="915" customFormat="false" ht="15" hidden="false" customHeight="false" outlineLevel="0" collapsed="false">
      <c r="A915" s="44" t="n">
        <v>914</v>
      </c>
      <c r="B915" s="45" t="n">
        <v>45343</v>
      </c>
      <c r="C915" s="44" t="n">
        <v>2</v>
      </c>
      <c r="D915" s="44" t="n">
        <v>2024</v>
      </c>
      <c r="E915" s="44" t="n">
        <v>21</v>
      </c>
      <c r="F915" s="44" t="s">
        <v>321</v>
      </c>
      <c r="G915" s="44" t="s">
        <v>319</v>
      </c>
      <c r="H915" s="44" t="s">
        <v>135</v>
      </c>
      <c r="I915" s="44" t="s">
        <v>174</v>
      </c>
      <c r="J915" s="44" t="s">
        <v>206</v>
      </c>
      <c r="K915" s="44" t="n">
        <v>1</v>
      </c>
      <c r="L915" s="46" t="n">
        <v>11.83</v>
      </c>
      <c r="M915" s="47" t="n">
        <v>1.68</v>
      </c>
      <c r="N915" s="46" t="n">
        <v>11.63</v>
      </c>
      <c r="O915" s="44" t="s">
        <v>309</v>
      </c>
      <c r="P915" s="44" t="s">
        <v>309</v>
      </c>
      <c r="Q915" s="44" t="s">
        <v>309</v>
      </c>
    </row>
    <row r="916" customFormat="false" ht="15" hidden="false" customHeight="false" outlineLevel="0" collapsed="false">
      <c r="A916" s="44" t="n">
        <v>915</v>
      </c>
      <c r="B916" s="45" t="n">
        <v>45597</v>
      </c>
      <c r="C916" s="44" t="n">
        <v>11</v>
      </c>
      <c r="D916" s="44" t="n">
        <v>2024</v>
      </c>
      <c r="E916" s="44" t="n">
        <v>1</v>
      </c>
      <c r="F916" s="44" t="s">
        <v>325</v>
      </c>
      <c r="G916" s="44" t="s">
        <v>493</v>
      </c>
      <c r="H916" s="44" t="s">
        <v>134</v>
      </c>
      <c r="I916" s="44" t="s">
        <v>173</v>
      </c>
      <c r="J916" s="44" t="s">
        <v>199</v>
      </c>
      <c r="K916" s="44" t="n">
        <v>3</v>
      </c>
      <c r="L916" s="46" t="n">
        <v>29.18</v>
      </c>
      <c r="M916" s="47" t="n">
        <v>3.71</v>
      </c>
      <c r="N916" s="46" t="n">
        <v>93.8</v>
      </c>
      <c r="O916" s="44" t="s">
        <v>308</v>
      </c>
      <c r="P916" s="44" t="s">
        <v>309</v>
      </c>
      <c r="Q916" s="44" t="s">
        <v>309</v>
      </c>
    </row>
    <row r="917" customFormat="false" ht="15" hidden="false" customHeight="false" outlineLevel="0" collapsed="false">
      <c r="A917" s="44" t="n">
        <v>916</v>
      </c>
      <c r="B917" s="45" t="n">
        <v>45336</v>
      </c>
      <c r="C917" s="44" t="n">
        <v>2</v>
      </c>
      <c r="D917" s="44" t="n">
        <v>2024</v>
      </c>
      <c r="E917" s="44" t="n">
        <v>14</v>
      </c>
      <c r="F917" s="44" t="s">
        <v>321</v>
      </c>
      <c r="G917" s="44" t="s">
        <v>333</v>
      </c>
      <c r="H917" s="44" t="s">
        <v>135</v>
      </c>
      <c r="I917" s="44" t="s">
        <v>176</v>
      </c>
      <c r="J917" s="44" t="s">
        <v>194</v>
      </c>
      <c r="K917" s="44" t="n">
        <v>3</v>
      </c>
      <c r="L917" s="46" t="n">
        <v>2.52</v>
      </c>
      <c r="M917" s="47" t="n">
        <v>1.59</v>
      </c>
      <c r="N917" s="46" t="n">
        <v>7.44</v>
      </c>
      <c r="O917" s="44" t="s">
        <v>309</v>
      </c>
      <c r="P917" s="44" t="s">
        <v>317</v>
      </c>
      <c r="Q917" s="44" t="s">
        <v>309</v>
      </c>
    </row>
    <row r="918" customFormat="false" ht="15" hidden="false" customHeight="false" outlineLevel="0" collapsed="false">
      <c r="A918" s="44" t="n">
        <v>917</v>
      </c>
      <c r="B918" s="45" t="n">
        <v>45597</v>
      </c>
      <c r="C918" s="44" t="n">
        <v>11</v>
      </c>
      <c r="D918" s="44" t="n">
        <v>2024</v>
      </c>
      <c r="E918" s="44" t="n">
        <v>1</v>
      </c>
      <c r="F918" s="44" t="s">
        <v>325</v>
      </c>
      <c r="G918" s="44" t="s">
        <v>476</v>
      </c>
      <c r="H918" s="44" t="s">
        <v>135</v>
      </c>
      <c r="I918" s="44" t="s">
        <v>172</v>
      </c>
      <c r="J918" s="44" t="s">
        <v>206</v>
      </c>
      <c r="K918" s="44" t="n">
        <v>2</v>
      </c>
      <c r="L918" s="46" t="n">
        <v>30.44</v>
      </c>
      <c r="M918" s="47" t="n">
        <v>0.75</v>
      </c>
      <c r="N918" s="46" t="n">
        <v>174.46</v>
      </c>
      <c r="O918" s="44" t="s">
        <v>308</v>
      </c>
      <c r="P918" s="44" t="s">
        <v>309</v>
      </c>
      <c r="Q918" s="44" t="s">
        <v>309</v>
      </c>
    </row>
    <row r="919" customFormat="false" ht="15" hidden="false" customHeight="false" outlineLevel="0" collapsed="false">
      <c r="A919" s="44" t="n">
        <v>918</v>
      </c>
      <c r="B919" s="45" t="n">
        <v>45434</v>
      </c>
      <c r="C919" s="44" t="n">
        <v>5</v>
      </c>
      <c r="D919" s="44" t="n">
        <v>2024</v>
      </c>
      <c r="E919" s="44" t="n">
        <v>22</v>
      </c>
      <c r="F919" s="44" t="s">
        <v>321</v>
      </c>
      <c r="G919" s="44" t="s">
        <v>491</v>
      </c>
      <c r="H919" s="44" t="s">
        <v>140</v>
      </c>
      <c r="I919" s="44" t="s">
        <v>172</v>
      </c>
      <c r="J919" s="44" t="s">
        <v>206</v>
      </c>
      <c r="K919" s="44" t="n">
        <v>2</v>
      </c>
      <c r="L919" s="46" t="n">
        <v>1.92</v>
      </c>
      <c r="M919" s="47" t="n">
        <v>2.36</v>
      </c>
      <c r="N919" s="46" t="n">
        <v>3.75</v>
      </c>
      <c r="O919" s="44" t="s">
        <v>309</v>
      </c>
      <c r="P919" s="44" t="s">
        <v>309</v>
      </c>
      <c r="Q919" s="44" t="s">
        <v>309</v>
      </c>
    </row>
    <row r="920" customFormat="false" ht="15" hidden="false" customHeight="false" outlineLevel="0" collapsed="false">
      <c r="A920" s="44" t="n">
        <v>919</v>
      </c>
      <c r="B920" s="45" t="n">
        <v>45322</v>
      </c>
      <c r="C920" s="44" t="n">
        <v>1</v>
      </c>
      <c r="D920" s="44" t="n">
        <v>2024</v>
      </c>
      <c r="E920" s="44" t="n">
        <v>31</v>
      </c>
      <c r="F920" s="44" t="s">
        <v>321</v>
      </c>
      <c r="G920" s="44" t="s">
        <v>559</v>
      </c>
      <c r="H920" s="44" t="s">
        <v>134</v>
      </c>
      <c r="I920" s="44" t="s">
        <v>175</v>
      </c>
      <c r="J920" s="44" t="s">
        <v>191</v>
      </c>
      <c r="K920" s="44" t="n">
        <v>1</v>
      </c>
      <c r="L920" s="46" t="n">
        <v>221.37</v>
      </c>
      <c r="M920" s="47" t="n">
        <v>0</v>
      </c>
      <c r="N920" s="46" t="n">
        <v>221.37</v>
      </c>
      <c r="O920" s="44" t="s">
        <v>309</v>
      </c>
      <c r="P920" s="44" t="s">
        <v>309</v>
      </c>
      <c r="Q920" s="44" t="s">
        <v>309</v>
      </c>
    </row>
    <row r="921" customFormat="false" ht="15" hidden="false" customHeight="false" outlineLevel="0" collapsed="false">
      <c r="A921" s="44" t="n">
        <v>920</v>
      </c>
      <c r="B921" s="45" t="n">
        <v>45578</v>
      </c>
      <c r="C921" s="44" t="n">
        <v>10</v>
      </c>
      <c r="D921" s="44" t="n">
        <v>2024</v>
      </c>
      <c r="E921" s="44" t="n">
        <v>13</v>
      </c>
      <c r="F921" s="44" t="s">
        <v>312</v>
      </c>
      <c r="G921" s="44" t="s">
        <v>377</v>
      </c>
      <c r="H921" s="44" t="s">
        <v>134</v>
      </c>
      <c r="I921" s="44" t="s">
        <v>174</v>
      </c>
      <c r="J921" s="44" t="s">
        <v>195</v>
      </c>
      <c r="K921" s="44" t="n">
        <v>6</v>
      </c>
      <c r="L921" s="46" t="n">
        <v>135.38</v>
      </c>
      <c r="M921" s="47" t="n">
        <v>7.26</v>
      </c>
      <c r="N921" s="46" t="n">
        <v>753.31</v>
      </c>
      <c r="O921" s="44" t="s">
        <v>309</v>
      </c>
      <c r="P921" s="44" t="s">
        <v>309</v>
      </c>
      <c r="Q921" s="44" t="s">
        <v>309</v>
      </c>
    </row>
    <row r="922" customFormat="false" ht="15" hidden="false" customHeight="false" outlineLevel="0" collapsed="false">
      <c r="A922" s="44" t="n">
        <v>921</v>
      </c>
      <c r="B922" s="45" t="n">
        <v>45444</v>
      </c>
      <c r="C922" s="44" t="n">
        <v>6</v>
      </c>
      <c r="D922" s="44" t="n">
        <v>2024</v>
      </c>
      <c r="E922" s="44" t="n">
        <v>1</v>
      </c>
      <c r="F922" s="44" t="s">
        <v>318</v>
      </c>
      <c r="G922" s="44" t="s">
        <v>520</v>
      </c>
      <c r="H922" s="44" t="s">
        <v>135</v>
      </c>
      <c r="I922" s="44" t="s">
        <v>176</v>
      </c>
      <c r="J922" s="44" t="s">
        <v>192</v>
      </c>
      <c r="K922" s="44" t="n">
        <v>1</v>
      </c>
      <c r="L922" s="46" t="n">
        <v>128.38</v>
      </c>
      <c r="M922" s="47" t="n">
        <v>1.06</v>
      </c>
      <c r="N922" s="46" t="n">
        <v>127.02</v>
      </c>
      <c r="O922" s="44" t="s">
        <v>309</v>
      </c>
      <c r="P922" s="44" t="s">
        <v>317</v>
      </c>
      <c r="Q922" s="44" t="s">
        <v>309</v>
      </c>
    </row>
    <row r="923" customFormat="false" ht="15" hidden="false" customHeight="false" outlineLevel="0" collapsed="false">
      <c r="A923" s="44" t="n">
        <v>922</v>
      </c>
      <c r="B923" s="45" t="n">
        <v>45533</v>
      </c>
      <c r="C923" s="44" t="n">
        <v>8</v>
      </c>
      <c r="D923" s="44" t="n">
        <v>2024</v>
      </c>
      <c r="E923" s="44" t="n">
        <v>29</v>
      </c>
      <c r="F923" s="44" t="s">
        <v>306</v>
      </c>
      <c r="G923" s="44" t="s">
        <v>376</v>
      </c>
      <c r="H923" s="44" t="s">
        <v>134</v>
      </c>
      <c r="I923" s="44" t="s">
        <v>173</v>
      </c>
      <c r="J923" s="44" t="s">
        <v>206</v>
      </c>
      <c r="K923" s="44" t="n">
        <v>2</v>
      </c>
      <c r="L923" s="46" t="n">
        <v>29.18</v>
      </c>
      <c r="M923" s="47" t="n">
        <v>2.04</v>
      </c>
      <c r="N923" s="46" t="n">
        <v>62.81</v>
      </c>
      <c r="O923" s="44" t="s">
        <v>308</v>
      </c>
      <c r="P923" s="44" t="s">
        <v>309</v>
      </c>
      <c r="Q923" s="44" t="s">
        <v>309</v>
      </c>
    </row>
    <row r="924" customFormat="false" ht="15" hidden="false" customHeight="false" outlineLevel="0" collapsed="false">
      <c r="A924" s="44" t="n">
        <v>923</v>
      </c>
      <c r="B924" s="45" t="n">
        <v>45571</v>
      </c>
      <c r="C924" s="44" t="n">
        <v>10</v>
      </c>
      <c r="D924" s="44" t="n">
        <v>2024</v>
      </c>
      <c r="E924" s="44" t="n">
        <v>6</v>
      </c>
      <c r="F924" s="44" t="s">
        <v>312</v>
      </c>
      <c r="G924" s="44" t="s">
        <v>405</v>
      </c>
      <c r="H924" s="44" t="s">
        <v>135</v>
      </c>
      <c r="I924" s="44" t="s">
        <v>172</v>
      </c>
      <c r="J924" s="44" t="s">
        <v>200</v>
      </c>
      <c r="K924" s="44" t="n">
        <v>2</v>
      </c>
      <c r="L924" s="46" t="n">
        <v>2.51</v>
      </c>
      <c r="M924" s="47" t="n">
        <v>3.33</v>
      </c>
      <c r="N924" s="46" t="n">
        <v>4.85</v>
      </c>
      <c r="O924" s="44" t="s">
        <v>309</v>
      </c>
      <c r="P924" s="44" t="s">
        <v>309</v>
      </c>
      <c r="Q924" s="44" t="s">
        <v>309</v>
      </c>
    </row>
    <row r="925" customFormat="false" ht="15" hidden="false" customHeight="false" outlineLevel="0" collapsed="false">
      <c r="A925" s="44" t="n">
        <v>924</v>
      </c>
      <c r="B925" s="45" t="n">
        <v>45452</v>
      </c>
      <c r="C925" s="44" t="n">
        <v>6</v>
      </c>
      <c r="D925" s="44" t="n">
        <v>2024</v>
      </c>
      <c r="E925" s="44" t="n">
        <v>9</v>
      </c>
      <c r="F925" s="44" t="s">
        <v>312</v>
      </c>
      <c r="G925" s="44" t="s">
        <v>353</v>
      </c>
      <c r="H925" s="44" t="s">
        <v>135</v>
      </c>
      <c r="I925" s="44" t="s">
        <v>172</v>
      </c>
      <c r="J925" s="44" t="s">
        <v>195</v>
      </c>
      <c r="K925" s="44" t="n">
        <v>2</v>
      </c>
      <c r="L925" s="46" t="n">
        <v>30.44</v>
      </c>
      <c r="M925" s="47" t="n">
        <v>1.905</v>
      </c>
      <c r="N925" s="46" t="n">
        <v>17.81</v>
      </c>
      <c r="O925" s="44" t="s">
        <v>308</v>
      </c>
      <c r="P925" s="44" t="s">
        <v>369</v>
      </c>
      <c r="Q925" s="44" t="s">
        <v>309</v>
      </c>
    </row>
    <row r="926" customFormat="false" ht="15" hidden="false" customHeight="false" outlineLevel="0" collapsed="false">
      <c r="A926" s="44" t="n">
        <v>925</v>
      </c>
      <c r="B926" s="45" t="n">
        <v>45604</v>
      </c>
      <c r="C926" s="44" t="n">
        <v>11</v>
      </c>
      <c r="D926" s="44" t="n">
        <v>2024</v>
      </c>
      <c r="E926" s="44" t="n">
        <v>8</v>
      </c>
      <c r="F926" s="44" t="s">
        <v>325</v>
      </c>
      <c r="G926" s="44" t="s">
        <v>417</v>
      </c>
      <c r="H926" s="44" t="s">
        <v>134</v>
      </c>
      <c r="I926" s="44" t="s">
        <v>173</v>
      </c>
      <c r="J926" s="44" t="s">
        <v>191</v>
      </c>
      <c r="K926" s="44" t="n">
        <v>1</v>
      </c>
      <c r="L926" s="46" t="n">
        <v>67.52</v>
      </c>
      <c r="M926" s="47" t="n">
        <v>1.35</v>
      </c>
      <c r="N926" s="46" t="n">
        <v>66.61</v>
      </c>
      <c r="O926" s="44" t="s">
        <v>309</v>
      </c>
      <c r="P926" s="44" t="s">
        <v>309</v>
      </c>
      <c r="Q926" s="44" t="s">
        <v>309</v>
      </c>
    </row>
    <row r="927" customFormat="false" ht="15" hidden="false" customHeight="false" outlineLevel="0" collapsed="false">
      <c r="A927" s="44" t="n">
        <v>926</v>
      </c>
      <c r="B927" s="45" t="n">
        <v>45349</v>
      </c>
      <c r="C927" s="44" t="n">
        <v>2</v>
      </c>
      <c r="D927" s="44" t="n">
        <v>2024</v>
      </c>
      <c r="E927" s="44" t="n">
        <v>27</v>
      </c>
      <c r="F927" s="44" t="s">
        <v>310</v>
      </c>
      <c r="G927" s="44" t="s">
        <v>452</v>
      </c>
      <c r="H927" s="44" t="s">
        <v>139</v>
      </c>
      <c r="I927" s="44" t="s">
        <v>176</v>
      </c>
      <c r="J927" s="44" t="s">
        <v>191</v>
      </c>
      <c r="K927" s="44" t="n">
        <v>2</v>
      </c>
      <c r="L927" s="46" t="n">
        <v>18.33</v>
      </c>
      <c r="M927" s="47" t="n">
        <v>1.14</v>
      </c>
      <c r="N927" s="46" t="n">
        <v>4.19</v>
      </c>
      <c r="O927" s="44" t="s">
        <v>308</v>
      </c>
      <c r="P927" s="44" t="s">
        <v>309</v>
      </c>
      <c r="Q927" s="44" t="s">
        <v>309</v>
      </c>
    </row>
    <row r="928" customFormat="false" ht="15" hidden="false" customHeight="false" outlineLevel="0" collapsed="false">
      <c r="A928" s="44" t="n">
        <v>927</v>
      </c>
      <c r="B928" s="45" t="n">
        <v>45392</v>
      </c>
      <c r="C928" s="44" t="n">
        <v>4</v>
      </c>
      <c r="D928" s="44" t="n">
        <v>2024</v>
      </c>
      <c r="E928" s="44" t="n">
        <v>10</v>
      </c>
      <c r="F928" s="44" t="s">
        <v>321</v>
      </c>
      <c r="G928" s="44" t="s">
        <v>415</v>
      </c>
      <c r="H928" s="44" t="s">
        <v>139</v>
      </c>
      <c r="I928" s="44" t="s">
        <v>174</v>
      </c>
      <c r="J928" s="44" t="s">
        <v>206</v>
      </c>
      <c r="K928" s="44" t="n">
        <v>2</v>
      </c>
      <c r="L928" s="46" t="n">
        <v>18.33</v>
      </c>
      <c r="M928" s="47" t="n">
        <v>2.37</v>
      </c>
      <c r="N928" s="46" t="n">
        <v>3.1</v>
      </c>
      <c r="O928" s="44" t="s">
        <v>308</v>
      </c>
      <c r="P928" s="44" t="s">
        <v>309</v>
      </c>
      <c r="Q928" s="44" t="s">
        <v>309</v>
      </c>
    </row>
    <row r="929" customFormat="false" ht="15" hidden="false" customHeight="false" outlineLevel="0" collapsed="false">
      <c r="A929" s="44" t="n">
        <v>928</v>
      </c>
      <c r="B929" s="45" t="n">
        <v>45339</v>
      </c>
      <c r="C929" s="44" t="n">
        <v>2</v>
      </c>
      <c r="D929" s="44" t="n">
        <v>2024</v>
      </c>
      <c r="E929" s="44" t="n">
        <v>17</v>
      </c>
      <c r="F929" s="44" t="s">
        <v>318</v>
      </c>
      <c r="G929" s="44" t="s">
        <v>496</v>
      </c>
      <c r="H929" s="44" t="s">
        <v>137</v>
      </c>
      <c r="I929" s="44" t="s">
        <v>175</v>
      </c>
      <c r="J929" s="44" t="s">
        <v>191</v>
      </c>
      <c r="K929" s="44" t="n">
        <v>1</v>
      </c>
      <c r="L929" s="46" t="n">
        <v>28.2</v>
      </c>
      <c r="M929" s="47" t="n">
        <v>0</v>
      </c>
      <c r="N929" s="46" t="n">
        <v>6.32</v>
      </c>
      <c r="O929" s="44" t="s">
        <v>308</v>
      </c>
      <c r="P929" s="44" t="s">
        <v>309</v>
      </c>
      <c r="Q929" s="44" t="s">
        <v>309</v>
      </c>
    </row>
    <row r="930" customFormat="false" ht="15" hidden="false" customHeight="false" outlineLevel="0" collapsed="false">
      <c r="A930" s="44" t="n">
        <v>929</v>
      </c>
      <c r="B930" s="45" t="n">
        <v>45524</v>
      </c>
      <c r="C930" s="44" t="n">
        <v>8</v>
      </c>
      <c r="D930" s="44" t="n">
        <v>2024</v>
      </c>
      <c r="E930" s="44" t="n">
        <v>20</v>
      </c>
      <c r="F930" s="44" t="s">
        <v>310</v>
      </c>
      <c r="G930" s="44" t="s">
        <v>542</v>
      </c>
      <c r="H930" s="44" t="s">
        <v>140</v>
      </c>
      <c r="I930" s="44" t="s">
        <v>176</v>
      </c>
      <c r="J930" s="44" t="s">
        <v>200</v>
      </c>
      <c r="K930" s="44" t="n">
        <v>1</v>
      </c>
      <c r="L930" s="46" t="n">
        <v>14.01</v>
      </c>
      <c r="M930" s="47" t="n">
        <v>0</v>
      </c>
      <c r="N930" s="46" t="n">
        <v>14.01</v>
      </c>
      <c r="O930" s="44" t="s">
        <v>309</v>
      </c>
      <c r="P930" s="44" t="s">
        <v>309</v>
      </c>
      <c r="Q930" s="44" t="s">
        <v>309</v>
      </c>
    </row>
    <row r="931" customFormat="false" ht="15" hidden="false" customHeight="false" outlineLevel="0" collapsed="false">
      <c r="A931" s="44" t="n">
        <v>930</v>
      </c>
      <c r="B931" s="45" t="n">
        <v>45301</v>
      </c>
      <c r="C931" s="44" t="n">
        <v>1</v>
      </c>
      <c r="D931" s="44" t="n">
        <v>2024</v>
      </c>
      <c r="E931" s="44" t="n">
        <v>10</v>
      </c>
      <c r="F931" s="44" t="s">
        <v>321</v>
      </c>
      <c r="G931" s="44" t="s">
        <v>480</v>
      </c>
      <c r="H931" s="44" t="s">
        <v>138</v>
      </c>
      <c r="I931" s="44" t="s">
        <v>174</v>
      </c>
      <c r="J931" s="44" t="s">
        <v>191</v>
      </c>
      <c r="K931" s="44" t="n">
        <v>2</v>
      </c>
      <c r="L931" s="46" t="n">
        <v>19.49</v>
      </c>
      <c r="M931" s="47" t="n">
        <v>1.23</v>
      </c>
      <c r="N931" s="46" t="n">
        <v>38.5</v>
      </c>
      <c r="O931" s="44" t="s">
        <v>309</v>
      </c>
      <c r="P931" s="44" t="s">
        <v>317</v>
      </c>
      <c r="Q931" s="44" t="s">
        <v>309</v>
      </c>
    </row>
    <row r="932" customFormat="false" ht="15" hidden="false" customHeight="false" outlineLevel="0" collapsed="false">
      <c r="A932" s="44" t="n">
        <v>931</v>
      </c>
      <c r="B932" s="45" t="n">
        <v>45654</v>
      </c>
      <c r="C932" s="44" t="n">
        <v>12</v>
      </c>
      <c r="D932" s="44" t="n">
        <v>2024</v>
      </c>
      <c r="E932" s="44" t="n">
        <v>28</v>
      </c>
      <c r="F932" s="44" t="s">
        <v>318</v>
      </c>
      <c r="G932" s="44" t="s">
        <v>471</v>
      </c>
      <c r="H932" s="44" t="s">
        <v>137</v>
      </c>
      <c r="I932" s="44" t="s">
        <v>174</v>
      </c>
      <c r="J932" s="44" t="s">
        <v>191</v>
      </c>
      <c r="K932" s="44" t="n">
        <v>3</v>
      </c>
      <c r="L932" s="46" t="n">
        <v>6.11</v>
      </c>
      <c r="M932" s="47" t="n">
        <v>4.16</v>
      </c>
      <c r="N932" s="46" t="n">
        <v>17.57</v>
      </c>
      <c r="O932" s="44" t="s">
        <v>309</v>
      </c>
      <c r="P932" s="44" t="s">
        <v>309</v>
      </c>
      <c r="Q932" s="44" t="s">
        <v>309</v>
      </c>
    </row>
    <row r="933" customFormat="false" ht="15" hidden="false" customHeight="false" outlineLevel="0" collapsed="false">
      <c r="A933" s="44" t="n">
        <v>932</v>
      </c>
      <c r="B933" s="45" t="n">
        <v>45575</v>
      </c>
      <c r="C933" s="44" t="n">
        <v>10</v>
      </c>
      <c r="D933" s="44" t="n">
        <v>2024</v>
      </c>
      <c r="E933" s="44" t="n">
        <v>10</v>
      </c>
      <c r="F933" s="44" t="s">
        <v>306</v>
      </c>
      <c r="G933" s="44" t="s">
        <v>495</v>
      </c>
      <c r="H933" s="44" t="s">
        <v>136</v>
      </c>
      <c r="I933" s="44" t="s">
        <v>173</v>
      </c>
      <c r="J933" s="44" t="s">
        <v>191</v>
      </c>
      <c r="K933" s="44" t="n">
        <v>1</v>
      </c>
      <c r="L933" s="46" t="n">
        <v>23.82</v>
      </c>
      <c r="M933" s="47" t="n">
        <v>0</v>
      </c>
      <c r="N933" s="46" t="n">
        <v>23.82</v>
      </c>
      <c r="O933" s="44" t="s">
        <v>309</v>
      </c>
      <c r="P933" s="44" t="s">
        <v>317</v>
      </c>
      <c r="Q933" s="44" t="s">
        <v>309</v>
      </c>
    </row>
    <row r="934" customFormat="false" ht="15" hidden="false" customHeight="false" outlineLevel="0" collapsed="false">
      <c r="A934" s="44" t="n">
        <v>933</v>
      </c>
      <c r="B934" s="45" t="n">
        <v>45422</v>
      </c>
      <c r="C934" s="44" t="n">
        <v>5</v>
      </c>
      <c r="D934" s="44" t="n">
        <v>2024</v>
      </c>
      <c r="E934" s="44" t="n">
        <v>10</v>
      </c>
      <c r="F934" s="44" t="s">
        <v>325</v>
      </c>
      <c r="G934" s="44" t="s">
        <v>443</v>
      </c>
      <c r="H934" s="44" t="s">
        <v>140</v>
      </c>
      <c r="I934" s="44" t="s">
        <v>173</v>
      </c>
      <c r="J934" s="44" t="s">
        <v>191</v>
      </c>
      <c r="K934" s="44" t="n">
        <v>1</v>
      </c>
      <c r="L934" s="46" t="n">
        <v>2.17</v>
      </c>
      <c r="M934" s="47" t="n">
        <v>0</v>
      </c>
      <c r="N934" s="46" t="n">
        <v>2.17</v>
      </c>
      <c r="O934" s="44" t="s">
        <v>309</v>
      </c>
      <c r="P934" s="44" t="s">
        <v>309</v>
      </c>
      <c r="Q934" s="44" t="s">
        <v>309</v>
      </c>
    </row>
    <row r="935" customFormat="false" ht="15" hidden="false" customHeight="false" outlineLevel="0" collapsed="false">
      <c r="A935" s="44" t="n">
        <v>934</v>
      </c>
      <c r="B935" s="45" t="n">
        <v>45537</v>
      </c>
      <c r="C935" s="44" t="n">
        <v>9</v>
      </c>
      <c r="D935" s="44" t="n">
        <v>2024</v>
      </c>
      <c r="E935" s="44" t="n">
        <v>2</v>
      </c>
      <c r="F935" s="44" t="s">
        <v>328</v>
      </c>
      <c r="G935" s="44" t="s">
        <v>378</v>
      </c>
      <c r="H935" s="44" t="s">
        <v>135</v>
      </c>
      <c r="I935" s="44" t="s">
        <v>172</v>
      </c>
      <c r="J935" s="44" t="s">
        <v>192</v>
      </c>
      <c r="K935" s="44" t="n">
        <v>1</v>
      </c>
      <c r="L935" s="46" t="n">
        <v>30.44</v>
      </c>
      <c r="M935" s="47" t="n">
        <v>1.905</v>
      </c>
      <c r="N935" s="46" t="n">
        <v>5.99</v>
      </c>
      <c r="O935" s="44" t="s">
        <v>308</v>
      </c>
      <c r="P935" s="44" t="s">
        <v>369</v>
      </c>
      <c r="Q935" s="44" t="s">
        <v>309</v>
      </c>
    </row>
    <row r="936" customFormat="false" ht="15" hidden="false" customHeight="false" outlineLevel="0" collapsed="false">
      <c r="A936" s="44" t="n">
        <v>935</v>
      </c>
      <c r="B936" s="45" t="n">
        <v>45589</v>
      </c>
      <c r="C936" s="44" t="n">
        <v>10</v>
      </c>
      <c r="D936" s="44" t="n">
        <v>2024</v>
      </c>
      <c r="E936" s="44" t="n">
        <v>24</v>
      </c>
      <c r="F936" s="44" t="s">
        <v>306</v>
      </c>
      <c r="G936" s="44" t="s">
        <v>438</v>
      </c>
      <c r="H936" s="44" t="s">
        <v>137</v>
      </c>
      <c r="I936" s="44" t="s">
        <v>172</v>
      </c>
      <c r="J936" s="44" t="s">
        <v>200</v>
      </c>
      <c r="K936" s="44" t="n">
        <v>4</v>
      </c>
      <c r="L936" s="46" t="n">
        <v>57.51</v>
      </c>
      <c r="M936" s="47" t="n">
        <v>5.64</v>
      </c>
      <c r="N936" s="46" t="n">
        <v>217.07</v>
      </c>
      <c r="O936" s="44" t="s">
        <v>309</v>
      </c>
      <c r="P936" s="44" t="s">
        <v>317</v>
      </c>
      <c r="Q936" s="44" t="s">
        <v>309</v>
      </c>
    </row>
    <row r="937" customFormat="false" ht="15" hidden="false" customHeight="false" outlineLevel="0" collapsed="false">
      <c r="A937" s="44" t="n">
        <v>936</v>
      </c>
      <c r="B937" s="45" t="n">
        <v>45443</v>
      </c>
      <c r="C937" s="44" t="n">
        <v>5</v>
      </c>
      <c r="D937" s="44" t="n">
        <v>2024</v>
      </c>
      <c r="E937" s="44" t="n">
        <v>31</v>
      </c>
      <c r="F937" s="44" t="s">
        <v>325</v>
      </c>
      <c r="G937" s="44" t="s">
        <v>343</v>
      </c>
      <c r="H937" s="44" t="s">
        <v>137</v>
      </c>
      <c r="I937" s="44" t="s">
        <v>172</v>
      </c>
      <c r="J937" s="44" t="s">
        <v>206</v>
      </c>
      <c r="K937" s="44" t="n">
        <v>3</v>
      </c>
      <c r="L937" s="46" t="n">
        <v>171.2</v>
      </c>
      <c r="M937" s="47" t="n">
        <v>2.02</v>
      </c>
      <c r="N937" s="46" t="n">
        <v>503.23</v>
      </c>
      <c r="O937" s="44" t="s">
        <v>309</v>
      </c>
      <c r="P937" s="44" t="s">
        <v>309</v>
      </c>
      <c r="Q937" s="44" t="s">
        <v>309</v>
      </c>
    </row>
    <row r="938" customFormat="false" ht="15" hidden="false" customHeight="false" outlineLevel="0" collapsed="false">
      <c r="A938" s="44" t="n">
        <v>937</v>
      </c>
      <c r="B938" s="45" t="n">
        <v>45573</v>
      </c>
      <c r="C938" s="44" t="n">
        <v>10</v>
      </c>
      <c r="D938" s="44" t="n">
        <v>2024</v>
      </c>
      <c r="E938" s="44" t="n">
        <v>8</v>
      </c>
      <c r="F938" s="44" t="s">
        <v>310</v>
      </c>
      <c r="G938" s="44" t="s">
        <v>368</v>
      </c>
      <c r="H938" s="44" t="s">
        <v>140</v>
      </c>
      <c r="I938" s="44" t="s">
        <v>174</v>
      </c>
      <c r="J938" s="44" t="s">
        <v>191</v>
      </c>
      <c r="K938" s="44" t="n">
        <v>4</v>
      </c>
      <c r="L938" s="46" t="n">
        <v>24.83</v>
      </c>
      <c r="M938" s="47" t="n">
        <v>6.52</v>
      </c>
      <c r="N938" s="46" t="n">
        <v>92.84</v>
      </c>
      <c r="O938" s="44" t="s">
        <v>309</v>
      </c>
      <c r="P938" s="44" t="s">
        <v>309</v>
      </c>
      <c r="Q938" s="44" t="s">
        <v>309</v>
      </c>
    </row>
    <row r="939" customFormat="false" ht="15" hidden="false" customHeight="false" outlineLevel="0" collapsed="false">
      <c r="A939" s="44" t="n">
        <v>938</v>
      </c>
      <c r="B939" s="45" t="n">
        <v>45633</v>
      </c>
      <c r="C939" s="44" t="n">
        <v>12</v>
      </c>
      <c r="D939" s="44" t="n">
        <v>2024</v>
      </c>
      <c r="E939" s="44" t="n">
        <v>7</v>
      </c>
      <c r="F939" s="44" t="s">
        <v>318</v>
      </c>
      <c r="G939" s="44" t="s">
        <v>344</v>
      </c>
      <c r="H939" s="44" t="s">
        <v>135</v>
      </c>
      <c r="I939" s="44" t="s">
        <v>176</v>
      </c>
      <c r="J939" s="44" t="s">
        <v>195</v>
      </c>
      <c r="K939" s="44" t="n">
        <v>6</v>
      </c>
      <c r="L939" s="46" t="n">
        <v>30.44</v>
      </c>
      <c r="M939" s="47" t="n">
        <v>1.905</v>
      </c>
      <c r="N939" s="46" t="n">
        <v>53.64</v>
      </c>
      <c r="O939" s="44" t="s">
        <v>308</v>
      </c>
      <c r="P939" s="44" t="s">
        <v>369</v>
      </c>
      <c r="Q939" s="44" t="s">
        <v>309</v>
      </c>
    </row>
    <row r="940" customFormat="false" ht="15" hidden="false" customHeight="false" outlineLevel="0" collapsed="false">
      <c r="A940" s="44" t="n">
        <v>939</v>
      </c>
      <c r="B940" s="45" t="n">
        <v>45327</v>
      </c>
      <c r="C940" s="44" t="n">
        <v>2</v>
      </c>
      <c r="D940" s="44" t="n">
        <v>2024</v>
      </c>
      <c r="E940" s="44" t="n">
        <v>5</v>
      </c>
      <c r="F940" s="44" t="s">
        <v>328</v>
      </c>
      <c r="G940" s="44" t="s">
        <v>405</v>
      </c>
      <c r="H940" s="44" t="s">
        <v>138</v>
      </c>
      <c r="I940" s="44" t="s">
        <v>172</v>
      </c>
      <c r="J940" s="44" t="s">
        <v>194</v>
      </c>
      <c r="K940" s="44" t="n">
        <v>1</v>
      </c>
      <c r="L940" s="46" t="n">
        <v>26.69</v>
      </c>
      <c r="M940" s="47" t="n">
        <v>1.905</v>
      </c>
      <c r="N940" s="46" t="n">
        <v>136.35</v>
      </c>
      <c r="O940" s="44" t="s">
        <v>308</v>
      </c>
      <c r="P940" s="44" t="s">
        <v>369</v>
      </c>
      <c r="Q940" s="44" t="s">
        <v>309</v>
      </c>
    </row>
    <row r="941" customFormat="false" ht="15" hidden="false" customHeight="false" outlineLevel="0" collapsed="false">
      <c r="A941" s="44" t="n">
        <v>940</v>
      </c>
      <c r="B941" s="45" t="n">
        <v>45580</v>
      </c>
      <c r="C941" s="44" t="n">
        <v>10</v>
      </c>
      <c r="D941" s="44" t="n">
        <v>2024</v>
      </c>
      <c r="E941" s="44" t="n">
        <v>15</v>
      </c>
      <c r="F941" s="44" t="s">
        <v>310</v>
      </c>
      <c r="G941" s="44" t="s">
        <v>527</v>
      </c>
      <c r="H941" s="44" t="s">
        <v>134</v>
      </c>
      <c r="I941" s="44" t="s">
        <v>173</v>
      </c>
      <c r="J941" s="44" t="s">
        <v>193</v>
      </c>
      <c r="K941" s="44" t="n">
        <v>2</v>
      </c>
      <c r="L941" s="46" t="n">
        <v>3.04</v>
      </c>
      <c r="M941" s="47" t="n">
        <v>1.21</v>
      </c>
      <c r="N941" s="46" t="n">
        <v>6.01</v>
      </c>
      <c r="O941" s="44" t="s">
        <v>309</v>
      </c>
      <c r="P941" s="44" t="s">
        <v>309</v>
      </c>
      <c r="Q941" s="44" t="s">
        <v>309</v>
      </c>
    </row>
    <row r="942" customFormat="false" ht="15" hidden="false" customHeight="false" outlineLevel="0" collapsed="false">
      <c r="A942" s="44" t="n">
        <v>941</v>
      </c>
      <c r="B942" s="45" t="n">
        <v>45474</v>
      </c>
      <c r="C942" s="44" t="n">
        <v>7</v>
      </c>
      <c r="D942" s="44" t="n">
        <v>2024</v>
      </c>
      <c r="E942" s="44" t="n">
        <v>1</v>
      </c>
      <c r="F942" s="44" t="s">
        <v>328</v>
      </c>
      <c r="G942" s="44" t="s">
        <v>551</v>
      </c>
      <c r="H942" s="44" t="s">
        <v>136</v>
      </c>
      <c r="I942" s="44" t="s">
        <v>172</v>
      </c>
      <c r="J942" s="44" t="s">
        <v>195</v>
      </c>
      <c r="K942" s="44" t="n">
        <v>4</v>
      </c>
      <c r="L942" s="46" t="n">
        <v>31.9</v>
      </c>
      <c r="M942" s="47" t="n">
        <v>5.16</v>
      </c>
      <c r="N942" s="46" t="n">
        <v>121.02</v>
      </c>
      <c r="O942" s="44" t="s">
        <v>309</v>
      </c>
      <c r="P942" s="44" t="s">
        <v>309</v>
      </c>
      <c r="Q942" s="44" t="s">
        <v>309</v>
      </c>
    </row>
    <row r="943" customFormat="false" ht="15" hidden="false" customHeight="false" outlineLevel="0" collapsed="false">
      <c r="A943" s="44" t="n">
        <v>942</v>
      </c>
      <c r="B943" s="45" t="n">
        <v>45429</v>
      </c>
      <c r="C943" s="44" t="n">
        <v>5</v>
      </c>
      <c r="D943" s="44" t="n">
        <v>2024</v>
      </c>
      <c r="E943" s="44" t="n">
        <v>17</v>
      </c>
      <c r="F943" s="44" t="s">
        <v>325</v>
      </c>
      <c r="G943" s="44" t="s">
        <v>448</v>
      </c>
      <c r="H943" s="44" t="s">
        <v>136</v>
      </c>
      <c r="I943" s="44" t="s">
        <v>176</v>
      </c>
      <c r="J943" s="44" t="s">
        <v>206</v>
      </c>
      <c r="K943" s="44" t="n">
        <v>3</v>
      </c>
      <c r="L943" s="46" t="n">
        <v>7.6</v>
      </c>
      <c r="M943" s="47" t="n">
        <v>4.17</v>
      </c>
      <c r="N943" s="46" t="n">
        <v>21.85</v>
      </c>
      <c r="O943" s="44" t="s">
        <v>309</v>
      </c>
      <c r="P943" s="44" t="s">
        <v>309</v>
      </c>
      <c r="Q943" s="44" t="s">
        <v>309</v>
      </c>
    </row>
    <row r="944" customFormat="false" ht="15" hidden="false" customHeight="false" outlineLevel="0" collapsed="false">
      <c r="A944" s="44" t="n">
        <v>943</v>
      </c>
      <c r="B944" s="45" t="n">
        <v>45397</v>
      </c>
      <c r="C944" s="44" t="n">
        <v>4</v>
      </c>
      <c r="D944" s="44" t="n">
        <v>2024</v>
      </c>
      <c r="E944" s="44" t="n">
        <v>15</v>
      </c>
      <c r="F944" s="44" t="s">
        <v>328</v>
      </c>
      <c r="G944" s="44" t="s">
        <v>484</v>
      </c>
      <c r="H944" s="44" t="s">
        <v>139</v>
      </c>
      <c r="I944" s="44" t="s">
        <v>172</v>
      </c>
      <c r="J944" s="44" t="s">
        <v>194</v>
      </c>
      <c r="K944" s="44" t="n">
        <v>4</v>
      </c>
      <c r="L944" s="46" t="n">
        <v>18.33</v>
      </c>
      <c r="M944" s="47" t="n">
        <v>5.39</v>
      </c>
      <c r="N944" s="46" t="n">
        <v>95.4</v>
      </c>
      <c r="O944" s="44" t="s">
        <v>308</v>
      </c>
      <c r="P944" s="44" t="s">
        <v>309</v>
      </c>
      <c r="Q944" s="44" t="s">
        <v>309</v>
      </c>
    </row>
    <row r="945" customFormat="false" ht="15" hidden="false" customHeight="false" outlineLevel="0" collapsed="false">
      <c r="A945" s="44" t="n">
        <v>944</v>
      </c>
      <c r="B945" s="45" t="n">
        <v>45309</v>
      </c>
      <c r="C945" s="44" t="n">
        <v>1</v>
      </c>
      <c r="D945" s="44" t="n">
        <v>2024</v>
      </c>
      <c r="E945" s="44" t="n">
        <v>18</v>
      </c>
      <c r="F945" s="44" t="s">
        <v>306</v>
      </c>
      <c r="G945" s="44" t="s">
        <v>515</v>
      </c>
      <c r="H945" s="44" t="s">
        <v>135</v>
      </c>
      <c r="I945" s="44" t="s">
        <v>172</v>
      </c>
      <c r="J945" s="44" t="s">
        <v>206</v>
      </c>
      <c r="K945" s="44" t="n">
        <v>3</v>
      </c>
      <c r="L945" s="46" t="n">
        <v>3.75</v>
      </c>
      <c r="M945" s="47" t="n">
        <v>2.22</v>
      </c>
      <c r="N945" s="46" t="n">
        <v>11</v>
      </c>
      <c r="O945" s="44" t="s">
        <v>309</v>
      </c>
      <c r="P945" s="44" t="s">
        <v>317</v>
      </c>
      <c r="Q945" s="44" t="s">
        <v>309</v>
      </c>
    </row>
    <row r="946" customFormat="false" ht="15" hidden="false" customHeight="false" outlineLevel="0" collapsed="false">
      <c r="A946" s="44" t="n">
        <v>945</v>
      </c>
      <c r="B946" s="45" t="n">
        <v>45602</v>
      </c>
      <c r="C946" s="44" t="n">
        <v>11</v>
      </c>
      <c r="D946" s="44" t="n">
        <v>2024</v>
      </c>
      <c r="E946" s="44" t="n">
        <v>6</v>
      </c>
      <c r="F946" s="44" t="s">
        <v>321</v>
      </c>
      <c r="G946" s="44" t="s">
        <v>483</v>
      </c>
      <c r="H946" s="44" t="s">
        <v>140</v>
      </c>
      <c r="I946" s="44" t="s">
        <v>172</v>
      </c>
      <c r="J946" s="44" t="s">
        <v>191</v>
      </c>
      <c r="K946" s="44" t="n">
        <v>2</v>
      </c>
      <c r="L946" s="46" t="n">
        <v>2.94</v>
      </c>
      <c r="M946" s="47" t="n">
        <v>0.02</v>
      </c>
      <c r="N946" s="46" t="n">
        <v>5.88</v>
      </c>
      <c r="O946" s="44" t="s">
        <v>309</v>
      </c>
      <c r="P946" s="44" t="s">
        <v>309</v>
      </c>
      <c r="Q946" s="44" t="s">
        <v>309</v>
      </c>
    </row>
    <row r="947" customFormat="false" ht="15" hidden="false" customHeight="false" outlineLevel="0" collapsed="false">
      <c r="A947" s="44" t="n">
        <v>946</v>
      </c>
      <c r="B947" s="45" t="n">
        <v>45296</v>
      </c>
      <c r="C947" s="44" t="n">
        <v>1</v>
      </c>
      <c r="D947" s="44" t="n">
        <v>2024</v>
      </c>
      <c r="E947" s="44" t="n">
        <v>5</v>
      </c>
      <c r="F947" s="44" t="s">
        <v>325</v>
      </c>
      <c r="G947" s="44" t="s">
        <v>415</v>
      </c>
      <c r="H947" s="44" t="s">
        <v>140</v>
      </c>
      <c r="I947" s="44" t="s">
        <v>172</v>
      </c>
      <c r="J947" s="44" t="s">
        <v>193</v>
      </c>
      <c r="K947" s="44" t="n">
        <v>2</v>
      </c>
      <c r="L947" s="46" t="n">
        <v>60.23</v>
      </c>
      <c r="M947" s="47" t="n">
        <v>2.45</v>
      </c>
      <c r="N947" s="46" t="n">
        <v>117.51</v>
      </c>
      <c r="O947" s="44" t="s">
        <v>309</v>
      </c>
      <c r="P947" s="44" t="s">
        <v>309</v>
      </c>
      <c r="Q947" s="44" t="s">
        <v>309</v>
      </c>
    </row>
    <row r="948" customFormat="false" ht="15" hidden="false" customHeight="false" outlineLevel="0" collapsed="false">
      <c r="A948" s="44" t="n">
        <v>947</v>
      </c>
      <c r="B948" s="45" t="n">
        <v>45630</v>
      </c>
      <c r="C948" s="44" t="n">
        <v>12</v>
      </c>
      <c r="D948" s="44" t="n">
        <v>2024</v>
      </c>
      <c r="E948" s="44" t="n">
        <v>4</v>
      </c>
      <c r="F948" s="44" t="s">
        <v>321</v>
      </c>
      <c r="G948" s="44" t="s">
        <v>440</v>
      </c>
      <c r="H948" s="44" t="s">
        <v>134</v>
      </c>
      <c r="I948" s="44" t="s">
        <v>172</v>
      </c>
      <c r="J948" s="44" t="s">
        <v>193</v>
      </c>
      <c r="K948" s="44" t="n">
        <v>1</v>
      </c>
      <c r="L948" s="46" t="n">
        <v>29.18</v>
      </c>
      <c r="M948" s="47" t="n">
        <v>1.1</v>
      </c>
      <c r="N948" s="46" t="n">
        <v>3.26</v>
      </c>
      <c r="O948" s="44" t="s">
        <v>308</v>
      </c>
      <c r="P948" s="44" t="s">
        <v>309</v>
      </c>
      <c r="Q948" s="44" t="s">
        <v>309</v>
      </c>
    </row>
    <row r="949" customFormat="false" ht="15" hidden="false" customHeight="false" outlineLevel="0" collapsed="false">
      <c r="A949" s="44" t="n">
        <v>948</v>
      </c>
      <c r="B949" s="45" t="n">
        <v>45526</v>
      </c>
      <c r="C949" s="44" t="n">
        <v>8</v>
      </c>
      <c r="D949" s="44" t="n">
        <v>2024</v>
      </c>
      <c r="E949" s="44" t="n">
        <v>22</v>
      </c>
      <c r="F949" s="44" t="s">
        <v>306</v>
      </c>
      <c r="G949" s="44" t="s">
        <v>389</v>
      </c>
      <c r="H949" s="44" t="s">
        <v>138</v>
      </c>
      <c r="I949" s="44" t="s">
        <v>172</v>
      </c>
      <c r="J949" s="44" t="s">
        <v>194</v>
      </c>
      <c r="K949" s="44" t="n">
        <v>1</v>
      </c>
      <c r="L949" s="46" t="n">
        <v>70.35</v>
      </c>
      <c r="M949" s="47" t="n">
        <v>0</v>
      </c>
      <c r="N949" s="46" t="n">
        <v>70.35</v>
      </c>
      <c r="O949" s="44" t="s">
        <v>309</v>
      </c>
      <c r="P949" s="44" t="s">
        <v>309</v>
      </c>
      <c r="Q949" s="44" t="s">
        <v>309</v>
      </c>
    </row>
    <row r="950" customFormat="false" ht="15" hidden="false" customHeight="false" outlineLevel="0" collapsed="false">
      <c r="A950" s="44" t="n">
        <v>949</v>
      </c>
      <c r="B950" s="45" t="n">
        <v>45310</v>
      </c>
      <c r="C950" s="44" t="n">
        <v>1</v>
      </c>
      <c r="D950" s="44" t="n">
        <v>2024</v>
      </c>
      <c r="E950" s="44" t="n">
        <v>19</v>
      </c>
      <c r="F950" s="44" t="s">
        <v>325</v>
      </c>
      <c r="G950" s="44" t="s">
        <v>459</v>
      </c>
      <c r="H950" s="44" t="s">
        <v>139</v>
      </c>
      <c r="I950" s="44" t="s">
        <v>176</v>
      </c>
      <c r="J950" s="44" t="s">
        <v>191</v>
      </c>
      <c r="K950" s="44" t="n">
        <v>1</v>
      </c>
      <c r="L950" s="46" t="n">
        <v>20.72</v>
      </c>
      <c r="M950" s="47" t="n">
        <v>0</v>
      </c>
      <c r="N950" s="46" t="n">
        <v>20.72</v>
      </c>
      <c r="O950" s="44" t="s">
        <v>309</v>
      </c>
      <c r="P950" s="44" t="s">
        <v>309</v>
      </c>
      <c r="Q950" s="44" t="s">
        <v>309</v>
      </c>
    </row>
    <row r="951" customFormat="false" ht="15" hidden="false" customHeight="false" outlineLevel="0" collapsed="false">
      <c r="A951" s="44" t="n">
        <v>950</v>
      </c>
      <c r="B951" s="45" t="n">
        <v>45513</v>
      </c>
      <c r="C951" s="44" t="n">
        <v>8</v>
      </c>
      <c r="D951" s="44" t="n">
        <v>2024</v>
      </c>
      <c r="E951" s="44" t="n">
        <v>9</v>
      </c>
      <c r="F951" s="44" t="s">
        <v>325</v>
      </c>
      <c r="G951" s="44" t="s">
        <v>356</v>
      </c>
      <c r="H951" s="44" t="s">
        <v>138</v>
      </c>
      <c r="I951" s="44" t="s">
        <v>176</v>
      </c>
      <c r="J951" s="44" t="s">
        <v>192</v>
      </c>
      <c r="K951" s="44" t="n">
        <v>1</v>
      </c>
      <c r="L951" s="46" t="n">
        <v>76.7</v>
      </c>
      <c r="M951" s="47" t="n">
        <v>0</v>
      </c>
      <c r="N951" s="46" t="n">
        <v>76.7</v>
      </c>
      <c r="O951" s="44" t="s">
        <v>309</v>
      </c>
      <c r="P951" s="44" t="s">
        <v>309</v>
      </c>
      <c r="Q951" s="44" t="s">
        <v>309</v>
      </c>
    </row>
    <row r="952" customFormat="false" ht="15" hidden="false" customHeight="false" outlineLevel="0" collapsed="false">
      <c r="A952" s="44" t="n">
        <v>951</v>
      </c>
      <c r="B952" s="45" t="n">
        <v>45532</v>
      </c>
      <c r="C952" s="44" t="n">
        <v>8</v>
      </c>
      <c r="D952" s="44" t="n">
        <v>2024</v>
      </c>
      <c r="E952" s="44" t="n">
        <v>28</v>
      </c>
      <c r="F952" s="44" t="s">
        <v>321</v>
      </c>
      <c r="G952" s="44" t="s">
        <v>333</v>
      </c>
      <c r="H952" s="44" t="s">
        <v>135</v>
      </c>
      <c r="I952" s="44" t="s">
        <v>172</v>
      </c>
      <c r="J952" s="44" t="s">
        <v>204</v>
      </c>
      <c r="K952" s="44" t="n">
        <v>3</v>
      </c>
      <c r="L952" s="46" t="n">
        <v>30.44</v>
      </c>
      <c r="M952" s="47" t="n">
        <v>3.93</v>
      </c>
      <c r="N952" s="46" t="n">
        <v>7.26</v>
      </c>
      <c r="O952" s="44" t="s">
        <v>308</v>
      </c>
      <c r="P952" s="44" t="s">
        <v>309</v>
      </c>
      <c r="Q952" s="44" t="s">
        <v>309</v>
      </c>
    </row>
    <row r="953" customFormat="false" ht="15" hidden="false" customHeight="false" outlineLevel="0" collapsed="false">
      <c r="A953" s="44" t="n">
        <v>952</v>
      </c>
      <c r="B953" s="45" t="n">
        <v>45473</v>
      </c>
      <c r="C953" s="44" t="n">
        <v>6</v>
      </c>
      <c r="D953" s="44" t="n">
        <v>2024</v>
      </c>
      <c r="E953" s="44" t="n">
        <v>30</v>
      </c>
      <c r="F953" s="44" t="s">
        <v>312</v>
      </c>
      <c r="G953" s="44" t="s">
        <v>560</v>
      </c>
      <c r="H953" s="44" t="s">
        <v>134</v>
      </c>
      <c r="I953" s="44" t="s">
        <v>174</v>
      </c>
      <c r="J953" s="44" t="s">
        <v>206</v>
      </c>
      <c r="K953" s="44" t="n">
        <v>4</v>
      </c>
      <c r="L953" s="46" t="n">
        <v>5.39</v>
      </c>
      <c r="M953" s="47" t="n">
        <v>4.17</v>
      </c>
      <c r="N953" s="46" t="n">
        <v>20.66</v>
      </c>
      <c r="O953" s="44" t="s">
        <v>309</v>
      </c>
      <c r="P953" s="44" t="s">
        <v>317</v>
      </c>
      <c r="Q953" s="44" t="s">
        <v>309</v>
      </c>
    </row>
    <row r="954" customFormat="false" ht="15" hidden="false" customHeight="false" outlineLevel="0" collapsed="false">
      <c r="A954" s="44" t="n">
        <v>953</v>
      </c>
      <c r="B954" s="45" t="n">
        <v>45340</v>
      </c>
      <c r="C954" s="44" t="n">
        <v>2</v>
      </c>
      <c r="D954" s="44" t="n">
        <v>2024</v>
      </c>
      <c r="E954" s="44" t="n">
        <v>18</v>
      </c>
      <c r="F954" s="44" t="s">
        <v>312</v>
      </c>
      <c r="G954" s="44" t="s">
        <v>465</v>
      </c>
      <c r="H954" s="44" t="s">
        <v>134</v>
      </c>
      <c r="I954" s="44" t="s">
        <v>176</v>
      </c>
      <c r="J954" s="44" t="s">
        <v>193</v>
      </c>
      <c r="K954" s="44" t="n">
        <v>6</v>
      </c>
      <c r="L954" s="46" t="n">
        <v>29.18</v>
      </c>
      <c r="M954" s="47" t="n">
        <v>6.53</v>
      </c>
      <c r="N954" s="46" t="n">
        <v>1253.88</v>
      </c>
      <c r="O954" s="44" t="s">
        <v>308</v>
      </c>
      <c r="P954" s="44" t="s">
        <v>309</v>
      </c>
      <c r="Q954" s="44" t="s">
        <v>309</v>
      </c>
    </row>
    <row r="955" customFormat="false" ht="15" hidden="false" customHeight="false" outlineLevel="0" collapsed="false">
      <c r="A955" s="44" t="n">
        <v>954</v>
      </c>
      <c r="B955" s="45" t="n">
        <v>45389</v>
      </c>
      <c r="C955" s="44" t="n">
        <v>4</v>
      </c>
      <c r="D955" s="44" t="n">
        <v>2024</v>
      </c>
      <c r="E955" s="44" t="n">
        <v>7</v>
      </c>
      <c r="F955" s="44" t="s">
        <v>312</v>
      </c>
      <c r="G955" s="44" t="s">
        <v>494</v>
      </c>
      <c r="H955" s="44" t="s">
        <v>140</v>
      </c>
      <c r="I955" s="44" t="s">
        <v>172</v>
      </c>
      <c r="J955" s="44" t="s">
        <v>191</v>
      </c>
      <c r="K955" s="44" t="n">
        <v>8</v>
      </c>
      <c r="L955" s="46" t="n">
        <v>54.81</v>
      </c>
      <c r="M955" s="47" t="n">
        <v>12.66</v>
      </c>
      <c r="N955" s="46" t="n">
        <v>382.97</v>
      </c>
      <c r="O955" s="44" t="s">
        <v>309</v>
      </c>
      <c r="P955" s="44" t="s">
        <v>309</v>
      </c>
      <c r="Q955" s="44" t="s">
        <v>309</v>
      </c>
    </row>
    <row r="956" customFormat="false" ht="15" hidden="false" customHeight="false" outlineLevel="0" collapsed="false">
      <c r="A956" s="44" t="n">
        <v>955</v>
      </c>
      <c r="B956" s="45" t="n">
        <v>45479</v>
      </c>
      <c r="C956" s="44" t="n">
        <v>7</v>
      </c>
      <c r="D956" s="44" t="n">
        <v>2024</v>
      </c>
      <c r="E956" s="44" t="n">
        <v>6</v>
      </c>
      <c r="F956" s="44" t="s">
        <v>318</v>
      </c>
      <c r="G956" s="44" t="s">
        <v>423</v>
      </c>
      <c r="H956" s="44" t="s">
        <v>139</v>
      </c>
      <c r="I956" s="44" t="s">
        <v>174</v>
      </c>
      <c r="J956" s="44" t="s">
        <v>193</v>
      </c>
      <c r="K956" s="44" t="n">
        <v>1</v>
      </c>
      <c r="L956" s="46" t="n">
        <v>1.62</v>
      </c>
      <c r="M956" s="47" t="n">
        <v>0</v>
      </c>
      <c r="N956" s="46" t="n">
        <v>1.62</v>
      </c>
      <c r="O956" s="44" t="s">
        <v>309</v>
      </c>
      <c r="P956" s="44" t="s">
        <v>309</v>
      </c>
      <c r="Q956" s="44" t="s">
        <v>309</v>
      </c>
    </row>
    <row r="957" customFormat="false" ht="15" hidden="false" customHeight="false" outlineLevel="0" collapsed="false">
      <c r="A957" s="44" t="n">
        <v>956</v>
      </c>
      <c r="B957" s="45" t="n">
        <v>45467</v>
      </c>
      <c r="C957" s="44" t="n">
        <v>6</v>
      </c>
      <c r="D957" s="44" t="n">
        <v>2024</v>
      </c>
      <c r="E957" s="44" t="n">
        <v>24</v>
      </c>
      <c r="F957" s="44" t="s">
        <v>328</v>
      </c>
      <c r="G957" s="44" t="s">
        <v>561</v>
      </c>
      <c r="H957" s="44" t="s">
        <v>134</v>
      </c>
      <c r="I957" s="44" t="s">
        <v>172</v>
      </c>
      <c r="J957" s="44" t="s">
        <v>198</v>
      </c>
      <c r="K957" s="44" t="n">
        <v>3</v>
      </c>
      <c r="L957" s="46" t="n">
        <v>198.98</v>
      </c>
      <c r="M957" s="47" t="n">
        <v>2.65</v>
      </c>
      <c r="N957" s="46" t="n">
        <v>581.12</v>
      </c>
      <c r="O957" s="44" t="s">
        <v>309</v>
      </c>
      <c r="P957" s="44" t="s">
        <v>317</v>
      </c>
      <c r="Q957" s="44" t="s">
        <v>309</v>
      </c>
    </row>
    <row r="958" customFormat="false" ht="15" hidden="false" customHeight="false" outlineLevel="0" collapsed="false">
      <c r="A958" s="44" t="n">
        <v>957</v>
      </c>
      <c r="B958" s="45" t="n">
        <v>45407</v>
      </c>
      <c r="C958" s="44" t="n">
        <v>4</v>
      </c>
      <c r="D958" s="44" t="n">
        <v>2024</v>
      </c>
      <c r="E958" s="44" t="n">
        <v>25</v>
      </c>
      <c r="F958" s="44" t="s">
        <v>306</v>
      </c>
      <c r="G958" s="44" t="s">
        <v>556</v>
      </c>
      <c r="H958" s="44" t="s">
        <v>134</v>
      </c>
      <c r="I958" s="44" t="s">
        <v>174</v>
      </c>
      <c r="J958" s="44" t="s">
        <v>191</v>
      </c>
      <c r="K958" s="44" t="n">
        <v>2</v>
      </c>
      <c r="L958" s="46" t="n">
        <v>5.04</v>
      </c>
      <c r="M958" s="47" t="n">
        <v>1.82</v>
      </c>
      <c r="N958" s="46" t="n">
        <v>9.9</v>
      </c>
      <c r="O958" s="44" t="s">
        <v>309</v>
      </c>
      <c r="P958" s="44" t="s">
        <v>309</v>
      </c>
      <c r="Q958" s="44" t="s">
        <v>309</v>
      </c>
    </row>
    <row r="959" customFormat="false" ht="15" hidden="false" customHeight="false" outlineLevel="0" collapsed="false">
      <c r="A959" s="44" t="n">
        <v>958</v>
      </c>
      <c r="B959" s="45" t="n">
        <v>45464</v>
      </c>
      <c r="C959" s="44" t="n">
        <v>6</v>
      </c>
      <c r="D959" s="44" t="n">
        <v>2024</v>
      </c>
      <c r="E959" s="44" t="n">
        <v>21</v>
      </c>
      <c r="F959" s="44" t="s">
        <v>325</v>
      </c>
      <c r="G959" s="44" t="s">
        <v>452</v>
      </c>
      <c r="H959" s="44" t="s">
        <v>140</v>
      </c>
      <c r="I959" s="44" t="s">
        <v>173</v>
      </c>
      <c r="J959" s="44" t="s">
        <v>201</v>
      </c>
      <c r="K959" s="44" t="n">
        <v>4</v>
      </c>
      <c r="L959" s="46" t="n">
        <v>6.59</v>
      </c>
      <c r="M959" s="47" t="n">
        <v>6.66</v>
      </c>
      <c r="N959" s="46" t="n">
        <v>24.6</v>
      </c>
      <c r="O959" s="44" t="s">
        <v>309</v>
      </c>
      <c r="P959" s="44" t="s">
        <v>309</v>
      </c>
      <c r="Q959" s="44" t="s">
        <v>309</v>
      </c>
    </row>
    <row r="960" customFormat="false" ht="15" hidden="false" customHeight="false" outlineLevel="0" collapsed="false">
      <c r="A960" s="44" t="n">
        <v>959</v>
      </c>
      <c r="B960" s="45" t="n">
        <v>45351</v>
      </c>
      <c r="C960" s="44" t="n">
        <v>2</v>
      </c>
      <c r="D960" s="44" t="n">
        <v>2024</v>
      </c>
      <c r="E960" s="44" t="n">
        <v>29</v>
      </c>
      <c r="F960" s="44" t="s">
        <v>306</v>
      </c>
      <c r="G960" s="44" t="s">
        <v>557</v>
      </c>
      <c r="H960" s="44" t="s">
        <v>134</v>
      </c>
      <c r="I960" s="44" t="s">
        <v>176</v>
      </c>
      <c r="J960" s="44" t="s">
        <v>206</v>
      </c>
      <c r="K960" s="44" t="n">
        <v>1</v>
      </c>
      <c r="L960" s="46" t="n">
        <v>23.33</v>
      </c>
      <c r="M960" s="47" t="n">
        <v>0</v>
      </c>
      <c r="N960" s="46" t="n">
        <v>23.33</v>
      </c>
      <c r="O960" s="44" t="s">
        <v>309</v>
      </c>
      <c r="P960" s="44" t="s">
        <v>317</v>
      </c>
      <c r="Q960" s="44" t="s">
        <v>309</v>
      </c>
    </row>
    <row r="961" customFormat="false" ht="15" hidden="false" customHeight="false" outlineLevel="0" collapsed="false">
      <c r="A961" s="44" t="n">
        <v>960</v>
      </c>
      <c r="B961" s="45" t="n">
        <v>45376</v>
      </c>
      <c r="C961" s="44" t="n">
        <v>3</v>
      </c>
      <c r="D961" s="44" t="n">
        <v>2024</v>
      </c>
      <c r="E961" s="44" t="n">
        <v>25</v>
      </c>
      <c r="F961" s="44" t="s">
        <v>328</v>
      </c>
      <c r="G961" s="44" t="s">
        <v>319</v>
      </c>
      <c r="H961" s="44" t="s">
        <v>138</v>
      </c>
      <c r="I961" s="44" t="s">
        <v>174</v>
      </c>
      <c r="J961" s="44" t="s">
        <v>191</v>
      </c>
      <c r="K961" s="44" t="n">
        <v>6</v>
      </c>
      <c r="L961" s="46" t="n">
        <v>52.39</v>
      </c>
      <c r="M961" s="47" t="n">
        <v>6.77</v>
      </c>
      <c r="N961" s="46" t="n">
        <v>293.06</v>
      </c>
      <c r="O961" s="44" t="s">
        <v>309</v>
      </c>
      <c r="P961" s="44" t="s">
        <v>309</v>
      </c>
      <c r="Q961" s="44" t="s">
        <v>309</v>
      </c>
    </row>
    <row r="962" customFormat="false" ht="15" hidden="false" customHeight="false" outlineLevel="0" collapsed="false">
      <c r="A962" s="44" t="n">
        <v>961</v>
      </c>
      <c r="B962" s="45" t="n">
        <v>45597</v>
      </c>
      <c r="C962" s="44" t="n">
        <v>11</v>
      </c>
      <c r="D962" s="44" t="n">
        <v>2024</v>
      </c>
      <c r="E962" s="44" t="n">
        <v>1</v>
      </c>
      <c r="F962" s="44" t="s">
        <v>325</v>
      </c>
      <c r="G962" s="44" t="s">
        <v>363</v>
      </c>
      <c r="H962" s="44" t="s">
        <v>135</v>
      </c>
      <c r="I962" s="44" t="s">
        <v>172</v>
      </c>
      <c r="J962" s="44" t="s">
        <v>193</v>
      </c>
      <c r="K962" s="44" t="n">
        <v>6</v>
      </c>
      <c r="L962" s="46" t="n">
        <v>30.44</v>
      </c>
      <c r="M962" s="47" t="n">
        <v>8.1</v>
      </c>
      <c r="N962" s="46" t="n">
        <v>14.34</v>
      </c>
      <c r="O962" s="44" t="s">
        <v>308</v>
      </c>
      <c r="P962" s="44" t="s">
        <v>309</v>
      </c>
      <c r="Q962" s="44" t="s">
        <v>309</v>
      </c>
    </row>
    <row r="963" customFormat="false" ht="15" hidden="false" customHeight="false" outlineLevel="0" collapsed="false">
      <c r="A963" s="44" t="n">
        <v>962</v>
      </c>
      <c r="B963" s="45" t="n">
        <v>45331</v>
      </c>
      <c r="C963" s="44" t="n">
        <v>2</v>
      </c>
      <c r="D963" s="44" t="n">
        <v>2024</v>
      </c>
      <c r="E963" s="44" t="n">
        <v>9</v>
      </c>
      <c r="F963" s="44" t="s">
        <v>325</v>
      </c>
      <c r="G963" s="44" t="s">
        <v>404</v>
      </c>
      <c r="H963" s="44" t="s">
        <v>139</v>
      </c>
      <c r="I963" s="44" t="s">
        <v>173</v>
      </c>
      <c r="J963" s="44" t="s">
        <v>204</v>
      </c>
      <c r="K963" s="44" t="n">
        <v>4</v>
      </c>
      <c r="L963" s="46" t="n">
        <v>16.07</v>
      </c>
      <c r="M963" s="47" t="n">
        <v>3.32</v>
      </c>
      <c r="N963" s="46" t="n">
        <v>62.15</v>
      </c>
      <c r="O963" s="44" t="s">
        <v>309</v>
      </c>
      <c r="P963" s="44" t="s">
        <v>309</v>
      </c>
      <c r="Q963" s="44" t="s">
        <v>309</v>
      </c>
    </row>
    <row r="964" customFormat="false" ht="15" hidden="false" customHeight="false" outlineLevel="0" collapsed="false">
      <c r="A964" s="44" t="n">
        <v>963</v>
      </c>
      <c r="B964" s="45" t="n">
        <v>45319</v>
      </c>
      <c r="C964" s="44" t="n">
        <v>1</v>
      </c>
      <c r="D964" s="44" t="n">
        <v>2024</v>
      </c>
      <c r="E964" s="44" t="n">
        <v>28</v>
      </c>
      <c r="F964" s="44" t="s">
        <v>312</v>
      </c>
      <c r="G964" s="44" t="s">
        <v>522</v>
      </c>
      <c r="H964" s="44" t="s">
        <v>138</v>
      </c>
      <c r="I964" s="44" t="s">
        <v>173</v>
      </c>
      <c r="J964" s="44" t="s">
        <v>194</v>
      </c>
      <c r="K964" s="44" t="n">
        <v>1</v>
      </c>
      <c r="L964" s="46" t="n">
        <v>81.9</v>
      </c>
      <c r="M964" s="47" t="n">
        <v>1.29</v>
      </c>
      <c r="N964" s="46" t="n">
        <v>80.84</v>
      </c>
      <c r="O964" s="44" t="s">
        <v>309</v>
      </c>
      <c r="P964" s="44" t="s">
        <v>317</v>
      </c>
      <c r="Q964" s="44" t="s">
        <v>309</v>
      </c>
    </row>
    <row r="965" customFormat="false" ht="15" hidden="false" customHeight="false" outlineLevel="0" collapsed="false">
      <c r="A965" s="44" t="n">
        <v>964</v>
      </c>
      <c r="B965" s="45" t="n">
        <v>45383</v>
      </c>
      <c r="C965" s="44" t="n">
        <v>4</v>
      </c>
      <c r="D965" s="44" t="n">
        <v>2024</v>
      </c>
      <c r="E965" s="44" t="n">
        <v>1</v>
      </c>
      <c r="F965" s="44" t="s">
        <v>328</v>
      </c>
      <c r="G965" s="44" t="s">
        <v>523</v>
      </c>
      <c r="H965" s="44" t="s">
        <v>136</v>
      </c>
      <c r="I965" s="44" t="s">
        <v>176</v>
      </c>
      <c r="J965" s="44" t="s">
        <v>199</v>
      </c>
      <c r="K965" s="44" t="n">
        <v>1</v>
      </c>
      <c r="L965" s="46" t="n">
        <v>120.82</v>
      </c>
      <c r="M965" s="47" t="n">
        <v>0.89</v>
      </c>
      <c r="N965" s="46" t="n">
        <v>119.74</v>
      </c>
      <c r="O965" s="44" t="s">
        <v>309</v>
      </c>
      <c r="P965" s="44" t="s">
        <v>309</v>
      </c>
      <c r="Q965" s="44" t="s">
        <v>309</v>
      </c>
    </row>
    <row r="966" customFormat="false" ht="15" hidden="false" customHeight="false" outlineLevel="0" collapsed="false">
      <c r="A966" s="44" t="n">
        <v>965</v>
      </c>
      <c r="B966" s="45" t="n">
        <v>45625</v>
      </c>
      <c r="C966" s="44" t="n">
        <v>11</v>
      </c>
      <c r="D966" s="44" t="n">
        <v>2024</v>
      </c>
      <c r="E966" s="44" t="n">
        <v>29</v>
      </c>
      <c r="F966" s="44" t="s">
        <v>325</v>
      </c>
      <c r="G966" s="44" t="s">
        <v>348</v>
      </c>
      <c r="H966" s="44" t="s">
        <v>136</v>
      </c>
      <c r="I966" s="44" t="s">
        <v>172</v>
      </c>
      <c r="J966" s="44" t="s">
        <v>202</v>
      </c>
      <c r="K966" s="44" t="n">
        <v>1</v>
      </c>
      <c r="L966" s="46" t="n">
        <v>65.78</v>
      </c>
      <c r="M966" s="47" t="n">
        <v>0.05</v>
      </c>
      <c r="N966" s="46" t="n">
        <v>65.75</v>
      </c>
      <c r="O966" s="44" t="s">
        <v>309</v>
      </c>
      <c r="P966" s="44" t="s">
        <v>317</v>
      </c>
      <c r="Q966" s="44" t="s">
        <v>309</v>
      </c>
    </row>
    <row r="967" customFormat="false" ht="15" hidden="false" customHeight="false" outlineLevel="0" collapsed="false">
      <c r="A967" s="44" t="n">
        <v>966</v>
      </c>
      <c r="B967" s="45" t="n">
        <v>45641</v>
      </c>
      <c r="C967" s="44" t="n">
        <v>12</v>
      </c>
      <c r="D967" s="44" t="n">
        <v>2024</v>
      </c>
      <c r="E967" s="44" t="n">
        <v>15</v>
      </c>
      <c r="F967" s="44" t="s">
        <v>312</v>
      </c>
      <c r="G967" s="44" t="s">
        <v>343</v>
      </c>
      <c r="H967" s="44" t="s">
        <v>139</v>
      </c>
      <c r="I967" s="44" t="s">
        <v>172</v>
      </c>
      <c r="J967" s="44" t="s">
        <v>196</v>
      </c>
      <c r="K967" s="44" t="n">
        <v>3</v>
      </c>
      <c r="L967" s="46" t="n">
        <v>14.83</v>
      </c>
      <c r="M967" s="47" t="n">
        <v>3.39</v>
      </c>
      <c r="N967" s="46" t="n">
        <v>42.98</v>
      </c>
      <c r="O967" s="44" t="s">
        <v>309</v>
      </c>
      <c r="P967" s="44" t="s">
        <v>309</v>
      </c>
      <c r="Q967" s="44" t="s">
        <v>309</v>
      </c>
    </row>
    <row r="968" customFormat="false" ht="15" hidden="false" customHeight="false" outlineLevel="0" collapsed="false">
      <c r="A968" s="44" t="n">
        <v>967</v>
      </c>
      <c r="B968" s="45" t="n">
        <v>45563</v>
      </c>
      <c r="C968" s="44" t="n">
        <v>9</v>
      </c>
      <c r="D968" s="44" t="n">
        <v>2024</v>
      </c>
      <c r="E968" s="44" t="n">
        <v>28</v>
      </c>
      <c r="F968" s="44" t="s">
        <v>318</v>
      </c>
      <c r="G968" s="44" t="s">
        <v>532</v>
      </c>
      <c r="H968" s="44" t="s">
        <v>134</v>
      </c>
      <c r="I968" s="44" t="s">
        <v>176</v>
      </c>
      <c r="J968" s="44" t="s">
        <v>206</v>
      </c>
      <c r="K968" s="44" t="n">
        <v>1</v>
      </c>
      <c r="L968" s="46" t="n">
        <v>3</v>
      </c>
      <c r="M968" s="47" t="n">
        <v>0.09</v>
      </c>
      <c r="N968" s="46" t="n">
        <v>3</v>
      </c>
      <c r="O968" s="44" t="s">
        <v>309</v>
      </c>
      <c r="P968" s="44" t="s">
        <v>309</v>
      </c>
      <c r="Q968" s="44" t="s">
        <v>309</v>
      </c>
    </row>
    <row r="969" customFormat="false" ht="15" hidden="false" customHeight="false" outlineLevel="0" collapsed="false">
      <c r="A969" s="44" t="n">
        <v>968</v>
      </c>
      <c r="B969" s="45" t="n">
        <v>45489</v>
      </c>
      <c r="C969" s="44" t="n">
        <v>7</v>
      </c>
      <c r="D969" s="44" t="n">
        <v>2024</v>
      </c>
      <c r="E969" s="44" t="n">
        <v>16</v>
      </c>
      <c r="F969" s="44" t="s">
        <v>310</v>
      </c>
      <c r="G969" s="44" t="s">
        <v>555</v>
      </c>
      <c r="H969" s="44" t="s">
        <v>137</v>
      </c>
      <c r="I969" s="44" t="s">
        <v>174</v>
      </c>
      <c r="J969" s="44" t="s">
        <v>193</v>
      </c>
      <c r="K969" s="44" t="n">
        <v>1</v>
      </c>
      <c r="L969" s="46" t="n">
        <v>108.61</v>
      </c>
      <c r="M969" s="47" t="n">
        <v>1.45</v>
      </c>
      <c r="N969" s="46" t="n">
        <v>107.04</v>
      </c>
      <c r="O969" s="44" t="s">
        <v>309</v>
      </c>
      <c r="P969" s="44" t="s">
        <v>309</v>
      </c>
      <c r="Q969" s="44" t="s">
        <v>309</v>
      </c>
    </row>
    <row r="970" customFormat="false" ht="15" hidden="false" customHeight="false" outlineLevel="0" collapsed="false">
      <c r="A970" s="44" t="n">
        <v>969</v>
      </c>
      <c r="B970" s="45" t="n">
        <v>45633</v>
      </c>
      <c r="C970" s="44" t="n">
        <v>12</v>
      </c>
      <c r="D970" s="44" t="n">
        <v>2024</v>
      </c>
      <c r="E970" s="44" t="n">
        <v>7</v>
      </c>
      <c r="F970" s="44" t="s">
        <v>318</v>
      </c>
      <c r="G970" s="44" t="s">
        <v>371</v>
      </c>
      <c r="H970" s="44" t="s">
        <v>134</v>
      </c>
      <c r="I970" s="44" t="s">
        <v>172</v>
      </c>
      <c r="J970" s="44" t="s">
        <v>206</v>
      </c>
      <c r="K970" s="44" t="n">
        <v>2</v>
      </c>
      <c r="L970" s="46" t="n">
        <v>29.18</v>
      </c>
      <c r="M970" s="47" t="n">
        <v>1.45</v>
      </c>
      <c r="N970" s="46" t="n">
        <v>80.12</v>
      </c>
      <c r="O970" s="44" t="s">
        <v>308</v>
      </c>
      <c r="P970" s="44" t="s">
        <v>309</v>
      </c>
      <c r="Q970" s="44" t="s">
        <v>309</v>
      </c>
    </row>
    <row r="971" customFormat="false" ht="15" hidden="false" customHeight="false" outlineLevel="0" collapsed="false">
      <c r="A971" s="44" t="n">
        <v>970</v>
      </c>
      <c r="B971" s="45" t="n">
        <v>45308</v>
      </c>
      <c r="C971" s="44" t="n">
        <v>1</v>
      </c>
      <c r="D971" s="44" t="n">
        <v>2024</v>
      </c>
      <c r="E971" s="44" t="n">
        <v>17</v>
      </c>
      <c r="F971" s="44" t="s">
        <v>321</v>
      </c>
      <c r="G971" s="44" t="s">
        <v>489</v>
      </c>
      <c r="H971" s="44" t="s">
        <v>134</v>
      </c>
      <c r="I971" s="44" t="s">
        <v>172</v>
      </c>
      <c r="J971" s="44" t="s">
        <v>197</v>
      </c>
      <c r="K971" s="44" t="n">
        <v>5</v>
      </c>
      <c r="L971" s="46" t="n">
        <v>24.4</v>
      </c>
      <c r="M971" s="47" t="n">
        <v>7.17</v>
      </c>
      <c r="N971" s="46" t="n">
        <v>113.25</v>
      </c>
      <c r="O971" s="44" t="s">
        <v>309</v>
      </c>
      <c r="P971" s="44" t="s">
        <v>317</v>
      </c>
      <c r="Q971" s="44" t="s">
        <v>309</v>
      </c>
    </row>
    <row r="972" customFormat="false" ht="15" hidden="false" customHeight="false" outlineLevel="0" collapsed="false">
      <c r="A972" s="44" t="n">
        <v>971</v>
      </c>
      <c r="B972" s="45" t="n">
        <v>45329</v>
      </c>
      <c r="C972" s="44" t="n">
        <v>2</v>
      </c>
      <c r="D972" s="44" t="n">
        <v>2024</v>
      </c>
      <c r="E972" s="44" t="n">
        <v>7</v>
      </c>
      <c r="F972" s="44" t="s">
        <v>321</v>
      </c>
      <c r="G972" s="44" t="s">
        <v>562</v>
      </c>
      <c r="H972" s="44" t="s">
        <v>140</v>
      </c>
      <c r="I972" s="44" t="s">
        <v>172</v>
      </c>
      <c r="J972" s="44" t="s">
        <v>206</v>
      </c>
      <c r="K972" s="44" t="n">
        <v>2</v>
      </c>
      <c r="L972" s="46" t="n">
        <v>56.95</v>
      </c>
      <c r="M972" s="47" t="n">
        <v>0</v>
      </c>
      <c r="N972" s="46" t="n">
        <v>113.9</v>
      </c>
      <c r="O972" s="44" t="s">
        <v>309</v>
      </c>
      <c r="P972" s="44" t="s">
        <v>309</v>
      </c>
      <c r="Q972" s="44" t="s">
        <v>309</v>
      </c>
    </row>
    <row r="973" customFormat="false" ht="15" hidden="false" customHeight="false" outlineLevel="0" collapsed="false">
      <c r="A973" s="44" t="n">
        <v>972</v>
      </c>
      <c r="B973" s="45" t="n">
        <v>45530</v>
      </c>
      <c r="C973" s="44" t="n">
        <v>8</v>
      </c>
      <c r="D973" s="44" t="n">
        <v>2024</v>
      </c>
      <c r="E973" s="44" t="n">
        <v>26</v>
      </c>
      <c r="F973" s="44" t="s">
        <v>328</v>
      </c>
      <c r="G973" s="44" t="s">
        <v>481</v>
      </c>
      <c r="H973" s="44" t="s">
        <v>136</v>
      </c>
      <c r="I973" s="44" t="s">
        <v>176</v>
      </c>
      <c r="J973" s="44" t="s">
        <v>191</v>
      </c>
      <c r="K973" s="44" t="n">
        <v>1</v>
      </c>
      <c r="L973" s="46" t="n">
        <v>19.74</v>
      </c>
      <c r="M973" s="47" t="n">
        <v>0.25</v>
      </c>
      <c r="N973" s="46" t="n">
        <v>19.69</v>
      </c>
      <c r="O973" s="44" t="s">
        <v>309</v>
      </c>
      <c r="P973" s="44" t="s">
        <v>317</v>
      </c>
      <c r="Q973" s="44" t="s">
        <v>309</v>
      </c>
    </row>
    <row r="974" customFormat="false" ht="15" hidden="false" customHeight="false" outlineLevel="0" collapsed="false">
      <c r="A974" s="44" t="n">
        <v>973</v>
      </c>
      <c r="B974" s="45" t="n">
        <v>45354</v>
      </c>
      <c r="C974" s="44" t="n">
        <v>3</v>
      </c>
      <c r="D974" s="44" t="n">
        <v>2024</v>
      </c>
      <c r="E974" s="44" t="n">
        <v>3</v>
      </c>
      <c r="F974" s="44" t="s">
        <v>312</v>
      </c>
      <c r="G974" s="44" t="s">
        <v>393</v>
      </c>
      <c r="H974" s="44" t="s">
        <v>135</v>
      </c>
      <c r="I974" s="44" t="s">
        <v>173</v>
      </c>
      <c r="J974" s="44" t="s">
        <v>191</v>
      </c>
      <c r="K974" s="44" t="n">
        <v>2</v>
      </c>
      <c r="L974" s="46" t="n">
        <v>6.57</v>
      </c>
      <c r="M974" s="47" t="n">
        <v>2.24</v>
      </c>
      <c r="N974" s="46" t="n">
        <v>12.85</v>
      </c>
      <c r="O974" s="44" t="s">
        <v>309</v>
      </c>
      <c r="P974" s="44" t="s">
        <v>309</v>
      </c>
      <c r="Q974" s="44" t="s">
        <v>309</v>
      </c>
    </row>
    <row r="975" customFormat="false" ht="15" hidden="false" customHeight="false" outlineLevel="0" collapsed="false">
      <c r="A975" s="44" t="n">
        <v>974</v>
      </c>
      <c r="B975" s="45" t="n">
        <v>45367</v>
      </c>
      <c r="C975" s="44" t="n">
        <v>3</v>
      </c>
      <c r="D975" s="44" t="n">
        <v>2024</v>
      </c>
      <c r="E975" s="44" t="n">
        <v>16</v>
      </c>
      <c r="F975" s="44" t="s">
        <v>318</v>
      </c>
      <c r="G975" s="44" t="s">
        <v>350</v>
      </c>
      <c r="H975" s="44" t="s">
        <v>135</v>
      </c>
      <c r="I975" s="44" t="s">
        <v>172</v>
      </c>
      <c r="J975" s="44" t="s">
        <v>197</v>
      </c>
      <c r="K975" s="44" t="n">
        <v>2</v>
      </c>
      <c r="L975" s="46" t="n">
        <v>42.07</v>
      </c>
      <c r="M975" s="47" t="n">
        <v>2.57</v>
      </c>
      <c r="N975" s="46" t="n">
        <v>81.98</v>
      </c>
      <c r="O975" s="44" t="s">
        <v>309</v>
      </c>
      <c r="P975" s="44" t="s">
        <v>309</v>
      </c>
      <c r="Q975" s="44" t="s">
        <v>309</v>
      </c>
    </row>
    <row r="976" customFormat="false" ht="15" hidden="false" customHeight="false" outlineLevel="0" collapsed="false">
      <c r="A976" s="44" t="n">
        <v>975</v>
      </c>
      <c r="B976" s="45" t="n">
        <v>45462</v>
      </c>
      <c r="C976" s="44" t="n">
        <v>6</v>
      </c>
      <c r="D976" s="44" t="n">
        <v>2024</v>
      </c>
      <c r="E976" s="44" t="n">
        <v>19</v>
      </c>
      <c r="F976" s="44" t="s">
        <v>321</v>
      </c>
      <c r="G976" s="44" t="s">
        <v>517</v>
      </c>
      <c r="H976" s="44" t="s">
        <v>134</v>
      </c>
      <c r="I976" s="44" t="s">
        <v>172</v>
      </c>
      <c r="J976" s="44" t="s">
        <v>206</v>
      </c>
      <c r="K976" s="44" t="n">
        <v>1</v>
      </c>
      <c r="L976" s="46" t="n">
        <v>29.18</v>
      </c>
      <c r="M976" s="47" t="n">
        <v>1.905</v>
      </c>
      <c r="N976" s="46" t="n">
        <v>16.82</v>
      </c>
      <c r="O976" s="44" t="s">
        <v>308</v>
      </c>
      <c r="P976" s="44" t="s">
        <v>369</v>
      </c>
      <c r="Q976" s="44" t="s">
        <v>309</v>
      </c>
    </row>
    <row r="977" customFormat="false" ht="15" hidden="false" customHeight="false" outlineLevel="0" collapsed="false">
      <c r="A977" s="44" t="n">
        <v>976</v>
      </c>
      <c r="B977" s="45" t="n">
        <v>45394</v>
      </c>
      <c r="C977" s="44" t="n">
        <v>4</v>
      </c>
      <c r="D977" s="44" t="n">
        <v>2024</v>
      </c>
      <c r="E977" s="44" t="n">
        <v>12</v>
      </c>
      <c r="F977" s="44" t="s">
        <v>325</v>
      </c>
      <c r="G977" s="44" t="s">
        <v>416</v>
      </c>
      <c r="H977" s="44" t="s">
        <v>135</v>
      </c>
      <c r="I977" s="44" t="s">
        <v>176</v>
      </c>
      <c r="J977" s="44" t="s">
        <v>201</v>
      </c>
      <c r="K977" s="44" t="n">
        <v>4</v>
      </c>
      <c r="L977" s="46" t="n">
        <v>146.68</v>
      </c>
      <c r="M977" s="47" t="n">
        <v>3.18</v>
      </c>
      <c r="N977" s="46" t="n">
        <v>568.06</v>
      </c>
      <c r="O977" s="44" t="s">
        <v>309</v>
      </c>
      <c r="P977" s="44" t="s">
        <v>309</v>
      </c>
      <c r="Q977" s="44" t="s">
        <v>309</v>
      </c>
    </row>
    <row r="978" customFormat="false" ht="15" hidden="false" customHeight="false" outlineLevel="0" collapsed="false">
      <c r="A978" s="44" t="n">
        <v>977</v>
      </c>
      <c r="B978" s="45" t="n">
        <v>45440</v>
      </c>
      <c r="C978" s="44" t="n">
        <v>5</v>
      </c>
      <c r="D978" s="44" t="n">
        <v>2024</v>
      </c>
      <c r="E978" s="44" t="n">
        <v>28</v>
      </c>
      <c r="F978" s="44" t="s">
        <v>310</v>
      </c>
      <c r="G978" s="44" t="s">
        <v>417</v>
      </c>
      <c r="H978" s="44" t="s">
        <v>134</v>
      </c>
      <c r="I978" s="44" t="s">
        <v>173</v>
      </c>
      <c r="J978" s="44" t="s">
        <v>191</v>
      </c>
      <c r="K978" s="44" t="n">
        <v>2</v>
      </c>
      <c r="L978" s="46" t="n">
        <v>3.3</v>
      </c>
      <c r="M978" s="47" t="n">
        <v>3.48</v>
      </c>
      <c r="N978" s="46" t="n">
        <v>6.37</v>
      </c>
      <c r="O978" s="44" t="s">
        <v>309</v>
      </c>
      <c r="P978" s="44" t="s">
        <v>317</v>
      </c>
      <c r="Q978" s="44" t="s">
        <v>309</v>
      </c>
    </row>
    <row r="979" customFormat="false" ht="15" hidden="false" customHeight="false" outlineLevel="0" collapsed="false">
      <c r="A979" s="44" t="n">
        <v>978</v>
      </c>
      <c r="B979" s="45" t="n">
        <v>45611</v>
      </c>
      <c r="C979" s="44" t="n">
        <v>11</v>
      </c>
      <c r="D979" s="44" t="n">
        <v>2024</v>
      </c>
      <c r="E979" s="44" t="n">
        <v>15</v>
      </c>
      <c r="F979" s="44" t="s">
        <v>325</v>
      </c>
      <c r="G979" s="44" t="s">
        <v>534</v>
      </c>
      <c r="H979" s="44" t="s">
        <v>134</v>
      </c>
      <c r="I979" s="44" t="s">
        <v>176</v>
      </c>
      <c r="J979" s="44" t="s">
        <v>197</v>
      </c>
      <c r="K979" s="44" t="n">
        <v>8</v>
      </c>
      <c r="L979" s="46" t="n">
        <v>38.95</v>
      </c>
      <c r="M979" s="47" t="n">
        <v>13.25</v>
      </c>
      <c r="N979" s="46" t="n">
        <v>270.31</v>
      </c>
      <c r="O979" s="44" t="s">
        <v>309</v>
      </c>
      <c r="P979" s="44" t="s">
        <v>309</v>
      </c>
      <c r="Q979" s="44" t="s">
        <v>309</v>
      </c>
    </row>
    <row r="980" customFormat="false" ht="15" hidden="false" customHeight="false" outlineLevel="0" collapsed="false">
      <c r="A980" s="44" t="n">
        <v>979</v>
      </c>
      <c r="B980" s="45" t="n">
        <v>45314</v>
      </c>
      <c r="C980" s="44" t="n">
        <v>1</v>
      </c>
      <c r="D980" s="44" t="n">
        <v>2024</v>
      </c>
      <c r="E980" s="44" t="n">
        <v>23</v>
      </c>
      <c r="F980" s="44" t="s">
        <v>310</v>
      </c>
      <c r="G980" s="44" t="s">
        <v>477</v>
      </c>
      <c r="H980" s="44" t="s">
        <v>136</v>
      </c>
      <c r="I980" s="44" t="s">
        <v>176</v>
      </c>
      <c r="J980" s="44" t="s">
        <v>206</v>
      </c>
      <c r="K980" s="44" t="n">
        <v>2</v>
      </c>
      <c r="L980" s="46" t="n">
        <v>26.5</v>
      </c>
      <c r="M980" s="47" t="n">
        <v>3.23</v>
      </c>
      <c r="N980" s="46" t="n">
        <v>51.29</v>
      </c>
      <c r="O980" s="44" t="s">
        <v>309</v>
      </c>
      <c r="P980" s="44" t="s">
        <v>309</v>
      </c>
      <c r="Q980" s="44" t="s">
        <v>309</v>
      </c>
    </row>
    <row r="981" customFormat="false" ht="15" hidden="false" customHeight="false" outlineLevel="0" collapsed="false">
      <c r="A981" s="44" t="n">
        <v>980</v>
      </c>
      <c r="B981" s="45" t="n">
        <v>45320</v>
      </c>
      <c r="C981" s="44" t="n">
        <v>1</v>
      </c>
      <c r="D981" s="44" t="n">
        <v>2024</v>
      </c>
      <c r="E981" s="44" t="n">
        <v>29</v>
      </c>
      <c r="F981" s="44" t="s">
        <v>328</v>
      </c>
      <c r="G981" s="44" t="s">
        <v>342</v>
      </c>
      <c r="H981" s="44" t="s">
        <v>136</v>
      </c>
      <c r="I981" s="44" t="s">
        <v>172</v>
      </c>
      <c r="J981" s="44" t="s">
        <v>206</v>
      </c>
      <c r="K981" s="44" t="n">
        <v>2</v>
      </c>
      <c r="L981" s="46" t="n">
        <v>4.4</v>
      </c>
      <c r="M981" s="47" t="n">
        <v>1.48</v>
      </c>
      <c r="N981" s="46" t="n">
        <v>8.67</v>
      </c>
      <c r="O981" s="44" t="s">
        <v>309</v>
      </c>
      <c r="P981" s="44" t="s">
        <v>317</v>
      </c>
      <c r="Q981" s="44" t="s">
        <v>309</v>
      </c>
    </row>
    <row r="982" customFormat="false" ht="15" hidden="false" customHeight="false" outlineLevel="0" collapsed="false">
      <c r="A982" s="44" t="n">
        <v>981</v>
      </c>
      <c r="B982" s="45" t="n">
        <v>45547</v>
      </c>
      <c r="C982" s="44" t="n">
        <v>9</v>
      </c>
      <c r="D982" s="44" t="n">
        <v>2024</v>
      </c>
      <c r="E982" s="44" t="n">
        <v>12</v>
      </c>
      <c r="F982" s="44" t="s">
        <v>306</v>
      </c>
      <c r="G982" s="44" t="s">
        <v>478</v>
      </c>
      <c r="H982" s="44" t="s">
        <v>139</v>
      </c>
      <c r="I982" s="44" t="s">
        <v>175</v>
      </c>
      <c r="J982" s="44" t="s">
        <v>206</v>
      </c>
      <c r="K982" s="44" t="n">
        <v>1</v>
      </c>
      <c r="L982" s="46" t="n">
        <v>37.9</v>
      </c>
      <c r="M982" s="47" t="n">
        <v>1.08</v>
      </c>
      <c r="N982" s="46" t="n">
        <v>37.49</v>
      </c>
      <c r="O982" s="44" t="s">
        <v>309</v>
      </c>
      <c r="P982" s="44" t="s">
        <v>317</v>
      </c>
      <c r="Q982" s="44" t="s">
        <v>309</v>
      </c>
    </row>
    <row r="983" customFormat="false" ht="15" hidden="false" customHeight="false" outlineLevel="0" collapsed="false">
      <c r="A983" s="44" t="n">
        <v>982</v>
      </c>
      <c r="B983" s="45" t="n">
        <v>45361</v>
      </c>
      <c r="C983" s="44" t="n">
        <v>3</v>
      </c>
      <c r="D983" s="44" t="n">
        <v>2024</v>
      </c>
      <c r="E983" s="44" t="n">
        <v>10</v>
      </c>
      <c r="F983" s="44" t="s">
        <v>312</v>
      </c>
      <c r="G983" s="44" t="s">
        <v>501</v>
      </c>
      <c r="H983" s="44" t="s">
        <v>137</v>
      </c>
      <c r="I983" s="44" t="s">
        <v>173</v>
      </c>
      <c r="J983" s="44" t="s">
        <v>191</v>
      </c>
      <c r="K983" s="44" t="n">
        <v>1</v>
      </c>
      <c r="L983" s="46" t="n">
        <v>76.86</v>
      </c>
      <c r="M983" s="47" t="n">
        <v>0</v>
      </c>
      <c r="N983" s="46" t="n">
        <v>76.86</v>
      </c>
      <c r="O983" s="44" t="s">
        <v>309</v>
      </c>
      <c r="P983" s="44" t="s">
        <v>309</v>
      </c>
      <c r="Q983" s="44" t="s">
        <v>309</v>
      </c>
    </row>
    <row r="984" customFormat="false" ht="15" hidden="false" customHeight="false" outlineLevel="0" collapsed="false">
      <c r="A984" s="44" t="n">
        <v>983</v>
      </c>
      <c r="B984" s="45" t="n">
        <v>45294</v>
      </c>
      <c r="C984" s="44" t="n">
        <v>1</v>
      </c>
      <c r="D984" s="44" t="n">
        <v>2024</v>
      </c>
      <c r="E984" s="44" t="n">
        <v>3</v>
      </c>
      <c r="F984" s="44" t="s">
        <v>321</v>
      </c>
      <c r="G984" s="44" t="s">
        <v>526</v>
      </c>
      <c r="H984" s="44" t="s">
        <v>137</v>
      </c>
      <c r="I984" s="44" t="s">
        <v>172</v>
      </c>
      <c r="J984" s="44" t="s">
        <v>191</v>
      </c>
      <c r="K984" s="44" t="n">
        <v>3</v>
      </c>
      <c r="L984" s="46" t="n">
        <v>14.4</v>
      </c>
      <c r="M984" s="47" t="n">
        <v>4.36</v>
      </c>
      <c r="N984" s="46" t="n">
        <v>41.32</v>
      </c>
      <c r="O984" s="44" t="s">
        <v>309</v>
      </c>
      <c r="P984" s="44" t="s">
        <v>309</v>
      </c>
      <c r="Q984" s="44" t="s">
        <v>309</v>
      </c>
    </row>
    <row r="985" customFormat="false" ht="15" hidden="false" customHeight="false" outlineLevel="0" collapsed="false">
      <c r="A985" s="44" t="n">
        <v>984</v>
      </c>
      <c r="B985" s="45" t="n">
        <v>45573</v>
      </c>
      <c r="C985" s="44" t="n">
        <v>10</v>
      </c>
      <c r="D985" s="44" t="n">
        <v>2024</v>
      </c>
      <c r="E985" s="44" t="n">
        <v>8</v>
      </c>
      <c r="F985" s="44" t="s">
        <v>310</v>
      </c>
      <c r="G985" s="44" t="s">
        <v>529</v>
      </c>
      <c r="H985" s="44" t="s">
        <v>139</v>
      </c>
      <c r="I985" s="44" t="s">
        <v>174</v>
      </c>
      <c r="J985" s="44" t="s">
        <v>191</v>
      </c>
      <c r="K985" s="44" t="n">
        <v>3</v>
      </c>
      <c r="L985" s="46" t="n">
        <v>21.81</v>
      </c>
      <c r="M985" s="47" t="n">
        <v>4.41</v>
      </c>
      <c r="N985" s="46" t="n">
        <v>62.54</v>
      </c>
      <c r="O985" s="44" t="s">
        <v>309</v>
      </c>
      <c r="P985" s="44" t="s">
        <v>309</v>
      </c>
      <c r="Q985" s="44" t="s">
        <v>309</v>
      </c>
    </row>
    <row r="986" customFormat="false" ht="15" hidden="false" customHeight="false" outlineLevel="0" collapsed="false">
      <c r="A986" s="44" t="n">
        <v>985</v>
      </c>
      <c r="B986" s="45" t="n">
        <v>45377</v>
      </c>
      <c r="C986" s="44" t="n">
        <v>3</v>
      </c>
      <c r="D986" s="44" t="n">
        <v>2024</v>
      </c>
      <c r="E986" s="44" t="n">
        <v>26</v>
      </c>
      <c r="F986" s="44" t="s">
        <v>310</v>
      </c>
      <c r="G986" s="44" t="s">
        <v>424</v>
      </c>
      <c r="H986" s="44" t="s">
        <v>139</v>
      </c>
      <c r="I986" s="44" t="s">
        <v>172</v>
      </c>
      <c r="J986" s="44" t="s">
        <v>191</v>
      </c>
      <c r="K986" s="44" t="n">
        <v>3</v>
      </c>
      <c r="L986" s="46" t="n">
        <v>58.65</v>
      </c>
      <c r="M986" s="47" t="n">
        <v>4.39</v>
      </c>
      <c r="N986" s="46" t="n">
        <v>168.23</v>
      </c>
      <c r="O986" s="44" t="s">
        <v>309</v>
      </c>
      <c r="P986" s="44" t="s">
        <v>309</v>
      </c>
      <c r="Q986" s="44" t="s">
        <v>309</v>
      </c>
    </row>
    <row r="987" customFormat="false" ht="15" hidden="false" customHeight="false" outlineLevel="0" collapsed="false">
      <c r="A987" s="44" t="n">
        <v>986</v>
      </c>
      <c r="B987" s="45" t="n">
        <v>45461</v>
      </c>
      <c r="C987" s="44" t="n">
        <v>6</v>
      </c>
      <c r="D987" s="44" t="n">
        <v>2024</v>
      </c>
      <c r="E987" s="44" t="n">
        <v>18</v>
      </c>
      <c r="F987" s="44" t="s">
        <v>310</v>
      </c>
      <c r="G987" s="44" t="s">
        <v>486</v>
      </c>
      <c r="H987" s="44" t="s">
        <v>137</v>
      </c>
      <c r="I987" s="44" t="s">
        <v>176</v>
      </c>
      <c r="J987" s="44" t="s">
        <v>206</v>
      </c>
      <c r="K987" s="44" t="n">
        <v>1</v>
      </c>
      <c r="L987" s="46" t="n">
        <v>28.2</v>
      </c>
      <c r="M987" s="47" t="n">
        <v>0</v>
      </c>
      <c r="N987" s="46" t="n">
        <v>22.4</v>
      </c>
      <c r="O987" s="44" t="s">
        <v>308</v>
      </c>
      <c r="P987" s="44" t="s">
        <v>309</v>
      </c>
      <c r="Q987" s="44" t="s">
        <v>309</v>
      </c>
    </row>
    <row r="988" customFormat="false" ht="15" hidden="false" customHeight="false" outlineLevel="0" collapsed="false">
      <c r="A988" s="44" t="n">
        <v>987</v>
      </c>
      <c r="B988" s="45" t="n">
        <v>45465</v>
      </c>
      <c r="C988" s="44" t="n">
        <v>6</v>
      </c>
      <c r="D988" s="44" t="n">
        <v>2024</v>
      </c>
      <c r="E988" s="44" t="n">
        <v>22</v>
      </c>
      <c r="F988" s="44" t="s">
        <v>318</v>
      </c>
      <c r="G988" s="44" t="s">
        <v>508</v>
      </c>
      <c r="H988" s="44" t="s">
        <v>139</v>
      </c>
      <c r="I988" s="44" t="s">
        <v>176</v>
      </c>
      <c r="J988" s="44" t="s">
        <v>192</v>
      </c>
      <c r="K988" s="44" t="n">
        <v>4</v>
      </c>
      <c r="L988" s="46" t="n">
        <v>80.54</v>
      </c>
      <c r="M988" s="47" t="n">
        <v>5.03</v>
      </c>
      <c r="N988" s="46" t="n">
        <v>305.96</v>
      </c>
      <c r="O988" s="44" t="s">
        <v>309</v>
      </c>
      <c r="P988" s="44" t="s">
        <v>309</v>
      </c>
      <c r="Q988" s="44" t="s">
        <v>309</v>
      </c>
    </row>
    <row r="989" customFormat="false" ht="15" hidden="false" customHeight="false" outlineLevel="0" collapsed="false">
      <c r="A989" s="44" t="n">
        <v>988</v>
      </c>
      <c r="B989" s="45" t="n">
        <v>45563</v>
      </c>
      <c r="C989" s="44" t="n">
        <v>9</v>
      </c>
      <c r="D989" s="44" t="n">
        <v>2024</v>
      </c>
      <c r="E989" s="44" t="n">
        <v>28</v>
      </c>
      <c r="F989" s="44" t="s">
        <v>318</v>
      </c>
      <c r="G989" s="44" t="s">
        <v>402</v>
      </c>
      <c r="H989" s="44" t="s">
        <v>136</v>
      </c>
      <c r="I989" s="44" t="s">
        <v>172</v>
      </c>
      <c r="J989" s="44" t="s">
        <v>191</v>
      </c>
      <c r="K989" s="44" t="n">
        <v>4</v>
      </c>
      <c r="L989" s="46" t="n">
        <v>4.25</v>
      </c>
      <c r="M989" s="47" t="n">
        <v>4.31</v>
      </c>
      <c r="N989" s="46" t="n">
        <v>16.27</v>
      </c>
      <c r="O989" s="44" t="s">
        <v>309</v>
      </c>
      <c r="P989" s="44" t="s">
        <v>309</v>
      </c>
      <c r="Q989" s="44" t="s">
        <v>309</v>
      </c>
    </row>
    <row r="990" customFormat="false" ht="15" hidden="false" customHeight="false" outlineLevel="0" collapsed="false">
      <c r="A990" s="44" t="n">
        <v>989</v>
      </c>
      <c r="B990" s="45" t="n">
        <v>45367</v>
      </c>
      <c r="C990" s="44" t="n">
        <v>3</v>
      </c>
      <c r="D990" s="44" t="n">
        <v>2024</v>
      </c>
      <c r="E990" s="44" t="n">
        <v>16</v>
      </c>
      <c r="F990" s="44" t="s">
        <v>318</v>
      </c>
      <c r="G990" s="44" t="s">
        <v>355</v>
      </c>
      <c r="H990" s="44" t="s">
        <v>134</v>
      </c>
      <c r="I990" s="44" t="s">
        <v>174</v>
      </c>
      <c r="J990" s="44" t="s">
        <v>194</v>
      </c>
      <c r="K990" s="44" t="n">
        <v>8</v>
      </c>
      <c r="L990" s="46" t="n">
        <v>3</v>
      </c>
      <c r="M990" s="47" t="n">
        <v>9.71</v>
      </c>
      <c r="N990" s="46" t="n">
        <v>21.67</v>
      </c>
      <c r="O990" s="44" t="s">
        <v>309</v>
      </c>
      <c r="P990" s="44" t="s">
        <v>309</v>
      </c>
      <c r="Q990" s="44" t="s">
        <v>309</v>
      </c>
    </row>
    <row r="991" customFormat="false" ht="15" hidden="false" customHeight="false" outlineLevel="0" collapsed="false">
      <c r="A991" s="44" t="n">
        <v>990</v>
      </c>
      <c r="B991" s="45" t="n">
        <v>45417</v>
      </c>
      <c r="C991" s="44" t="n">
        <v>5</v>
      </c>
      <c r="D991" s="44" t="n">
        <v>2024</v>
      </c>
      <c r="E991" s="44" t="n">
        <v>5</v>
      </c>
      <c r="F991" s="44" t="s">
        <v>312</v>
      </c>
      <c r="G991" s="44" t="s">
        <v>355</v>
      </c>
      <c r="H991" s="44" t="s">
        <v>138</v>
      </c>
      <c r="I991" s="44" t="s">
        <v>173</v>
      </c>
      <c r="J991" s="44" t="s">
        <v>194</v>
      </c>
      <c r="K991" s="44" t="n">
        <v>1</v>
      </c>
      <c r="L991" s="46" t="n">
        <v>74.18</v>
      </c>
      <c r="M991" s="47" t="n">
        <v>0.71</v>
      </c>
      <c r="N991" s="46" t="n">
        <v>73.65</v>
      </c>
      <c r="O991" s="44" t="s">
        <v>309</v>
      </c>
      <c r="P991" s="44" t="s">
        <v>309</v>
      </c>
      <c r="Q991" s="44" t="s">
        <v>309</v>
      </c>
    </row>
    <row r="992" customFormat="false" ht="15" hidden="false" customHeight="false" outlineLevel="0" collapsed="false">
      <c r="A992" s="44" t="n">
        <v>991</v>
      </c>
      <c r="B992" s="45" t="n">
        <v>45372</v>
      </c>
      <c r="C992" s="44" t="n">
        <v>3</v>
      </c>
      <c r="D992" s="44" t="n">
        <v>2024</v>
      </c>
      <c r="E992" s="44" t="n">
        <v>21</v>
      </c>
      <c r="F992" s="44" t="s">
        <v>306</v>
      </c>
      <c r="G992" s="44" t="s">
        <v>435</v>
      </c>
      <c r="H992" s="44" t="s">
        <v>135</v>
      </c>
      <c r="I992" s="44" t="s">
        <v>174</v>
      </c>
      <c r="J992" s="44" t="s">
        <v>206</v>
      </c>
      <c r="K992" s="44" t="n">
        <v>1</v>
      </c>
      <c r="L992" s="46" t="n">
        <v>83.63</v>
      </c>
      <c r="M992" s="47" t="n">
        <v>1.63</v>
      </c>
      <c r="N992" s="46" t="n">
        <v>82.27</v>
      </c>
      <c r="O992" s="44" t="s">
        <v>309</v>
      </c>
      <c r="P992" s="44" t="s">
        <v>309</v>
      </c>
      <c r="Q992" s="44" t="s">
        <v>309</v>
      </c>
    </row>
    <row r="993" customFormat="false" ht="15" hidden="false" customHeight="false" outlineLevel="0" collapsed="false">
      <c r="A993" s="44" t="n">
        <v>992</v>
      </c>
      <c r="B993" s="45" t="n">
        <v>45550</v>
      </c>
      <c r="C993" s="44" t="n">
        <v>9</v>
      </c>
      <c r="D993" s="44" t="n">
        <v>2024</v>
      </c>
      <c r="E993" s="44" t="n">
        <v>15</v>
      </c>
      <c r="F993" s="44" t="s">
        <v>312</v>
      </c>
      <c r="G993" s="44" t="s">
        <v>513</v>
      </c>
      <c r="H993" s="44" t="s">
        <v>135</v>
      </c>
      <c r="I993" s="44" t="s">
        <v>175</v>
      </c>
      <c r="J993" s="44" t="s">
        <v>197</v>
      </c>
      <c r="K993" s="44" t="n">
        <v>3</v>
      </c>
      <c r="L993" s="46" t="n">
        <v>2.51</v>
      </c>
      <c r="M993" s="47" t="n">
        <v>2.29</v>
      </c>
      <c r="N993" s="46" t="n">
        <v>7.36</v>
      </c>
      <c r="O993" s="44" t="s">
        <v>309</v>
      </c>
      <c r="P993" s="44" t="s">
        <v>309</v>
      </c>
      <c r="Q993" s="44" t="s">
        <v>309</v>
      </c>
    </row>
    <row r="994" customFormat="false" ht="15" hidden="false" customHeight="false" outlineLevel="0" collapsed="false">
      <c r="A994" s="44" t="n">
        <v>993</v>
      </c>
      <c r="B994" s="45" t="n">
        <v>45580</v>
      </c>
      <c r="C994" s="44" t="n">
        <v>10</v>
      </c>
      <c r="D994" s="44" t="n">
        <v>2024</v>
      </c>
      <c r="E994" s="44" t="n">
        <v>15</v>
      </c>
      <c r="F994" s="44" t="s">
        <v>310</v>
      </c>
      <c r="G994" s="44" t="s">
        <v>339</v>
      </c>
      <c r="H994" s="44" t="s">
        <v>134</v>
      </c>
      <c r="I994" s="44" t="s">
        <v>172</v>
      </c>
      <c r="J994" s="44" t="s">
        <v>204</v>
      </c>
      <c r="K994" s="44" t="n">
        <v>2</v>
      </c>
      <c r="L994" s="46" t="n">
        <v>29.18</v>
      </c>
      <c r="M994" s="47" t="n">
        <v>1.94</v>
      </c>
      <c r="N994" s="46" t="n">
        <v>327.23</v>
      </c>
      <c r="O994" s="44" t="s">
        <v>308</v>
      </c>
      <c r="P994" s="44" t="s">
        <v>309</v>
      </c>
      <c r="Q994" s="44" t="s">
        <v>309</v>
      </c>
    </row>
    <row r="995" customFormat="false" ht="15" hidden="false" customHeight="false" outlineLevel="0" collapsed="false">
      <c r="A995" s="44" t="n">
        <v>994</v>
      </c>
      <c r="B995" s="45" t="n">
        <v>45504</v>
      </c>
      <c r="C995" s="44" t="n">
        <v>7</v>
      </c>
      <c r="D995" s="44" t="n">
        <v>2024</v>
      </c>
      <c r="E995" s="44" t="n">
        <v>31</v>
      </c>
      <c r="F995" s="44" t="s">
        <v>321</v>
      </c>
      <c r="G995" s="44" t="s">
        <v>472</v>
      </c>
      <c r="H995" s="44" t="s">
        <v>134</v>
      </c>
      <c r="I995" s="44" t="s">
        <v>176</v>
      </c>
      <c r="J995" s="44" t="s">
        <v>191</v>
      </c>
      <c r="K995" s="44" t="n">
        <v>3</v>
      </c>
      <c r="L995" s="46" t="n">
        <v>29.18</v>
      </c>
      <c r="M995" s="47" t="n">
        <v>5.03</v>
      </c>
      <c r="N995" s="46" t="n">
        <v>92.88</v>
      </c>
      <c r="O995" s="44" t="s">
        <v>308</v>
      </c>
      <c r="P995" s="44" t="s">
        <v>309</v>
      </c>
      <c r="Q995" s="44" t="s">
        <v>309</v>
      </c>
    </row>
    <row r="996" customFormat="false" ht="15" hidden="false" customHeight="false" outlineLevel="0" collapsed="false">
      <c r="A996" s="44" t="n">
        <v>995</v>
      </c>
      <c r="B996" s="45" t="n">
        <v>45536</v>
      </c>
      <c r="C996" s="44" t="n">
        <v>9</v>
      </c>
      <c r="D996" s="44" t="n">
        <v>2024</v>
      </c>
      <c r="E996" s="44" t="n">
        <v>1</v>
      </c>
      <c r="F996" s="44" t="s">
        <v>312</v>
      </c>
      <c r="G996" s="44" t="s">
        <v>427</v>
      </c>
      <c r="H996" s="44" t="s">
        <v>138</v>
      </c>
      <c r="I996" s="44" t="s">
        <v>176</v>
      </c>
      <c r="J996" s="44" t="s">
        <v>201</v>
      </c>
      <c r="K996" s="44" t="n">
        <v>12</v>
      </c>
      <c r="L996" s="46" t="n">
        <v>26.69</v>
      </c>
      <c r="M996" s="47" t="n">
        <v>1.905</v>
      </c>
      <c r="N996" s="46" t="n">
        <v>925.06</v>
      </c>
      <c r="O996" s="44" t="s">
        <v>308</v>
      </c>
      <c r="P996" s="44" t="s">
        <v>369</v>
      </c>
      <c r="Q996" s="44" t="s">
        <v>309</v>
      </c>
    </row>
    <row r="997" customFormat="false" ht="15" hidden="false" customHeight="false" outlineLevel="0" collapsed="false">
      <c r="A997" s="44" t="n">
        <v>996</v>
      </c>
      <c r="B997" s="45" t="n">
        <v>45453</v>
      </c>
      <c r="C997" s="44" t="n">
        <v>6</v>
      </c>
      <c r="D997" s="44" t="n">
        <v>2024</v>
      </c>
      <c r="E997" s="44" t="n">
        <v>10</v>
      </c>
      <c r="F997" s="44" t="s">
        <v>328</v>
      </c>
      <c r="G997" s="44" t="s">
        <v>521</v>
      </c>
      <c r="H997" s="44" t="s">
        <v>140</v>
      </c>
      <c r="I997" s="44" t="s">
        <v>172</v>
      </c>
      <c r="J997" s="44" t="s">
        <v>205</v>
      </c>
      <c r="K997" s="44" t="n">
        <v>1</v>
      </c>
      <c r="L997" s="46" t="n">
        <v>1.98</v>
      </c>
      <c r="M997" s="47" t="n">
        <v>0</v>
      </c>
      <c r="N997" s="46" t="n">
        <v>1.98</v>
      </c>
      <c r="O997" s="44" t="s">
        <v>309</v>
      </c>
      <c r="P997" s="44" t="s">
        <v>309</v>
      </c>
      <c r="Q997" s="44" t="s">
        <v>309</v>
      </c>
    </row>
    <row r="998" customFormat="false" ht="15" hidden="false" customHeight="false" outlineLevel="0" collapsed="false">
      <c r="A998" s="44" t="n">
        <v>997</v>
      </c>
      <c r="B998" s="45" t="n">
        <v>45295</v>
      </c>
      <c r="C998" s="44" t="n">
        <v>1</v>
      </c>
      <c r="D998" s="44" t="n">
        <v>2024</v>
      </c>
      <c r="E998" s="44" t="n">
        <v>4</v>
      </c>
      <c r="F998" s="44" t="s">
        <v>306</v>
      </c>
      <c r="G998" s="44" t="s">
        <v>353</v>
      </c>
      <c r="H998" s="44" t="s">
        <v>136</v>
      </c>
      <c r="I998" s="44" t="s">
        <v>173</v>
      </c>
      <c r="J998" s="44" t="s">
        <v>200</v>
      </c>
      <c r="K998" s="44" t="n">
        <v>2</v>
      </c>
      <c r="L998" s="46" t="n">
        <v>21.67</v>
      </c>
      <c r="M998" s="47" t="n">
        <v>1.905</v>
      </c>
      <c r="N998" s="46" t="n">
        <v>176.35</v>
      </c>
      <c r="O998" s="44" t="s">
        <v>308</v>
      </c>
      <c r="P998" s="44" t="s">
        <v>369</v>
      </c>
      <c r="Q998" s="44" t="s">
        <v>309</v>
      </c>
    </row>
    <row r="999" customFormat="false" ht="15" hidden="false" customHeight="false" outlineLevel="0" collapsed="false">
      <c r="A999" s="44" t="n">
        <v>998</v>
      </c>
      <c r="B999" s="45" t="n">
        <v>45324</v>
      </c>
      <c r="C999" s="44" t="n">
        <v>2</v>
      </c>
      <c r="D999" s="44" t="n">
        <v>2024</v>
      </c>
      <c r="E999" s="44" t="n">
        <v>2</v>
      </c>
      <c r="F999" s="44" t="s">
        <v>325</v>
      </c>
      <c r="G999" s="44" t="s">
        <v>400</v>
      </c>
      <c r="H999" s="44" t="s">
        <v>139</v>
      </c>
      <c r="I999" s="44" t="s">
        <v>175</v>
      </c>
      <c r="J999" s="44" t="s">
        <v>206</v>
      </c>
      <c r="K999" s="44" t="n">
        <v>5</v>
      </c>
      <c r="L999" s="46" t="n">
        <v>1.58</v>
      </c>
      <c r="M999" s="47" t="n">
        <v>6.27</v>
      </c>
      <c r="N999" s="46" t="n">
        <v>7.4</v>
      </c>
      <c r="O999" s="44" t="s">
        <v>309</v>
      </c>
      <c r="P999" s="44" t="s">
        <v>309</v>
      </c>
      <c r="Q999" s="44" t="s">
        <v>309</v>
      </c>
    </row>
    <row r="1000" customFormat="false" ht="15" hidden="false" customHeight="false" outlineLevel="0" collapsed="false">
      <c r="A1000" s="44" t="n">
        <v>999</v>
      </c>
      <c r="B1000" s="45" t="n">
        <v>45636</v>
      </c>
      <c r="C1000" s="44" t="n">
        <v>12</v>
      </c>
      <c r="D1000" s="44" t="n">
        <v>2024</v>
      </c>
      <c r="E1000" s="44" t="n">
        <v>10</v>
      </c>
      <c r="F1000" s="44" t="s">
        <v>310</v>
      </c>
      <c r="G1000" s="44" t="s">
        <v>445</v>
      </c>
      <c r="H1000" s="44" t="s">
        <v>140</v>
      </c>
      <c r="I1000" s="44" t="s">
        <v>172</v>
      </c>
      <c r="J1000" s="44" t="s">
        <v>194</v>
      </c>
      <c r="K1000" s="44" t="n">
        <v>3</v>
      </c>
      <c r="L1000" s="46" t="n">
        <v>35.43</v>
      </c>
      <c r="M1000" s="47" t="n">
        <v>4.98</v>
      </c>
      <c r="N1000" s="46" t="n">
        <v>101</v>
      </c>
      <c r="O1000" s="44" t="s">
        <v>309</v>
      </c>
      <c r="P1000" s="44" t="s">
        <v>309</v>
      </c>
      <c r="Q1000" s="44" t="s">
        <v>309</v>
      </c>
    </row>
    <row r="1001" customFormat="false" ht="15" hidden="false" customHeight="false" outlineLevel="0" collapsed="false">
      <c r="A1001" s="44" t="n">
        <v>1000</v>
      </c>
      <c r="B1001" s="45" t="n">
        <v>45345</v>
      </c>
      <c r="C1001" s="44" t="n">
        <v>2</v>
      </c>
      <c r="D1001" s="44" t="n">
        <v>2024</v>
      </c>
      <c r="E1001" s="44" t="n">
        <v>23</v>
      </c>
      <c r="F1001" s="44" t="s">
        <v>325</v>
      </c>
      <c r="G1001" s="44" t="s">
        <v>400</v>
      </c>
      <c r="H1001" s="44" t="s">
        <v>135</v>
      </c>
      <c r="I1001" s="44" t="s">
        <v>173</v>
      </c>
      <c r="J1001" s="44" t="s">
        <v>197</v>
      </c>
      <c r="K1001" s="44" t="n">
        <v>1</v>
      </c>
      <c r="L1001" s="46" t="n">
        <v>8.01</v>
      </c>
      <c r="M1001" s="47" t="n">
        <v>1.5</v>
      </c>
      <c r="N1001" s="46" t="n">
        <v>7.89</v>
      </c>
      <c r="O1001" s="44" t="s">
        <v>309</v>
      </c>
      <c r="P1001" s="44" t="s">
        <v>317</v>
      </c>
      <c r="Q1001" s="44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9" min="7" style="0" width="6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4" t="s">
        <v>295</v>
      </c>
      <c r="B1" s="14" t="s">
        <v>563</v>
      </c>
      <c r="C1" s="14" t="s">
        <v>564</v>
      </c>
      <c r="D1" s="14" t="s">
        <v>565</v>
      </c>
      <c r="E1" s="14" t="s">
        <v>566</v>
      </c>
      <c r="F1" s="14" t="s">
        <v>567</v>
      </c>
      <c r="G1" s="14" t="s">
        <v>568</v>
      </c>
      <c r="H1" s="14" t="s">
        <v>569</v>
      </c>
      <c r="I1" s="14" t="s">
        <v>570</v>
      </c>
      <c r="J1" s="14" t="s">
        <v>571</v>
      </c>
      <c r="K1" s="14" t="s">
        <v>572</v>
      </c>
    </row>
    <row r="2" customFormat="false" ht="15" hidden="false" customHeight="false" outlineLevel="0" collapsed="false">
      <c r="A2" s="44" t="s">
        <v>374</v>
      </c>
      <c r="B2" s="48" t="n">
        <f aca="false">COUNTIFS(v_cliente,A2)</f>
        <v>3</v>
      </c>
      <c r="C2" s="46" t="n">
        <f aca="false">SUMIFS(v_valor,v_cliente,A2)</f>
        <v>350.47</v>
      </c>
      <c r="D2" s="45" t="n">
        <f aca="false">_xlfn.MAXIFS(v_data,v_cliente,A2)</f>
        <v>45636</v>
      </c>
      <c r="E2" s="48" t="n">
        <f aca="false">rfv_ref-D2</f>
        <v>22</v>
      </c>
      <c r="F2" s="49" t="n">
        <f aca="false">C2+ROW()/10000000</f>
        <v>350.4700002</v>
      </c>
      <c r="G2" s="48" t="n">
        <f aca="false">IF(E2&lt;=QUARTILE($E$2:$E$246,1),4,IF(E2&lt;=QUARTILE($E$2:$E$246,2),3,IF(E2&lt;=QUARTILE($E$2:$E$246,3),2,1)))</f>
        <v>4</v>
      </c>
      <c r="H2" s="48" t="n">
        <f aca="false">IF(B2&gt;QUARTILE($B$2:$B$246,3),4,IF(B2&gt;QUARTILE($B$2:$B$246,2),3,IF(B2&gt;QUARTILE($B$2:$B$246,1),2,1)))</f>
        <v>1</v>
      </c>
      <c r="I2" s="48" t="n">
        <f aca="false">IF(C2&gt;QUARTILE($C$2:$C$246,3),4,IF(C2&gt;QUARTILE($C$2:$C$246,2),3,IF(C2&gt;QUARTILE($C$2:$C$246,1),2,1)))</f>
        <v>3</v>
      </c>
      <c r="J2" s="48" t="n">
        <f aca="false">G2+H2+I2</f>
        <v>8</v>
      </c>
      <c r="K2" s="44" t="str">
        <f aca="false">IF(J2&gt;=rfv_campeoes,"Campeões",IF(J2&gt;=rfv_leais,"Leais",IF(J2&gt;=rfv_atencao,"Atenção","Em risco")))</f>
        <v>Leais</v>
      </c>
    </row>
    <row r="3" customFormat="false" ht="15" hidden="false" customHeight="false" outlineLevel="0" collapsed="false">
      <c r="A3" s="44" t="s">
        <v>392</v>
      </c>
      <c r="B3" s="48" t="n">
        <f aca="false">COUNTIFS(v_cliente,A3)</f>
        <v>2</v>
      </c>
      <c r="C3" s="46" t="n">
        <f aca="false">SUMIFS(v_valor,v_cliente,A3)</f>
        <v>95.78</v>
      </c>
      <c r="D3" s="45" t="n">
        <f aca="false">_xlfn.MAXIFS(v_data,v_cliente,A3)</f>
        <v>45521</v>
      </c>
      <c r="E3" s="48" t="n">
        <f aca="false">rfv_ref-D3</f>
        <v>137</v>
      </c>
      <c r="F3" s="49" t="n">
        <f aca="false">C3+ROW()/10000000</f>
        <v>95.7800003</v>
      </c>
      <c r="G3" s="48" t="n">
        <f aca="false">IF(E3&lt;=QUARTILE($E$2:$E$246,1),4,IF(E3&lt;=QUARTILE($E$2:$E$246,2),3,IF(E3&lt;=QUARTILE($E$2:$E$246,3),2,1)))</f>
        <v>1</v>
      </c>
      <c r="H3" s="48" t="n">
        <f aca="false">IF(B3&gt;QUARTILE($B$2:$B$246,3),4,IF(B3&gt;QUARTILE($B$2:$B$246,2),3,IF(B3&gt;QUARTILE($B$2:$B$246,1),2,1)))</f>
        <v>1</v>
      </c>
      <c r="I3" s="48" t="n">
        <f aca="false">IF(C3&gt;QUARTILE($C$2:$C$246,3),4,IF(C3&gt;QUARTILE($C$2:$C$246,2),3,IF(C3&gt;QUARTILE($C$2:$C$246,1),2,1)))</f>
        <v>1</v>
      </c>
      <c r="J3" s="48" t="n">
        <f aca="false">G3+H3+I3</f>
        <v>3</v>
      </c>
      <c r="K3" s="44" t="str">
        <f aca="false">IF(J3&gt;=rfv_campeoes,"Campeões",IF(J3&gt;=rfv_leais,"Leais",IF(J3&gt;=rfv_atencao,"Atenção","Em risco")))</f>
        <v>Em risco</v>
      </c>
    </row>
    <row r="4" customFormat="false" ht="15" hidden="false" customHeight="false" outlineLevel="0" collapsed="false">
      <c r="A4" s="44" t="s">
        <v>404</v>
      </c>
      <c r="B4" s="48" t="n">
        <f aca="false">COUNTIFS(v_cliente,A4)</f>
        <v>4</v>
      </c>
      <c r="C4" s="46" t="n">
        <f aca="false">SUMIFS(v_valor,v_cliente,A4)</f>
        <v>546.36</v>
      </c>
      <c r="D4" s="45" t="n">
        <f aca="false">_xlfn.MAXIFS(v_data,v_cliente,A4)</f>
        <v>45627</v>
      </c>
      <c r="E4" s="48" t="n">
        <f aca="false">rfv_ref-D4</f>
        <v>31</v>
      </c>
      <c r="F4" s="49" t="n">
        <f aca="false">C4+ROW()/10000000</f>
        <v>546.3600004</v>
      </c>
      <c r="G4" s="48" t="n">
        <f aca="false">IF(E4&lt;=QUARTILE($E$2:$E$246,1),4,IF(E4&lt;=QUARTILE($E$2:$E$246,2),3,IF(E4&lt;=QUARTILE($E$2:$E$246,3),2,1)))</f>
        <v>3</v>
      </c>
      <c r="H4" s="48" t="n">
        <f aca="false">IF(B4&gt;QUARTILE($B$2:$B$246,3),4,IF(B4&gt;QUARTILE($B$2:$B$246,2),3,IF(B4&gt;QUARTILE($B$2:$B$246,1),2,1)))</f>
        <v>2</v>
      </c>
      <c r="I4" s="48" t="n">
        <f aca="false">IF(C4&gt;QUARTILE($C$2:$C$246,3),4,IF(C4&gt;QUARTILE($C$2:$C$246,2),3,IF(C4&gt;QUARTILE($C$2:$C$246,1),2,1)))</f>
        <v>3</v>
      </c>
      <c r="J4" s="48" t="n">
        <f aca="false">G4+H4+I4</f>
        <v>8</v>
      </c>
      <c r="K4" s="44" t="str">
        <f aca="false">IF(J4&gt;=rfv_campeoes,"Campeões",IF(J4&gt;=rfv_leais,"Leais",IF(J4&gt;=rfv_atencao,"Atenção","Em risco")))</f>
        <v>Leais</v>
      </c>
    </row>
    <row r="5" customFormat="false" ht="15" hidden="false" customHeight="false" outlineLevel="0" collapsed="false">
      <c r="A5" s="44" t="s">
        <v>405</v>
      </c>
      <c r="B5" s="48" t="n">
        <f aca="false">COUNTIFS(v_cliente,A5)</f>
        <v>6</v>
      </c>
      <c r="C5" s="46" t="n">
        <f aca="false">SUMIFS(v_valor,v_cliente,A5)</f>
        <v>1371.52</v>
      </c>
      <c r="D5" s="45" t="n">
        <f aca="false">_xlfn.MAXIFS(v_data,v_cliente,A5)</f>
        <v>45612</v>
      </c>
      <c r="E5" s="48" t="n">
        <f aca="false">rfv_ref-D5</f>
        <v>46</v>
      </c>
      <c r="F5" s="49" t="n">
        <f aca="false">C5+ROW()/10000000</f>
        <v>1371.5200005</v>
      </c>
      <c r="G5" s="48" t="n">
        <f aca="false">IF(E5&lt;=QUARTILE($E$2:$E$246,1),4,IF(E5&lt;=QUARTILE($E$2:$E$246,2),3,IF(E5&lt;=QUARTILE($E$2:$E$246,3),2,1)))</f>
        <v>3</v>
      </c>
      <c r="H5" s="48" t="n">
        <f aca="false">IF(B5&gt;QUARTILE($B$2:$B$246,3),4,IF(B5&gt;QUARTILE($B$2:$B$246,2),3,IF(B5&gt;QUARTILE($B$2:$B$246,1),2,1)))</f>
        <v>4</v>
      </c>
      <c r="I5" s="48" t="n">
        <f aca="false">IF(C5&gt;QUARTILE($C$2:$C$246,3),4,IF(C5&gt;QUARTILE($C$2:$C$246,2),3,IF(C5&gt;QUARTILE($C$2:$C$246,1),2,1)))</f>
        <v>4</v>
      </c>
      <c r="J5" s="48" t="n">
        <f aca="false">G5+H5+I5</f>
        <v>11</v>
      </c>
      <c r="K5" s="44" t="str">
        <f aca="false">IF(J5&gt;=rfv_campeoes,"Campeões",IF(J5&gt;=rfv_leais,"Leais",IF(J5&gt;=rfv_atencao,"Atenção","Em risco")))</f>
        <v>Campeões</v>
      </c>
    </row>
    <row r="6" customFormat="false" ht="15" hidden="false" customHeight="false" outlineLevel="0" collapsed="false">
      <c r="A6" s="44" t="s">
        <v>543</v>
      </c>
      <c r="B6" s="48" t="n">
        <f aca="false">COUNTIFS(v_cliente,A6)</f>
        <v>1</v>
      </c>
      <c r="C6" s="46" t="n">
        <f aca="false">SUMIFS(v_valor,v_cliente,A6)</f>
        <v>40.74</v>
      </c>
      <c r="D6" s="45" t="n">
        <f aca="false">_xlfn.MAXIFS(v_data,v_cliente,A6)</f>
        <v>45536</v>
      </c>
      <c r="E6" s="48" t="n">
        <f aca="false">rfv_ref-D6</f>
        <v>122</v>
      </c>
      <c r="F6" s="49" t="n">
        <f aca="false">C6+ROW()/10000000</f>
        <v>40.7400006</v>
      </c>
      <c r="G6" s="48" t="n">
        <f aca="false">IF(E6&lt;=QUARTILE($E$2:$E$246,1),4,IF(E6&lt;=QUARTILE($E$2:$E$246,2),3,IF(E6&lt;=QUARTILE($E$2:$E$246,3),2,1)))</f>
        <v>2</v>
      </c>
      <c r="H6" s="48" t="n">
        <f aca="false">IF(B6&gt;QUARTILE($B$2:$B$246,3),4,IF(B6&gt;QUARTILE($B$2:$B$246,2),3,IF(B6&gt;QUARTILE($B$2:$B$246,1),2,1)))</f>
        <v>1</v>
      </c>
      <c r="I6" s="48" t="n">
        <f aca="false">IF(C6&gt;QUARTILE($C$2:$C$246,3),4,IF(C6&gt;QUARTILE($C$2:$C$246,2),3,IF(C6&gt;QUARTILE($C$2:$C$246,1),2,1)))</f>
        <v>1</v>
      </c>
      <c r="J6" s="48" t="n">
        <f aca="false">G6+H6+I6</f>
        <v>4</v>
      </c>
      <c r="K6" s="44" t="str">
        <f aca="false">IF(J6&gt;=rfv_campeoes,"Campeões",IF(J6&gt;=rfv_leais,"Leais",IF(J6&gt;=rfv_atencao,"Atenção","Em risco")))</f>
        <v>Em risco</v>
      </c>
    </row>
    <row r="7" customFormat="false" ht="15" hidden="false" customHeight="false" outlineLevel="0" collapsed="false">
      <c r="A7" s="44" t="s">
        <v>544</v>
      </c>
      <c r="B7" s="48" t="n">
        <f aca="false">COUNTIFS(v_cliente,A7)</f>
        <v>2</v>
      </c>
      <c r="C7" s="46" t="n">
        <f aca="false">SUMIFS(v_valor,v_cliente,A7)</f>
        <v>82.01</v>
      </c>
      <c r="D7" s="45" t="n">
        <f aca="false">_xlfn.MAXIFS(v_data,v_cliente,A7)</f>
        <v>45452</v>
      </c>
      <c r="E7" s="48" t="n">
        <f aca="false">rfv_ref-D7</f>
        <v>206</v>
      </c>
      <c r="F7" s="49" t="n">
        <f aca="false">C7+ROW()/10000000</f>
        <v>82.0100007</v>
      </c>
      <c r="G7" s="48" t="n">
        <f aca="false">IF(E7&lt;=QUARTILE($E$2:$E$246,1),4,IF(E7&lt;=QUARTILE($E$2:$E$246,2),3,IF(E7&lt;=QUARTILE($E$2:$E$246,3),2,1)))</f>
        <v>1</v>
      </c>
      <c r="H7" s="48" t="n">
        <f aca="false">IF(B7&gt;QUARTILE($B$2:$B$246,3),4,IF(B7&gt;QUARTILE($B$2:$B$246,2),3,IF(B7&gt;QUARTILE($B$2:$B$246,1),2,1)))</f>
        <v>1</v>
      </c>
      <c r="I7" s="48" t="n">
        <f aca="false">IF(C7&gt;QUARTILE($C$2:$C$246,3),4,IF(C7&gt;QUARTILE($C$2:$C$246,2),3,IF(C7&gt;QUARTILE($C$2:$C$246,1),2,1)))</f>
        <v>1</v>
      </c>
      <c r="J7" s="48" t="n">
        <f aca="false">G7+H7+I7</f>
        <v>3</v>
      </c>
      <c r="K7" s="44" t="str">
        <f aca="false">IF(J7&gt;=rfv_campeoes,"Campeões",IF(J7&gt;=rfv_leais,"Leais",IF(J7&gt;=rfv_atencao,"Atenção","Em risco")))</f>
        <v>Em risco</v>
      </c>
    </row>
    <row r="8" customFormat="false" ht="15" hidden="false" customHeight="false" outlineLevel="0" collapsed="false">
      <c r="A8" s="44" t="s">
        <v>472</v>
      </c>
      <c r="B8" s="48" t="n">
        <f aca="false">COUNTIFS(v_cliente,A8)</f>
        <v>7</v>
      </c>
      <c r="C8" s="46" t="n">
        <f aca="false">SUMIFS(v_valor,v_cliente,A8)</f>
        <v>399.45</v>
      </c>
      <c r="D8" s="45" t="n">
        <f aca="false">_xlfn.MAXIFS(v_data,v_cliente,A8)</f>
        <v>45651</v>
      </c>
      <c r="E8" s="48" t="n">
        <f aca="false">rfv_ref-D8</f>
        <v>7</v>
      </c>
      <c r="F8" s="49" t="n">
        <f aca="false">C8+ROW()/10000000</f>
        <v>399.4500008</v>
      </c>
      <c r="G8" s="48" t="n">
        <f aca="false">IF(E8&lt;=QUARTILE($E$2:$E$246,1),4,IF(E8&lt;=QUARTILE($E$2:$E$246,2),3,IF(E8&lt;=QUARTILE($E$2:$E$246,3),2,1)))</f>
        <v>4</v>
      </c>
      <c r="H8" s="48" t="n">
        <f aca="false">IF(B8&gt;QUARTILE($B$2:$B$246,3),4,IF(B8&gt;QUARTILE($B$2:$B$246,2),3,IF(B8&gt;QUARTILE($B$2:$B$246,1),2,1)))</f>
        <v>4</v>
      </c>
      <c r="I8" s="48" t="n">
        <f aca="false">IF(C8&gt;QUARTILE($C$2:$C$246,3),4,IF(C8&gt;QUARTILE($C$2:$C$246,2),3,IF(C8&gt;QUARTILE($C$2:$C$246,1),2,1)))</f>
        <v>3</v>
      </c>
      <c r="J8" s="48" t="n">
        <f aca="false">G8+H8+I8</f>
        <v>11</v>
      </c>
      <c r="K8" s="44" t="str">
        <f aca="false">IF(J8&gt;=rfv_campeoes,"Campeões",IF(J8&gt;=rfv_leais,"Leais",IF(J8&gt;=rfv_atencao,"Atenção","Em risco")))</f>
        <v>Campeões</v>
      </c>
    </row>
    <row r="9" customFormat="false" ht="15" hidden="false" customHeight="false" outlineLevel="0" collapsed="false">
      <c r="A9" s="44" t="s">
        <v>470</v>
      </c>
      <c r="B9" s="48" t="n">
        <f aca="false">COUNTIFS(v_cliente,A9)</f>
        <v>2</v>
      </c>
      <c r="C9" s="46" t="n">
        <f aca="false">SUMIFS(v_valor,v_cliente,A9)</f>
        <v>141.85</v>
      </c>
      <c r="D9" s="45" t="n">
        <f aca="false">_xlfn.MAXIFS(v_data,v_cliente,A9)</f>
        <v>45453</v>
      </c>
      <c r="E9" s="48" t="n">
        <f aca="false">rfv_ref-D9</f>
        <v>205</v>
      </c>
      <c r="F9" s="49" t="n">
        <f aca="false">C9+ROW()/10000000</f>
        <v>141.8500009</v>
      </c>
      <c r="G9" s="48" t="n">
        <f aca="false">IF(E9&lt;=QUARTILE($E$2:$E$246,1),4,IF(E9&lt;=QUARTILE($E$2:$E$246,2),3,IF(E9&lt;=QUARTILE($E$2:$E$246,3),2,1)))</f>
        <v>1</v>
      </c>
      <c r="H9" s="48" t="n">
        <f aca="false">IF(B9&gt;QUARTILE($B$2:$B$246,3),4,IF(B9&gt;QUARTILE($B$2:$B$246,2),3,IF(B9&gt;QUARTILE($B$2:$B$246,1),2,1)))</f>
        <v>1</v>
      </c>
      <c r="I9" s="48" t="n">
        <f aca="false">IF(C9&gt;QUARTILE($C$2:$C$246,3),4,IF(C9&gt;QUARTILE($C$2:$C$246,2),3,IF(C9&gt;QUARTILE($C$2:$C$246,1),2,1)))</f>
        <v>1</v>
      </c>
      <c r="J9" s="48" t="n">
        <f aca="false">G9+H9+I9</f>
        <v>3</v>
      </c>
      <c r="K9" s="44" t="str">
        <f aca="false">IF(J9&gt;=rfv_campeoes,"Campeões",IF(J9&gt;=rfv_leais,"Leais",IF(J9&gt;=rfv_atencao,"Atenção","Em risco")))</f>
        <v>Em risco</v>
      </c>
    </row>
    <row r="10" customFormat="false" ht="15" hidden="false" customHeight="false" outlineLevel="0" collapsed="false">
      <c r="A10" s="44" t="s">
        <v>385</v>
      </c>
      <c r="B10" s="48" t="n">
        <f aca="false">COUNTIFS(v_cliente,A10)</f>
        <v>4</v>
      </c>
      <c r="C10" s="46" t="n">
        <f aca="false">SUMIFS(v_valor,v_cliente,A10)</f>
        <v>414.08</v>
      </c>
      <c r="D10" s="45" t="n">
        <f aca="false">_xlfn.MAXIFS(v_data,v_cliente,A10)</f>
        <v>45622</v>
      </c>
      <c r="E10" s="48" t="n">
        <f aca="false">rfv_ref-D10</f>
        <v>36</v>
      </c>
      <c r="F10" s="49" t="n">
        <f aca="false">C10+ROW()/10000000</f>
        <v>414.080001</v>
      </c>
      <c r="G10" s="48" t="n">
        <f aca="false">IF(E10&lt;=QUARTILE($E$2:$E$246,1),4,IF(E10&lt;=QUARTILE($E$2:$E$246,2),3,IF(E10&lt;=QUARTILE($E$2:$E$246,3),2,1)))</f>
        <v>3</v>
      </c>
      <c r="H10" s="48" t="n">
        <f aca="false">IF(B10&gt;QUARTILE($B$2:$B$246,3),4,IF(B10&gt;QUARTILE($B$2:$B$246,2),3,IF(B10&gt;QUARTILE($B$2:$B$246,1),2,1)))</f>
        <v>2</v>
      </c>
      <c r="I10" s="48" t="n">
        <f aca="false">IF(C10&gt;QUARTILE($C$2:$C$246,3),4,IF(C10&gt;QUARTILE($C$2:$C$246,2),3,IF(C10&gt;QUARTILE($C$2:$C$246,1),2,1)))</f>
        <v>3</v>
      </c>
      <c r="J10" s="48" t="n">
        <f aca="false">G10+H10+I10</f>
        <v>8</v>
      </c>
      <c r="K10" s="44" t="str">
        <f aca="false">IF(J10&gt;=rfv_campeoes,"Campeões",IF(J10&gt;=rfv_leais,"Leais",IF(J10&gt;=rfv_atencao,"Atenção","Em risco")))</f>
        <v>Leais</v>
      </c>
    </row>
    <row r="11" customFormat="false" ht="15" hidden="false" customHeight="false" outlineLevel="0" collapsed="false">
      <c r="A11" s="44" t="s">
        <v>524</v>
      </c>
      <c r="B11" s="48" t="n">
        <f aca="false">COUNTIFS(v_cliente,A11)</f>
        <v>2</v>
      </c>
      <c r="C11" s="46" t="n">
        <f aca="false">SUMIFS(v_valor,v_cliente,A11)</f>
        <v>319.69</v>
      </c>
      <c r="D11" s="45" t="n">
        <f aca="false">_xlfn.MAXIFS(v_data,v_cliente,A11)</f>
        <v>45654</v>
      </c>
      <c r="E11" s="48" t="n">
        <f aca="false">rfv_ref-D11</f>
        <v>4</v>
      </c>
      <c r="F11" s="49" t="n">
        <f aca="false">C11+ROW()/10000000</f>
        <v>319.6900011</v>
      </c>
      <c r="G11" s="48" t="n">
        <f aca="false">IF(E11&lt;=QUARTILE($E$2:$E$246,1),4,IF(E11&lt;=QUARTILE($E$2:$E$246,2),3,IF(E11&lt;=QUARTILE($E$2:$E$246,3),2,1)))</f>
        <v>4</v>
      </c>
      <c r="H11" s="48" t="n">
        <f aca="false">IF(B11&gt;QUARTILE($B$2:$B$246,3),4,IF(B11&gt;QUARTILE($B$2:$B$246,2),3,IF(B11&gt;QUARTILE($B$2:$B$246,1),2,1)))</f>
        <v>1</v>
      </c>
      <c r="I11" s="48" t="n">
        <f aca="false">IF(C11&gt;QUARTILE($C$2:$C$246,3),4,IF(C11&gt;QUARTILE($C$2:$C$246,2),3,IF(C11&gt;QUARTILE($C$2:$C$246,1),2,1)))</f>
        <v>2</v>
      </c>
      <c r="J11" s="48" t="n">
        <f aca="false">G11+H11+I11</f>
        <v>7</v>
      </c>
      <c r="K11" s="44" t="str">
        <f aca="false">IF(J11&gt;=rfv_campeoes,"Campeões",IF(J11&gt;=rfv_leais,"Leais",IF(J11&gt;=rfv_atencao,"Atenção","Em risco")))</f>
        <v>Leais</v>
      </c>
    </row>
    <row r="12" customFormat="false" ht="15" hidden="false" customHeight="false" outlineLevel="0" collapsed="false">
      <c r="A12" s="44" t="s">
        <v>393</v>
      </c>
      <c r="B12" s="48" t="n">
        <f aca="false">COUNTIFS(v_cliente,A12)</f>
        <v>6</v>
      </c>
      <c r="C12" s="46" t="n">
        <f aca="false">SUMIFS(v_valor,v_cliente,A12)</f>
        <v>356.04</v>
      </c>
      <c r="D12" s="45" t="n">
        <f aca="false">_xlfn.MAXIFS(v_data,v_cliente,A12)</f>
        <v>45588</v>
      </c>
      <c r="E12" s="48" t="n">
        <f aca="false">rfv_ref-D12</f>
        <v>70</v>
      </c>
      <c r="F12" s="49" t="n">
        <f aca="false">C12+ROW()/10000000</f>
        <v>356.0400012</v>
      </c>
      <c r="G12" s="48" t="n">
        <f aca="false">IF(E12&lt;=QUARTILE($E$2:$E$246,1),4,IF(E12&lt;=QUARTILE($E$2:$E$246,2),3,IF(E12&lt;=QUARTILE($E$2:$E$246,3),2,1)))</f>
        <v>2</v>
      </c>
      <c r="H12" s="48" t="n">
        <f aca="false">IF(B12&gt;QUARTILE($B$2:$B$246,3),4,IF(B12&gt;QUARTILE($B$2:$B$246,2),3,IF(B12&gt;QUARTILE($B$2:$B$246,1),2,1)))</f>
        <v>4</v>
      </c>
      <c r="I12" s="48" t="n">
        <f aca="false">IF(C12&gt;QUARTILE($C$2:$C$246,3),4,IF(C12&gt;QUARTILE($C$2:$C$246,2),3,IF(C12&gt;QUARTILE($C$2:$C$246,1),2,1)))</f>
        <v>3</v>
      </c>
      <c r="J12" s="48" t="n">
        <f aca="false">G12+H12+I12</f>
        <v>9</v>
      </c>
      <c r="K12" s="44" t="str">
        <f aca="false">IF(J12&gt;=rfv_campeoes,"Campeões",IF(J12&gt;=rfv_leais,"Leais",IF(J12&gt;=rfv_atencao,"Atenção","Em risco")))</f>
        <v>Leais</v>
      </c>
    </row>
    <row r="13" customFormat="false" ht="15" hidden="false" customHeight="false" outlineLevel="0" collapsed="false">
      <c r="A13" s="44" t="s">
        <v>461</v>
      </c>
      <c r="B13" s="48" t="n">
        <f aca="false">COUNTIFS(v_cliente,A13)</f>
        <v>3</v>
      </c>
      <c r="C13" s="46" t="n">
        <f aca="false">SUMIFS(v_valor,v_cliente,A13)</f>
        <v>183.28</v>
      </c>
      <c r="D13" s="45" t="n">
        <f aca="false">_xlfn.MAXIFS(v_data,v_cliente,A13)</f>
        <v>45657</v>
      </c>
      <c r="E13" s="48" t="n">
        <f aca="false">rfv_ref-D13</f>
        <v>1</v>
      </c>
      <c r="F13" s="49" t="n">
        <f aca="false">C13+ROW()/10000000</f>
        <v>183.2800013</v>
      </c>
      <c r="G13" s="48" t="n">
        <f aca="false">IF(E13&lt;=QUARTILE($E$2:$E$246,1),4,IF(E13&lt;=QUARTILE($E$2:$E$246,2),3,IF(E13&lt;=QUARTILE($E$2:$E$246,3),2,1)))</f>
        <v>4</v>
      </c>
      <c r="H13" s="48" t="n">
        <f aca="false">IF(B13&gt;QUARTILE($B$2:$B$246,3),4,IF(B13&gt;QUARTILE($B$2:$B$246,2),3,IF(B13&gt;QUARTILE($B$2:$B$246,1),2,1)))</f>
        <v>1</v>
      </c>
      <c r="I13" s="48" t="n">
        <f aca="false">IF(C13&gt;QUARTILE($C$2:$C$246,3),4,IF(C13&gt;QUARTILE($C$2:$C$246,2),3,IF(C13&gt;QUARTILE($C$2:$C$246,1),2,1)))</f>
        <v>2</v>
      </c>
      <c r="J13" s="48" t="n">
        <f aca="false">G13+H13+I13</f>
        <v>7</v>
      </c>
      <c r="K13" s="44" t="str">
        <f aca="false">IF(J13&gt;=rfv_campeoes,"Campeões",IF(J13&gt;=rfv_leais,"Leais",IF(J13&gt;=rfv_atencao,"Atenção","Em risco")))</f>
        <v>Leais</v>
      </c>
    </row>
    <row r="14" customFormat="false" ht="15" hidden="false" customHeight="false" outlineLevel="0" collapsed="false">
      <c r="A14" s="44" t="s">
        <v>448</v>
      </c>
      <c r="B14" s="48" t="n">
        <f aca="false">COUNTIFS(v_cliente,A14)</f>
        <v>6</v>
      </c>
      <c r="C14" s="46" t="n">
        <f aca="false">SUMIFS(v_valor,v_cliente,A14)</f>
        <v>989.2</v>
      </c>
      <c r="D14" s="45" t="n">
        <f aca="false">_xlfn.MAXIFS(v_data,v_cliente,A14)</f>
        <v>45622</v>
      </c>
      <c r="E14" s="48" t="n">
        <f aca="false">rfv_ref-D14</f>
        <v>36</v>
      </c>
      <c r="F14" s="49" t="n">
        <f aca="false">C14+ROW()/10000000</f>
        <v>989.2000014</v>
      </c>
      <c r="G14" s="48" t="n">
        <f aca="false">IF(E14&lt;=QUARTILE($E$2:$E$246,1),4,IF(E14&lt;=QUARTILE($E$2:$E$246,2),3,IF(E14&lt;=QUARTILE($E$2:$E$246,3),2,1)))</f>
        <v>3</v>
      </c>
      <c r="H14" s="48" t="n">
        <f aca="false">IF(B14&gt;QUARTILE($B$2:$B$246,3),4,IF(B14&gt;QUARTILE($B$2:$B$246,2),3,IF(B14&gt;QUARTILE($B$2:$B$246,1),2,1)))</f>
        <v>4</v>
      </c>
      <c r="I14" s="48" t="n">
        <f aca="false">IF(C14&gt;QUARTILE($C$2:$C$246,3),4,IF(C14&gt;QUARTILE($C$2:$C$246,2),3,IF(C14&gt;QUARTILE($C$2:$C$246,1),2,1)))</f>
        <v>4</v>
      </c>
      <c r="J14" s="48" t="n">
        <f aca="false">G14+H14+I14</f>
        <v>11</v>
      </c>
      <c r="K14" s="44" t="str">
        <f aca="false">IF(J14&gt;=rfv_campeoes,"Campeões",IF(J14&gt;=rfv_leais,"Leais",IF(J14&gt;=rfv_atencao,"Atenção","Em risco")))</f>
        <v>Campeões</v>
      </c>
    </row>
    <row r="15" customFormat="false" ht="15" hidden="false" customHeight="false" outlineLevel="0" collapsed="false">
      <c r="A15" s="44" t="s">
        <v>498</v>
      </c>
      <c r="B15" s="48" t="n">
        <f aca="false">COUNTIFS(v_cliente,A15)</f>
        <v>2</v>
      </c>
      <c r="C15" s="46" t="n">
        <f aca="false">SUMIFS(v_valor,v_cliente,A15)</f>
        <v>19.51</v>
      </c>
      <c r="D15" s="45" t="n">
        <f aca="false">_xlfn.MAXIFS(v_data,v_cliente,A15)</f>
        <v>45523</v>
      </c>
      <c r="E15" s="48" t="n">
        <f aca="false">rfv_ref-D15</f>
        <v>135</v>
      </c>
      <c r="F15" s="49" t="n">
        <f aca="false">C15+ROW()/10000000</f>
        <v>19.5100015</v>
      </c>
      <c r="G15" s="48" t="n">
        <f aca="false">IF(E15&lt;=QUARTILE($E$2:$E$246,1),4,IF(E15&lt;=QUARTILE($E$2:$E$246,2),3,IF(E15&lt;=QUARTILE($E$2:$E$246,3),2,1)))</f>
        <v>1</v>
      </c>
      <c r="H15" s="48" t="n">
        <f aca="false">IF(B15&gt;QUARTILE($B$2:$B$246,3),4,IF(B15&gt;QUARTILE($B$2:$B$246,2),3,IF(B15&gt;QUARTILE($B$2:$B$246,1),2,1)))</f>
        <v>1</v>
      </c>
      <c r="I15" s="48" t="n">
        <f aca="false">IF(C15&gt;QUARTILE($C$2:$C$246,3),4,IF(C15&gt;QUARTILE($C$2:$C$246,2),3,IF(C15&gt;QUARTILE($C$2:$C$246,1),2,1)))</f>
        <v>1</v>
      </c>
      <c r="J15" s="48" t="n">
        <f aca="false">G15+H15+I15</f>
        <v>3</v>
      </c>
      <c r="K15" s="44" t="str">
        <f aca="false">IF(J15&gt;=rfv_campeoes,"Campeões",IF(J15&gt;=rfv_leais,"Leais",IF(J15&gt;=rfv_atencao,"Atenção","Em risco")))</f>
        <v>Em risco</v>
      </c>
    </row>
    <row r="16" customFormat="false" ht="15" hidden="false" customHeight="false" outlineLevel="0" collapsed="false">
      <c r="A16" s="44" t="s">
        <v>553</v>
      </c>
      <c r="B16" s="48" t="n">
        <f aca="false">COUNTIFS(v_cliente,A16)</f>
        <v>1</v>
      </c>
      <c r="C16" s="46" t="n">
        <f aca="false">SUMIFS(v_valor,v_cliente,A16)</f>
        <v>29.41</v>
      </c>
      <c r="D16" s="45" t="n">
        <f aca="false">_xlfn.MAXIFS(v_data,v_cliente,A16)</f>
        <v>45524</v>
      </c>
      <c r="E16" s="48" t="n">
        <f aca="false">rfv_ref-D16</f>
        <v>134</v>
      </c>
      <c r="F16" s="49" t="n">
        <f aca="false">C16+ROW()/10000000</f>
        <v>29.4100016</v>
      </c>
      <c r="G16" s="48" t="n">
        <f aca="false">IF(E16&lt;=QUARTILE($E$2:$E$246,1),4,IF(E16&lt;=QUARTILE($E$2:$E$246,2),3,IF(E16&lt;=QUARTILE($E$2:$E$246,3),2,1)))</f>
        <v>1</v>
      </c>
      <c r="H16" s="48" t="n">
        <f aca="false">IF(B16&gt;QUARTILE($B$2:$B$246,3),4,IF(B16&gt;QUARTILE($B$2:$B$246,2),3,IF(B16&gt;QUARTILE($B$2:$B$246,1),2,1)))</f>
        <v>1</v>
      </c>
      <c r="I16" s="48" t="n">
        <f aca="false">IF(C16&gt;QUARTILE($C$2:$C$246,3),4,IF(C16&gt;QUARTILE($C$2:$C$246,2),3,IF(C16&gt;QUARTILE($C$2:$C$246,1),2,1)))</f>
        <v>1</v>
      </c>
      <c r="J16" s="48" t="n">
        <f aca="false">G16+H16+I16</f>
        <v>3</v>
      </c>
      <c r="K16" s="44" t="str">
        <f aca="false">IF(J16&gt;=rfv_campeoes,"Campeões",IF(J16&gt;=rfv_leais,"Leais",IF(J16&gt;=rfv_atencao,"Atenção","Em risco")))</f>
        <v>Em risco</v>
      </c>
    </row>
    <row r="17" customFormat="false" ht="15" hidden="false" customHeight="false" outlineLevel="0" collapsed="false">
      <c r="A17" s="44" t="s">
        <v>376</v>
      </c>
      <c r="B17" s="48" t="n">
        <f aca="false">COUNTIFS(v_cliente,A17)</f>
        <v>3</v>
      </c>
      <c r="C17" s="46" t="n">
        <f aca="false">SUMIFS(v_valor,v_cliente,A17)</f>
        <v>182.29</v>
      </c>
      <c r="D17" s="45" t="n">
        <f aca="false">_xlfn.MAXIFS(v_data,v_cliente,A17)</f>
        <v>45567</v>
      </c>
      <c r="E17" s="48" t="n">
        <f aca="false">rfv_ref-D17</f>
        <v>91</v>
      </c>
      <c r="F17" s="49" t="n">
        <f aca="false">C17+ROW()/10000000</f>
        <v>182.2900017</v>
      </c>
      <c r="G17" s="48" t="n">
        <f aca="false">IF(E17&lt;=QUARTILE($E$2:$E$246,1),4,IF(E17&lt;=QUARTILE($E$2:$E$246,2),3,IF(E17&lt;=QUARTILE($E$2:$E$246,3),2,1)))</f>
        <v>2</v>
      </c>
      <c r="H17" s="48" t="n">
        <f aca="false">IF(B17&gt;QUARTILE($B$2:$B$246,3),4,IF(B17&gt;QUARTILE($B$2:$B$246,2),3,IF(B17&gt;QUARTILE($B$2:$B$246,1),2,1)))</f>
        <v>1</v>
      </c>
      <c r="I17" s="48" t="n">
        <f aca="false">IF(C17&gt;QUARTILE($C$2:$C$246,3),4,IF(C17&gt;QUARTILE($C$2:$C$246,2),3,IF(C17&gt;QUARTILE($C$2:$C$246,1),2,1)))</f>
        <v>2</v>
      </c>
      <c r="J17" s="48" t="n">
        <f aca="false">G17+H17+I17</f>
        <v>5</v>
      </c>
      <c r="K17" s="44" t="str">
        <f aca="false">IF(J17&gt;=rfv_campeoes,"Campeões",IF(J17&gt;=rfv_leais,"Leais",IF(J17&gt;=rfv_atencao,"Atenção","Em risco")))</f>
        <v>Atenção</v>
      </c>
    </row>
    <row r="18" customFormat="false" ht="15" hidden="false" customHeight="false" outlineLevel="0" collapsed="false">
      <c r="A18" s="44" t="s">
        <v>546</v>
      </c>
      <c r="B18" s="48" t="n">
        <f aca="false">COUNTIFS(v_cliente,A18)</f>
        <v>3</v>
      </c>
      <c r="C18" s="46" t="n">
        <f aca="false">SUMIFS(v_valor,v_cliente,A18)</f>
        <v>141.09</v>
      </c>
      <c r="D18" s="45" t="n">
        <f aca="false">_xlfn.MAXIFS(v_data,v_cliente,A18)</f>
        <v>45651</v>
      </c>
      <c r="E18" s="48" t="n">
        <f aca="false">rfv_ref-D18</f>
        <v>7</v>
      </c>
      <c r="F18" s="49" t="n">
        <f aca="false">C18+ROW()/10000000</f>
        <v>141.0900018</v>
      </c>
      <c r="G18" s="48" t="n">
        <f aca="false">IF(E18&lt;=QUARTILE($E$2:$E$246,1),4,IF(E18&lt;=QUARTILE($E$2:$E$246,2),3,IF(E18&lt;=QUARTILE($E$2:$E$246,3),2,1)))</f>
        <v>4</v>
      </c>
      <c r="H18" s="48" t="n">
        <f aca="false">IF(B18&gt;QUARTILE($B$2:$B$246,3),4,IF(B18&gt;QUARTILE($B$2:$B$246,2),3,IF(B18&gt;QUARTILE($B$2:$B$246,1),2,1)))</f>
        <v>1</v>
      </c>
      <c r="I18" s="48" t="n">
        <f aca="false">IF(C18&gt;QUARTILE($C$2:$C$246,3),4,IF(C18&gt;QUARTILE($C$2:$C$246,2),3,IF(C18&gt;QUARTILE($C$2:$C$246,1),2,1)))</f>
        <v>1</v>
      </c>
      <c r="J18" s="48" t="n">
        <f aca="false">G18+H18+I18</f>
        <v>6</v>
      </c>
      <c r="K18" s="44" t="str">
        <f aca="false">IF(J18&gt;=rfv_campeoes,"Campeões",IF(J18&gt;=rfv_leais,"Leais",IF(J18&gt;=rfv_atencao,"Atenção","Em risco")))</f>
        <v>Atenção</v>
      </c>
    </row>
    <row r="19" customFormat="false" ht="15" hidden="false" customHeight="false" outlineLevel="0" collapsed="false">
      <c r="A19" s="44" t="s">
        <v>348</v>
      </c>
      <c r="B19" s="48" t="n">
        <f aca="false">COUNTIFS(v_cliente,A19)</f>
        <v>9</v>
      </c>
      <c r="C19" s="46" t="n">
        <f aca="false">SUMIFS(v_valor,v_cliente,A19)</f>
        <v>1055.78</v>
      </c>
      <c r="D19" s="45" t="n">
        <f aca="false">_xlfn.MAXIFS(v_data,v_cliente,A19)</f>
        <v>45626</v>
      </c>
      <c r="E19" s="48" t="n">
        <f aca="false">rfv_ref-D19</f>
        <v>32</v>
      </c>
      <c r="F19" s="49" t="n">
        <f aca="false">C19+ROW()/10000000</f>
        <v>1055.7800019</v>
      </c>
      <c r="G19" s="48" t="n">
        <f aca="false">IF(E19&lt;=QUARTILE($E$2:$E$246,1),4,IF(E19&lt;=QUARTILE($E$2:$E$246,2),3,IF(E19&lt;=QUARTILE($E$2:$E$246,3),2,1)))</f>
        <v>3</v>
      </c>
      <c r="H19" s="48" t="n">
        <f aca="false">IF(B19&gt;QUARTILE($B$2:$B$246,3),4,IF(B19&gt;QUARTILE($B$2:$B$246,2),3,IF(B19&gt;QUARTILE($B$2:$B$246,1),2,1)))</f>
        <v>4</v>
      </c>
      <c r="I19" s="48" t="n">
        <f aca="false">IF(C19&gt;QUARTILE($C$2:$C$246,3),4,IF(C19&gt;QUARTILE($C$2:$C$246,2),3,IF(C19&gt;QUARTILE($C$2:$C$246,1),2,1)))</f>
        <v>4</v>
      </c>
      <c r="J19" s="48" t="n">
        <f aca="false">G19+H19+I19</f>
        <v>11</v>
      </c>
      <c r="K19" s="44" t="str">
        <f aca="false">IF(J19&gt;=rfv_campeoes,"Campeões",IF(J19&gt;=rfv_leais,"Leais",IF(J19&gt;=rfv_atencao,"Atenção","Em risco")))</f>
        <v>Campeões</v>
      </c>
    </row>
    <row r="20" customFormat="false" ht="15" hidden="false" customHeight="false" outlineLevel="0" collapsed="false">
      <c r="A20" s="44" t="s">
        <v>487</v>
      </c>
      <c r="B20" s="48" t="n">
        <f aca="false">COUNTIFS(v_cliente,A20)</f>
        <v>3</v>
      </c>
      <c r="C20" s="46" t="n">
        <f aca="false">SUMIFS(v_valor,v_cliente,A20)</f>
        <v>99.24</v>
      </c>
      <c r="D20" s="45" t="n">
        <f aca="false">_xlfn.MAXIFS(v_data,v_cliente,A20)</f>
        <v>45593</v>
      </c>
      <c r="E20" s="48" t="n">
        <f aca="false">rfv_ref-D20</f>
        <v>65</v>
      </c>
      <c r="F20" s="49" t="n">
        <f aca="false">C20+ROW()/10000000</f>
        <v>99.240002</v>
      </c>
      <c r="G20" s="48" t="n">
        <f aca="false">IF(E20&lt;=QUARTILE($E$2:$E$246,1),4,IF(E20&lt;=QUARTILE($E$2:$E$246,2),3,IF(E20&lt;=QUARTILE($E$2:$E$246,3),2,1)))</f>
        <v>2</v>
      </c>
      <c r="H20" s="48" t="n">
        <f aca="false">IF(B20&gt;QUARTILE($B$2:$B$246,3),4,IF(B20&gt;QUARTILE($B$2:$B$246,2),3,IF(B20&gt;QUARTILE($B$2:$B$246,1),2,1)))</f>
        <v>1</v>
      </c>
      <c r="I20" s="48" t="n">
        <f aca="false">IF(C20&gt;QUARTILE($C$2:$C$246,3),4,IF(C20&gt;QUARTILE($C$2:$C$246,2),3,IF(C20&gt;QUARTILE($C$2:$C$246,1),2,1)))</f>
        <v>1</v>
      </c>
      <c r="J20" s="48" t="n">
        <f aca="false">G20+H20+I20</f>
        <v>4</v>
      </c>
      <c r="K20" s="44" t="str">
        <f aca="false">IF(J20&gt;=rfv_campeoes,"Campeões",IF(J20&gt;=rfv_leais,"Leais",IF(J20&gt;=rfv_atencao,"Atenção","Em risco")))</f>
        <v>Em risco</v>
      </c>
    </row>
    <row r="21" customFormat="false" ht="15" hidden="false" customHeight="false" outlineLevel="0" collapsed="false">
      <c r="A21" s="44" t="s">
        <v>539</v>
      </c>
      <c r="B21" s="48" t="n">
        <f aca="false">COUNTIFS(v_cliente,A21)</f>
        <v>3</v>
      </c>
      <c r="C21" s="46" t="n">
        <f aca="false">SUMIFS(v_valor,v_cliente,A21)</f>
        <v>485.18</v>
      </c>
      <c r="D21" s="45" t="n">
        <f aca="false">_xlfn.MAXIFS(v_data,v_cliente,A21)</f>
        <v>45565</v>
      </c>
      <c r="E21" s="48" t="n">
        <f aca="false">rfv_ref-D21</f>
        <v>93</v>
      </c>
      <c r="F21" s="49" t="n">
        <f aca="false">C21+ROW()/10000000</f>
        <v>485.1800021</v>
      </c>
      <c r="G21" s="48" t="n">
        <f aca="false">IF(E21&lt;=QUARTILE($E$2:$E$246,1),4,IF(E21&lt;=QUARTILE($E$2:$E$246,2),3,IF(E21&lt;=QUARTILE($E$2:$E$246,3),2,1)))</f>
        <v>2</v>
      </c>
      <c r="H21" s="48" t="n">
        <f aca="false">IF(B21&gt;QUARTILE($B$2:$B$246,3),4,IF(B21&gt;QUARTILE($B$2:$B$246,2),3,IF(B21&gt;QUARTILE($B$2:$B$246,1),2,1)))</f>
        <v>1</v>
      </c>
      <c r="I21" s="48" t="n">
        <f aca="false">IF(C21&gt;QUARTILE($C$2:$C$246,3),4,IF(C21&gt;QUARTILE($C$2:$C$246,2),3,IF(C21&gt;QUARTILE($C$2:$C$246,1),2,1)))</f>
        <v>3</v>
      </c>
      <c r="J21" s="48" t="n">
        <f aca="false">G21+H21+I21</f>
        <v>6</v>
      </c>
      <c r="K21" s="44" t="str">
        <f aca="false">IF(J21&gt;=rfv_campeoes,"Campeões",IF(J21&gt;=rfv_leais,"Leais",IF(J21&gt;=rfv_atencao,"Atenção","Em risco")))</f>
        <v>Atenção</v>
      </c>
    </row>
    <row r="22" customFormat="false" ht="15" hidden="false" customHeight="false" outlineLevel="0" collapsed="false">
      <c r="A22" s="44" t="s">
        <v>410</v>
      </c>
      <c r="B22" s="48" t="n">
        <f aca="false">COUNTIFS(v_cliente,A22)</f>
        <v>5</v>
      </c>
      <c r="C22" s="46" t="n">
        <f aca="false">SUMIFS(v_valor,v_cliente,A22)</f>
        <v>1511.7</v>
      </c>
      <c r="D22" s="45" t="n">
        <f aca="false">_xlfn.MAXIFS(v_data,v_cliente,A22)</f>
        <v>45561</v>
      </c>
      <c r="E22" s="48" t="n">
        <f aca="false">rfv_ref-D22</f>
        <v>97</v>
      </c>
      <c r="F22" s="49" t="n">
        <f aca="false">C22+ROW()/10000000</f>
        <v>1511.7000022</v>
      </c>
      <c r="G22" s="48" t="n">
        <f aca="false">IF(E22&lt;=QUARTILE($E$2:$E$246,1),4,IF(E22&lt;=QUARTILE($E$2:$E$246,2),3,IF(E22&lt;=QUARTILE($E$2:$E$246,3),2,1)))</f>
        <v>2</v>
      </c>
      <c r="H22" s="48" t="n">
        <f aca="false">IF(B22&gt;QUARTILE($B$2:$B$246,3),4,IF(B22&gt;QUARTILE($B$2:$B$246,2),3,IF(B22&gt;QUARTILE($B$2:$B$246,1),2,1)))</f>
        <v>3</v>
      </c>
      <c r="I22" s="48" t="n">
        <f aca="false">IF(C22&gt;QUARTILE($C$2:$C$246,3),4,IF(C22&gt;QUARTILE($C$2:$C$246,2),3,IF(C22&gt;QUARTILE($C$2:$C$246,1),2,1)))</f>
        <v>4</v>
      </c>
      <c r="J22" s="48" t="n">
        <f aca="false">G22+H22+I22</f>
        <v>9</v>
      </c>
      <c r="K22" s="44" t="str">
        <f aca="false">IF(J22&gt;=rfv_campeoes,"Campeões",IF(J22&gt;=rfv_leais,"Leais",IF(J22&gt;=rfv_atencao,"Atenção","Em risco")))</f>
        <v>Leais</v>
      </c>
    </row>
    <row r="23" customFormat="false" ht="15" hidden="false" customHeight="false" outlineLevel="0" collapsed="false">
      <c r="A23" s="44" t="s">
        <v>442</v>
      </c>
      <c r="B23" s="48" t="n">
        <f aca="false">COUNTIFS(v_cliente,A23)</f>
        <v>4</v>
      </c>
      <c r="C23" s="46" t="n">
        <f aca="false">SUMIFS(v_valor,v_cliente,A23)</f>
        <v>160.84</v>
      </c>
      <c r="D23" s="45" t="n">
        <f aca="false">_xlfn.MAXIFS(v_data,v_cliente,A23)</f>
        <v>45593</v>
      </c>
      <c r="E23" s="48" t="n">
        <f aca="false">rfv_ref-D23</f>
        <v>65</v>
      </c>
      <c r="F23" s="49" t="n">
        <f aca="false">C23+ROW()/10000000</f>
        <v>160.8400023</v>
      </c>
      <c r="G23" s="48" t="n">
        <f aca="false">IF(E23&lt;=QUARTILE($E$2:$E$246,1),4,IF(E23&lt;=QUARTILE($E$2:$E$246,2),3,IF(E23&lt;=QUARTILE($E$2:$E$246,3),2,1)))</f>
        <v>2</v>
      </c>
      <c r="H23" s="48" t="n">
        <f aca="false">IF(B23&gt;QUARTILE($B$2:$B$246,3),4,IF(B23&gt;QUARTILE($B$2:$B$246,2),3,IF(B23&gt;QUARTILE($B$2:$B$246,1),2,1)))</f>
        <v>2</v>
      </c>
      <c r="I23" s="48" t="n">
        <f aca="false">IF(C23&gt;QUARTILE($C$2:$C$246,3),4,IF(C23&gt;QUARTILE($C$2:$C$246,2),3,IF(C23&gt;QUARTILE($C$2:$C$246,1),2,1)))</f>
        <v>2</v>
      </c>
      <c r="J23" s="48" t="n">
        <f aca="false">G23+H23+I23</f>
        <v>6</v>
      </c>
      <c r="K23" s="44" t="str">
        <f aca="false">IF(J23&gt;=rfv_campeoes,"Campeões",IF(J23&gt;=rfv_leais,"Leais",IF(J23&gt;=rfv_atencao,"Atenção","Em risco")))</f>
        <v>Atenção</v>
      </c>
    </row>
    <row r="24" customFormat="false" ht="15" hidden="false" customHeight="false" outlineLevel="0" collapsed="false">
      <c r="A24" s="44" t="s">
        <v>499</v>
      </c>
      <c r="B24" s="48" t="n">
        <f aca="false">COUNTIFS(v_cliente,A24)</f>
        <v>2</v>
      </c>
      <c r="C24" s="46" t="n">
        <f aca="false">SUMIFS(v_valor,v_cliente,A24)</f>
        <v>65.77</v>
      </c>
      <c r="D24" s="45" t="n">
        <f aca="false">_xlfn.MAXIFS(v_data,v_cliente,A24)</f>
        <v>45439</v>
      </c>
      <c r="E24" s="48" t="n">
        <f aca="false">rfv_ref-D24</f>
        <v>219</v>
      </c>
      <c r="F24" s="49" t="n">
        <f aca="false">C24+ROW()/10000000</f>
        <v>65.7700024</v>
      </c>
      <c r="G24" s="48" t="n">
        <f aca="false">IF(E24&lt;=QUARTILE($E$2:$E$246,1),4,IF(E24&lt;=QUARTILE($E$2:$E$246,2),3,IF(E24&lt;=QUARTILE($E$2:$E$246,3),2,1)))</f>
        <v>1</v>
      </c>
      <c r="H24" s="48" t="n">
        <f aca="false">IF(B24&gt;QUARTILE($B$2:$B$246,3),4,IF(B24&gt;QUARTILE($B$2:$B$246,2),3,IF(B24&gt;QUARTILE($B$2:$B$246,1),2,1)))</f>
        <v>1</v>
      </c>
      <c r="I24" s="48" t="n">
        <f aca="false">IF(C24&gt;QUARTILE($C$2:$C$246,3),4,IF(C24&gt;QUARTILE($C$2:$C$246,2),3,IF(C24&gt;QUARTILE($C$2:$C$246,1),2,1)))</f>
        <v>1</v>
      </c>
      <c r="J24" s="48" t="n">
        <f aca="false">G24+H24+I24</f>
        <v>3</v>
      </c>
      <c r="K24" s="44" t="str">
        <f aca="false">IF(J24&gt;=rfv_campeoes,"Campeões",IF(J24&gt;=rfv_leais,"Leais",IF(J24&gt;=rfv_atencao,"Atenção","Em risco")))</f>
        <v>Em risco</v>
      </c>
    </row>
    <row r="25" customFormat="false" ht="15" hidden="false" customHeight="false" outlineLevel="0" collapsed="false">
      <c r="A25" s="44" t="s">
        <v>455</v>
      </c>
      <c r="B25" s="48" t="n">
        <f aca="false">COUNTIFS(v_cliente,A25)</f>
        <v>7</v>
      </c>
      <c r="C25" s="46" t="n">
        <f aca="false">SUMIFS(v_valor,v_cliente,A25)</f>
        <v>411.01</v>
      </c>
      <c r="D25" s="45" t="n">
        <f aca="false">_xlfn.MAXIFS(v_data,v_cliente,A25)</f>
        <v>45506</v>
      </c>
      <c r="E25" s="48" t="n">
        <f aca="false">rfv_ref-D25</f>
        <v>152</v>
      </c>
      <c r="F25" s="49" t="n">
        <f aca="false">C25+ROW()/10000000</f>
        <v>411.0100025</v>
      </c>
      <c r="G25" s="48" t="n">
        <f aca="false">IF(E25&lt;=QUARTILE($E$2:$E$246,1),4,IF(E25&lt;=QUARTILE($E$2:$E$246,2),3,IF(E25&lt;=QUARTILE($E$2:$E$246,3),2,1)))</f>
        <v>1</v>
      </c>
      <c r="H25" s="48" t="n">
        <f aca="false">IF(B25&gt;QUARTILE($B$2:$B$246,3),4,IF(B25&gt;QUARTILE($B$2:$B$246,2),3,IF(B25&gt;QUARTILE($B$2:$B$246,1),2,1)))</f>
        <v>4</v>
      </c>
      <c r="I25" s="48" t="n">
        <f aca="false">IF(C25&gt;QUARTILE($C$2:$C$246,3),4,IF(C25&gt;QUARTILE($C$2:$C$246,2),3,IF(C25&gt;QUARTILE($C$2:$C$246,1),2,1)))</f>
        <v>3</v>
      </c>
      <c r="J25" s="48" t="n">
        <f aca="false">G25+H25+I25</f>
        <v>8</v>
      </c>
      <c r="K25" s="44" t="str">
        <f aca="false">IF(J25&gt;=rfv_campeoes,"Campeões",IF(J25&gt;=rfv_leais,"Leais",IF(J25&gt;=rfv_atencao,"Atenção","Em risco")))</f>
        <v>Leais</v>
      </c>
    </row>
    <row r="26" customFormat="false" ht="15" hidden="false" customHeight="false" outlineLevel="0" collapsed="false">
      <c r="A26" s="44" t="s">
        <v>534</v>
      </c>
      <c r="B26" s="48" t="n">
        <f aca="false">COUNTIFS(v_cliente,A26)</f>
        <v>4</v>
      </c>
      <c r="C26" s="46" t="n">
        <f aca="false">SUMIFS(v_valor,v_cliente,A26)</f>
        <v>458.61</v>
      </c>
      <c r="D26" s="45" t="n">
        <f aca="false">_xlfn.MAXIFS(v_data,v_cliente,A26)</f>
        <v>45611</v>
      </c>
      <c r="E26" s="48" t="n">
        <f aca="false">rfv_ref-D26</f>
        <v>47</v>
      </c>
      <c r="F26" s="49" t="n">
        <f aca="false">C26+ROW()/10000000</f>
        <v>458.6100026</v>
      </c>
      <c r="G26" s="48" t="n">
        <f aca="false">IF(E26&lt;=QUARTILE($E$2:$E$246,1),4,IF(E26&lt;=QUARTILE($E$2:$E$246,2),3,IF(E26&lt;=QUARTILE($E$2:$E$246,3),2,1)))</f>
        <v>3</v>
      </c>
      <c r="H26" s="48" t="n">
        <f aca="false">IF(B26&gt;QUARTILE($B$2:$B$246,3),4,IF(B26&gt;QUARTILE($B$2:$B$246,2),3,IF(B26&gt;QUARTILE($B$2:$B$246,1),2,1)))</f>
        <v>2</v>
      </c>
      <c r="I26" s="48" t="n">
        <f aca="false">IF(C26&gt;QUARTILE($C$2:$C$246,3),4,IF(C26&gt;QUARTILE($C$2:$C$246,2),3,IF(C26&gt;QUARTILE($C$2:$C$246,1),2,1)))</f>
        <v>3</v>
      </c>
      <c r="J26" s="48" t="n">
        <f aca="false">G26+H26+I26</f>
        <v>8</v>
      </c>
      <c r="K26" s="44" t="str">
        <f aca="false">IF(J26&gt;=rfv_campeoes,"Campeões",IF(J26&gt;=rfv_leais,"Leais",IF(J26&gt;=rfv_atencao,"Atenção","Em risco")))</f>
        <v>Leais</v>
      </c>
    </row>
    <row r="27" customFormat="false" ht="15" hidden="false" customHeight="false" outlineLevel="0" collapsed="false">
      <c r="A27" s="44" t="s">
        <v>485</v>
      </c>
      <c r="B27" s="48" t="n">
        <f aca="false">COUNTIFS(v_cliente,A27)</f>
        <v>2</v>
      </c>
      <c r="C27" s="46" t="n">
        <f aca="false">SUMIFS(v_valor,v_cliente,A27)</f>
        <v>397.7</v>
      </c>
      <c r="D27" s="45" t="n">
        <f aca="false">_xlfn.MAXIFS(v_data,v_cliente,A27)</f>
        <v>45621</v>
      </c>
      <c r="E27" s="48" t="n">
        <f aca="false">rfv_ref-D27</f>
        <v>37</v>
      </c>
      <c r="F27" s="49" t="n">
        <f aca="false">C27+ROW()/10000000</f>
        <v>397.7000027</v>
      </c>
      <c r="G27" s="48" t="n">
        <f aca="false">IF(E27&lt;=QUARTILE($E$2:$E$246,1),4,IF(E27&lt;=QUARTILE($E$2:$E$246,2),3,IF(E27&lt;=QUARTILE($E$2:$E$246,3),2,1)))</f>
        <v>3</v>
      </c>
      <c r="H27" s="48" t="n">
        <f aca="false">IF(B27&gt;QUARTILE($B$2:$B$246,3),4,IF(B27&gt;QUARTILE($B$2:$B$246,2),3,IF(B27&gt;QUARTILE($B$2:$B$246,1),2,1)))</f>
        <v>1</v>
      </c>
      <c r="I27" s="48" t="n">
        <f aca="false">IF(C27&gt;QUARTILE($C$2:$C$246,3),4,IF(C27&gt;QUARTILE($C$2:$C$246,2),3,IF(C27&gt;QUARTILE($C$2:$C$246,1),2,1)))</f>
        <v>3</v>
      </c>
      <c r="J27" s="48" t="n">
        <f aca="false">G27+H27+I27</f>
        <v>7</v>
      </c>
      <c r="K27" s="44" t="str">
        <f aca="false">IF(J27&gt;=rfv_campeoes,"Campeões",IF(J27&gt;=rfv_leais,"Leais",IF(J27&gt;=rfv_atencao,"Atenção","Em risco")))</f>
        <v>Leais</v>
      </c>
    </row>
    <row r="28" customFormat="false" ht="15" hidden="false" customHeight="false" outlineLevel="0" collapsed="false">
      <c r="A28" s="44" t="s">
        <v>479</v>
      </c>
      <c r="B28" s="48" t="n">
        <f aca="false">COUNTIFS(v_cliente,A28)</f>
        <v>5</v>
      </c>
      <c r="C28" s="46" t="n">
        <f aca="false">SUMIFS(v_valor,v_cliente,A28)</f>
        <v>97.84</v>
      </c>
      <c r="D28" s="45" t="n">
        <f aca="false">_xlfn.MAXIFS(v_data,v_cliente,A28)</f>
        <v>45515</v>
      </c>
      <c r="E28" s="48" t="n">
        <f aca="false">rfv_ref-D28</f>
        <v>143</v>
      </c>
      <c r="F28" s="49" t="n">
        <f aca="false">C28+ROW()/10000000</f>
        <v>97.8400028</v>
      </c>
      <c r="G28" s="48" t="n">
        <f aca="false">IF(E28&lt;=QUARTILE($E$2:$E$246,1),4,IF(E28&lt;=QUARTILE($E$2:$E$246,2),3,IF(E28&lt;=QUARTILE($E$2:$E$246,3),2,1)))</f>
        <v>1</v>
      </c>
      <c r="H28" s="48" t="n">
        <f aca="false">IF(B28&gt;QUARTILE($B$2:$B$246,3),4,IF(B28&gt;QUARTILE($B$2:$B$246,2),3,IF(B28&gt;QUARTILE($B$2:$B$246,1),2,1)))</f>
        <v>3</v>
      </c>
      <c r="I28" s="48" t="n">
        <f aca="false">IF(C28&gt;QUARTILE($C$2:$C$246,3),4,IF(C28&gt;QUARTILE($C$2:$C$246,2),3,IF(C28&gt;QUARTILE($C$2:$C$246,1),2,1)))</f>
        <v>1</v>
      </c>
      <c r="J28" s="48" t="n">
        <f aca="false">G28+H28+I28</f>
        <v>5</v>
      </c>
      <c r="K28" s="44" t="str">
        <f aca="false">IF(J28&gt;=rfv_campeoes,"Campeões",IF(J28&gt;=rfv_leais,"Leais",IF(J28&gt;=rfv_atencao,"Atenção","Em risco")))</f>
        <v>Atenção</v>
      </c>
    </row>
    <row r="29" customFormat="false" ht="15" hidden="false" customHeight="false" outlineLevel="0" collapsed="false">
      <c r="A29" s="44" t="s">
        <v>363</v>
      </c>
      <c r="B29" s="48" t="n">
        <f aca="false">COUNTIFS(v_cliente,A29)</f>
        <v>3</v>
      </c>
      <c r="C29" s="46" t="n">
        <f aca="false">SUMIFS(v_valor,v_cliente,A29)</f>
        <v>99.31</v>
      </c>
      <c r="D29" s="45" t="n">
        <f aca="false">_xlfn.MAXIFS(v_data,v_cliente,A29)</f>
        <v>45597</v>
      </c>
      <c r="E29" s="48" t="n">
        <f aca="false">rfv_ref-D29</f>
        <v>61</v>
      </c>
      <c r="F29" s="49" t="n">
        <f aca="false">C29+ROW()/10000000</f>
        <v>99.3100029</v>
      </c>
      <c r="G29" s="48" t="n">
        <f aca="false">IF(E29&lt;=QUARTILE($E$2:$E$246,1),4,IF(E29&lt;=QUARTILE($E$2:$E$246,2),3,IF(E29&lt;=QUARTILE($E$2:$E$246,3),2,1)))</f>
        <v>3</v>
      </c>
      <c r="H29" s="48" t="n">
        <f aca="false">IF(B29&gt;QUARTILE($B$2:$B$246,3),4,IF(B29&gt;QUARTILE($B$2:$B$246,2),3,IF(B29&gt;QUARTILE($B$2:$B$246,1),2,1)))</f>
        <v>1</v>
      </c>
      <c r="I29" s="48" t="n">
        <f aca="false">IF(C29&gt;QUARTILE($C$2:$C$246,3),4,IF(C29&gt;QUARTILE($C$2:$C$246,2),3,IF(C29&gt;QUARTILE($C$2:$C$246,1),2,1)))</f>
        <v>1</v>
      </c>
      <c r="J29" s="48" t="n">
        <f aca="false">G29+H29+I29</f>
        <v>5</v>
      </c>
      <c r="K29" s="44" t="str">
        <f aca="false">IF(J29&gt;=rfv_campeoes,"Campeões",IF(J29&gt;=rfv_leais,"Leais",IF(J29&gt;=rfv_atencao,"Atenção","Em risco")))</f>
        <v>Atenção</v>
      </c>
    </row>
    <row r="30" customFormat="false" ht="15" hidden="false" customHeight="false" outlineLevel="0" collapsed="false">
      <c r="A30" s="44" t="s">
        <v>537</v>
      </c>
      <c r="B30" s="48" t="n">
        <f aca="false">COUNTIFS(v_cliente,A30)</f>
        <v>1</v>
      </c>
      <c r="C30" s="46" t="n">
        <f aca="false">SUMIFS(v_valor,v_cliente,A30)</f>
        <v>75.29</v>
      </c>
      <c r="D30" s="45" t="n">
        <f aca="false">_xlfn.MAXIFS(v_data,v_cliente,A30)</f>
        <v>45547</v>
      </c>
      <c r="E30" s="48" t="n">
        <f aca="false">rfv_ref-D30</f>
        <v>111</v>
      </c>
      <c r="F30" s="49" t="n">
        <f aca="false">C30+ROW()/10000000</f>
        <v>75.290003</v>
      </c>
      <c r="G30" s="48" t="n">
        <f aca="false">IF(E30&lt;=QUARTILE($E$2:$E$246,1),4,IF(E30&lt;=QUARTILE($E$2:$E$246,2),3,IF(E30&lt;=QUARTILE($E$2:$E$246,3),2,1)))</f>
        <v>2</v>
      </c>
      <c r="H30" s="48" t="n">
        <f aca="false">IF(B30&gt;QUARTILE($B$2:$B$246,3),4,IF(B30&gt;QUARTILE($B$2:$B$246,2),3,IF(B30&gt;QUARTILE($B$2:$B$246,1),2,1)))</f>
        <v>1</v>
      </c>
      <c r="I30" s="48" t="n">
        <f aca="false">IF(C30&gt;QUARTILE($C$2:$C$246,3),4,IF(C30&gt;QUARTILE($C$2:$C$246,2),3,IF(C30&gt;QUARTILE($C$2:$C$246,1),2,1)))</f>
        <v>1</v>
      </c>
      <c r="J30" s="48" t="n">
        <f aca="false">G30+H30+I30</f>
        <v>4</v>
      </c>
      <c r="K30" s="44" t="str">
        <f aca="false">IF(J30&gt;=rfv_campeoes,"Campeões",IF(J30&gt;=rfv_leais,"Leais",IF(J30&gt;=rfv_atencao,"Atenção","Em risco")))</f>
        <v>Em risco</v>
      </c>
    </row>
    <row r="31" customFormat="false" ht="15" hidden="false" customHeight="false" outlineLevel="0" collapsed="false">
      <c r="A31" s="44" t="s">
        <v>523</v>
      </c>
      <c r="B31" s="48" t="n">
        <f aca="false">COUNTIFS(v_cliente,A31)</f>
        <v>3</v>
      </c>
      <c r="C31" s="46" t="n">
        <f aca="false">SUMIFS(v_valor,v_cliente,A31)</f>
        <v>359</v>
      </c>
      <c r="D31" s="45" t="n">
        <f aca="false">_xlfn.MAXIFS(v_data,v_cliente,A31)</f>
        <v>45588</v>
      </c>
      <c r="E31" s="48" t="n">
        <f aca="false">rfv_ref-D31</f>
        <v>70</v>
      </c>
      <c r="F31" s="49" t="n">
        <f aca="false">C31+ROW()/10000000</f>
        <v>359.0000031</v>
      </c>
      <c r="G31" s="48" t="n">
        <f aca="false">IF(E31&lt;=QUARTILE($E$2:$E$246,1),4,IF(E31&lt;=QUARTILE($E$2:$E$246,2),3,IF(E31&lt;=QUARTILE($E$2:$E$246,3),2,1)))</f>
        <v>2</v>
      </c>
      <c r="H31" s="48" t="n">
        <f aca="false">IF(B31&gt;QUARTILE($B$2:$B$246,3),4,IF(B31&gt;QUARTILE($B$2:$B$246,2),3,IF(B31&gt;QUARTILE($B$2:$B$246,1),2,1)))</f>
        <v>1</v>
      </c>
      <c r="I31" s="48" t="n">
        <f aca="false">IF(C31&gt;QUARTILE($C$2:$C$246,3),4,IF(C31&gt;QUARTILE($C$2:$C$246,2),3,IF(C31&gt;QUARTILE($C$2:$C$246,1),2,1)))</f>
        <v>3</v>
      </c>
      <c r="J31" s="48" t="n">
        <f aca="false">G31+H31+I31</f>
        <v>6</v>
      </c>
      <c r="K31" s="44" t="str">
        <f aca="false">IF(J31&gt;=rfv_campeoes,"Campeões",IF(J31&gt;=rfv_leais,"Leais",IF(J31&gt;=rfv_atencao,"Atenção","Em risco")))</f>
        <v>Atenção</v>
      </c>
    </row>
    <row r="32" customFormat="false" ht="15" hidden="false" customHeight="false" outlineLevel="0" collapsed="false">
      <c r="A32" s="44" t="s">
        <v>375</v>
      </c>
      <c r="B32" s="48" t="n">
        <f aca="false">COUNTIFS(v_cliente,A32)</f>
        <v>4</v>
      </c>
      <c r="C32" s="46" t="n">
        <f aca="false">SUMIFS(v_valor,v_cliente,A32)</f>
        <v>493.17</v>
      </c>
      <c r="D32" s="45" t="n">
        <f aca="false">_xlfn.MAXIFS(v_data,v_cliente,A32)</f>
        <v>45446</v>
      </c>
      <c r="E32" s="48" t="n">
        <f aca="false">rfv_ref-D32</f>
        <v>212</v>
      </c>
      <c r="F32" s="49" t="n">
        <f aca="false">C32+ROW()/10000000</f>
        <v>493.1700032</v>
      </c>
      <c r="G32" s="48" t="n">
        <f aca="false">IF(E32&lt;=QUARTILE($E$2:$E$246,1),4,IF(E32&lt;=QUARTILE($E$2:$E$246,2),3,IF(E32&lt;=QUARTILE($E$2:$E$246,3),2,1)))</f>
        <v>1</v>
      </c>
      <c r="H32" s="48" t="n">
        <f aca="false">IF(B32&gt;QUARTILE($B$2:$B$246,3),4,IF(B32&gt;QUARTILE($B$2:$B$246,2),3,IF(B32&gt;QUARTILE($B$2:$B$246,1),2,1)))</f>
        <v>2</v>
      </c>
      <c r="I32" s="48" t="n">
        <f aca="false">IF(C32&gt;QUARTILE($C$2:$C$246,3),4,IF(C32&gt;QUARTILE($C$2:$C$246,2),3,IF(C32&gt;QUARTILE($C$2:$C$246,1),2,1)))</f>
        <v>3</v>
      </c>
      <c r="J32" s="48" t="n">
        <f aca="false">G32+H32+I32</f>
        <v>6</v>
      </c>
      <c r="K32" s="44" t="str">
        <f aca="false">IF(J32&gt;=rfv_campeoes,"Campeões",IF(J32&gt;=rfv_leais,"Leais",IF(J32&gt;=rfv_atencao,"Atenção","Em risco")))</f>
        <v>Atenção</v>
      </c>
    </row>
    <row r="33" customFormat="false" ht="15" hidden="false" customHeight="false" outlineLevel="0" collapsed="false">
      <c r="A33" s="44" t="s">
        <v>469</v>
      </c>
      <c r="B33" s="48" t="n">
        <f aca="false">COUNTIFS(v_cliente,A33)</f>
        <v>3</v>
      </c>
      <c r="C33" s="46" t="n">
        <f aca="false">SUMIFS(v_valor,v_cliente,A33)</f>
        <v>114.96</v>
      </c>
      <c r="D33" s="45" t="n">
        <f aca="false">_xlfn.MAXIFS(v_data,v_cliente,A33)</f>
        <v>45558</v>
      </c>
      <c r="E33" s="48" t="n">
        <f aca="false">rfv_ref-D33</f>
        <v>100</v>
      </c>
      <c r="F33" s="49" t="n">
        <f aca="false">C33+ROW()/10000000</f>
        <v>114.9600033</v>
      </c>
      <c r="G33" s="48" t="n">
        <f aca="false">IF(E33&lt;=QUARTILE($E$2:$E$246,1),4,IF(E33&lt;=QUARTILE($E$2:$E$246,2),3,IF(E33&lt;=QUARTILE($E$2:$E$246,3),2,1)))</f>
        <v>2</v>
      </c>
      <c r="H33" s="48" t="n">
        <f aca="false">IF(B33&gt;QUARTILE($B$2:$B$246,3),4,IF(B33&gt;QUARTILE($B$2:$B$246,2),3,IF(B33&gt;QUARTILE($B$2:$B$246,1),2,1)))</f>
        <v>1</v>
      </c>
      <c r="I33" s="48" t="n">
        <f aca="false">IF(C33&gt;QUARTILE($C$2:$C$246,3),4,IF(C33&gt;QUARTILE($C$2:$C$246,2),3,IF(C33&gt;QUARTILE($C$2:$C$246,1),2,1)))</f>
        <v>1</v>
      </c>
      <c r="J33" s="48" t="n">
        <f aca="false">G33+H33+I33</f>
        <v>4</v>
      </c>
      <c r="K33" s="44" t="str">
        <f aca="false">IF(J33&gt;=rfv_campeoes,"Campeões",IF(J33&gt;=rfv_leais,"Leais",IF(J33&gt;=rfv_atencao,"Atenção","Em risco")))</f>
        <v>Em risco</v>
      </c>
    </row>
    <row r="34" customFormat="false" ht="15" hidden="false" customHeight="false" outlineLevel="0" collapsed="false">
      <c r="A34" s="44" t="s">
        <v>416</v>
      </c>
      <c r="B34" s="48" t="n">
        <f aca="false">COUNTIFS(v_cliente,A34)</f>
        <v>5</v>
      </c>
      <c r="C34" s="46" t="n">
        <f aca="false">SUMIFS(v_valor,v_cliente,A34)</f>
        <v>791.89</v>
      </c>
      <c r="D34" s="45" t="n">
        <f aca="false">_xlfn.MAXIFS(v_data,v_cliente,A34)</f>
        <v>45585</v>
      </c>
      <c r="E34" s="48" t="n">
        <f aca="false">rfv_ref-D34</f>
        <v>73</v>
      </c>
      <c r="F34" s="49" t="n">
        <f aca="false">C34+ROW()/10000000</f>
        <v>791.8900034</v>
      </c>
      <c r="G34" s="48" t="n">
        <f aca="false">IF(E34&lt;=QUARTILE($E$2:$E$246,1),4,IF(E34&lt;=QUARTILE($E$2:$E$246,2),3,IF(E34&lt;=QUARTILE($E$2:$E$246,3),2,1)))</f>
        <v>2</v>
      </c>
      <c r="H34" s="48" t="n">
        <f aca="false">IF(B34&gt;QUARTILE($B$2:$B$246,3),4,IF(B34&gt;QUARTILE($B$2:$B$246,2),3,IF(B34&gt;QUARTILE($B$2:$B$246,1),2,1)))</f>
        <v>3</v>
      </c>
      <c r="I34" s="48" t="n">
        <f aca="false">IF(C34&gt;QUARTILE($C$2:$C$246,3),4,IF(C34&gt;QUARTILE($C$2:$C$246,2),3,IF(C34&gt;QUARTILE($C$2:$C$246,1),2,1)))</f>
        <v>4</v>
      </c>
      <c r="J34" s="48" t="n">
        <f aca="false">G34+H34+I34</f>
        <v>9</v>
      </c>
      <c r="K34" s="44" t="str">
        <f aca="false">IF(J34&gt;=rfv_campeoes,"Campeões",IF(J34&gt;=rfv_leais,"Leais",IF(J34&gt;=rfv_atencao,"Atenção","Em risco")))</f>
        <v>Leais</v>
      </c>
    </row>
    <row r="35" customFormat="false" ht="15" hidden="false" customHeight="false" outlineLevel="0" collapsed="false">
      <c r="A35" s="44" t="s">
        <v>467</v>
      </c>
      <c r="B35" s="48" t="n">
        <f aca="false">COUNTIFS(v_cliente,A35)</f>
        <v>4</v>
      </c>
      <c r="C35" s="46" t="n">
        <f aca="false">SUMIFS(v_valor,v_cliente,A35)</f>
        <v>587.85</v>
      </c>
      <c r="D35" s="45" t="n">
        <f aca="false">_xlfn.MAXIFS(v_data,v_cliente,A35)</f>
        <v>45579</v>
      </c>
      <c r="E35" s="48" t="n">
        <f aca="false">rfv_ref-D35</f>
        <v>79</v>
      </c>
      <c r="F35" s="49" t="n">
        <f aca="false">C35+ROW()/10000000</f>
        <v>587.8500035</v>
      </c>
      <c r="G35" s="48" t="n">
        <f aca="false">IF(E35&lt;=QUARTILE($E$2:$E$246,1),4,IF(E35&lt;=QUARTILE($E$2:$E$246,2),3,IF(E35&lt;=QUARTILE($E$2:$E$246,3),2,1)))</f>
        <v>2</v>
      </c>
      <c r="H35" s="48" t="n">
        <f aca="false">IF(B35&gt;QUARTILE($B$2:$B$246,3),4,IF(B35&gt;QUARTILE($B$2:$B$246,2),3,IF(B35&gt;QUARTILE($B$2:$B$246,1),2,1)))</f>
        <v>2</v>
      </c>
      <c r="I35" s="48" t="n">
        <f aca="false">IF(C35&gt;QUARTILE($C$2:$C$246,3),4,IF(C35&gt;QUARTILE($C$2:$C$246,2),3,IF(C35&gt;QUARTILE($C$2:$C$246,1),2,1)))</f>
        <v>3</v>
      </c>
      <c r="J35" s="48" t="n">
        <f aca="false">G35+H35+I35</f>
        <v>7</v>
      </c>
      <c r="K35" s="44" t="str">
        <f aca="false">IF(J35&gt;=rfv_campeoes,"Campeões",IF(J35&gt;=rfv_leais,"Leais",IF(J35&gt;=rfv_atencao,"Atenção","Em risco")))</f>
        <v>Leais</v>
      </c>
    </row>
    <row r="36" customFormat="false" ht="15" hidden="false" customHeight="false" outlineLevel="0" collapsed="false">
      <c r="A36" s="44" t="s">
        <v>380</v>
      </c>
      <c r="B36" s="48" t="n">
        <f aca="false">COUNTIFS(v_cliente,A36)</f>
        <v>5</v>
      </c>
      <c r="C36" s="46" t="n">
        <f aca="false">SUMIFS(v_valor,v_cliente,A36)</f>
        <v>299.85</v>
      </c>
      <c r="D36" s="45" t="n">
        <f aca="false">_xlfn.MAXIFS(v_data,v_cliente,A36)</f>
        <v>45644</v>
      </c>
      <c r="E36" s="48" t="n">
        <f aca="false">rfv_ref-D36</f>
        <v>14</v>
      </c>
      <c r="F36" s="49" t="n">
        <f aca="false">C36+ROW()/10000000</f>
        <v>299.8500036</v>
      </c>
      <c r="G36" s="48" t="n">
        <f aca="false">IF(E36&lt;=QUARTILE($E$2:$E$246,1),4,IF(E36&lt;=QUARTILE($E$2:$E$246,2),3,IF(E36&lt;=QUARTILE($E$2:$E$246,3),2,1)))</f>
        <v>4</v>
      </c>
      <c r="H36" s="48" t="n">
        <f aca="false">IF(B36&gt;QUARTILE($B$2:$B$246,3),4,IF(B36&gt;QUARTILE($B$2:$B$246,2),3,IF(B36&gt;QUARTILE($B$2:$B$246,1),2,1)))</f>
        <v>3</v>
      </c>
      <c r="I36" s="48" t="n">
        <f aca="false">IF(C36&gt;QUARTILE($C$2:$C$246,3),4,IF(C36&gt;QUARTILE($C$2:$C$246,2),3,IF(C36&gt;QUARTILE($C$2:$C$246,1),2,1)))</f>
        <v>2</v>
      </c>
      <c r="J36" s="48" t="n">
        <f aca="false">G36+H36+I36</f>
        <v>9</v>
      </c>
      <c r="K36" s="44" t="str">
        <f aca="false">IF(J36&gt;=rfv_campeoes,"Campeões",IF(J36&gt;=rfv_leais,"Leais",IF(J36&gt;=rfv_atencao,"Atenção","Em risco")))</f>
        <v>Leais</v>
      </c>
    </row>
    <row r="37" customFormat="false" ht="15" hidden="false" customHeight="false" outlineLevel="0" collapsed="false">
      <c r="A37" s="44" t="s">
        <v>456</v>
      </c>
      <c r="B37" s="48" t="n">
        <f aca="false">COUNTIFS(v_cliente,A37)</f>
        <v>1</v>
      </c>
      <c r="C37" s="46" t="n">
        <f aca="false">SUMIFS(v_valor,v_cliente,A37)</f>
        <v>1.6</v>
      </c>
      <c r="D37" s="45" t="n">
        <f aca="false">_xlfn.MAXIFS(v_data,v_cliente,A37)</f>
        <v>45424</v>
      </c>
      <c r="E37" s="48" t="n">
        <f aca="false">rfv_ref-D37</f>
        <v>234</v>
      </c>
      <c r="F37" s="49" t="n">
        <f aca="false">C37+ROW()/10000000</f>
        <v>1.6000037</v>
      </c>
      <c r="G37" s="48" t="n">
        <f aca="false">IF(E37&lt;=QUARTILE($E$2:$E$246,1),4,IF(E37&lt;=QUARTILE($E$2:$E$246,2),3,IF(E37&lt;=QUARTILE($E$2:$E$246,3),2,1)))</f>
        <v>1</v>
      </c>
      <c r="H37" s="48" t="n">
        <f aca="false">IF(B37&gt;QUARTILE($B$2:$B$246,3),4,IF(B37&gt;QUARTILE($B$2:$B$246,2),3,IF(B37&gt;QUARTILE($B$2:$B$246,1),2,1)))</f>
        <v>1</v>
      </c>
      <c r="I37" s="48" t="n">
        <f aca="false">IF(C37&gt;QUARTILE($C$2:$C$246,3),4,IF(C37&gt;QUARTILE($C$2:$C$246,2),3,IF(C37&gt;QUARTILE($C$2:$C$246,1),2,1)))</f>
        <v>1</v>
      </c>
      <c r="J37" s="48" t="n">
        <f aca="false">G37+H37+I37</f>
        <v>3</v>
      </c>
      <c r="K37" s="44" t="str">
        <f aca="false">IF(J37&gt;=rfv_campeoes,"Campeões",IF(J37&gt;=rfv_leais,"Leais",IF(J37&gt;=rfv_atencao,"Atenção","Em risco")))</f>
        <v>Em risco</v>
      </c>
    </row>
    <row r="38" customFormat="false" ht="15" hidden="false" customHeight="false" outlineLevel="0" collapsed="false">
      <c r="A38" s="44" t="s">
        <v>339</v>
      </c>
      <c r="B38" s="48" t="n">
        <f aca="false">COUNTIFS(v_cliente,A38)</f>
        <v>6</v>
      </c>
      <c r="C38" s="46" t="n">
        <f aca="false">SUMIFS(v_valor,v_cliente,A38)</f>
        <v>1614.56</v>
      </c>
      <c r="D38" s="45" t="n">
        <f aca="false">_xlfn.MAXIFS(v_data,v_cliente,A38)</f>
        <v>45580</v>
      </c>
      <c r="E38" s="48" t="n">
        <f aca="false">rfv_ref-D38</f>
        <v>78</v>
      </c>
      <c r="F38" s="49" t="n">
        <f aca="false">C38+ROW()/10000000</f>
        <v>1614.5600038</v>
      </c>
      <c r="G38" s="48" t="n">
        <f aca="false">IF(E38&lt;=QUARTILE($E$2:$E$246,1),4,IF(E38&lt;=QUARTILE($E$2:$E$246,2),3,IF(E38&lt;=QUARTILE($E$2:$E$246,3),2,1)))</f>
        <v>2</v>
      </c>
      <c r="H38" s="48" t="n">
        <f aca="false">IF(B38&gt;QUARTILE($B$2:$B$246,3),4,IF(B38&gt;QUARTILE($B$2:$B$246,2),3,IF(B38&gt;QUARTILE($B$2:$B$246,1),2,1)))</f>
        <v>4</v>
      </c>
      <c r="I38" s="48" t="n">
        <f aca="false">IF(C38&gt;QUARTILE($C$2:$C$246,3),4,IF(C38&gt;QUARTILE($C$2:$C$246,2),3,IF(C38&gt;QUARTILE($C$2:$C$246,1),2,1)))</f>
        <v>4</v>
      </c>
      <c r="J38" s="48" t="n">
        <f aca="false">G38+H38+I38</f>
        <v>10</v>
      </c>
      <c r="K38" s="44" t="str">
        <f aca="false">IF(J38&gt;=rfv_campeoes,"Campeões",IF(J38&gt;=rfv_leais,"Leais",IF(J38&gt;=rfv_atencao,"Atenção","Em risco")))</f>
        <v>Campeões</v>
      </c>
    </row>
    <row r="39" customFormat="false" ht="15" hidden="false" customHeight="false" outlineLevel="0" collapsed="false">
      <c r="A39" s="44" t="s">
        <v>343</v>
      </c>
      <c r="B39" s="48" t="n">
        <f aca="false">COUNTIFS(v_cliente,A39)</f>
        <v>7</v>
      </c>
      <c r="C39" s="46" t="n">
        <f aca="false">SUMIFS(v_valor,v_cliente,A39)</f>
        <v>920.25</v>
      </c>
      <c r="D39" s="45" t="n">
        <f aca="false">_xlfn.MAXIFS(v_data,v_cliente,A39)</f>
        <v>45652</v>
      </c>
      <c r="E39" s="48" t="n">
        <f aca="false">rfv_ref-D39</f>
        <v>6</v>
      </c>
      <c r="F39" s="49" t="n">
        <f aca="false">C39+ROW()/10000000</f>
        <v>920.2500039</v>
      </c>
      <c r="G39" s="48" t="n">
        <f aca="false">IF(E39&lt;=QUARTILE($E$2:$E$246,1),4,IF(E39&lt;=QUARTILE($E$2:$E$246,2),3,IF(E39&lt;=QUARTILE($E$2:$E$246,3),2,1)))</f>
        <v>4</v>
      </c>
      <c r="H39" s="48" t="n">
        <f aca="false">IF(B39&gt;QUARTILE($B$2:$B$246,3),4,IF(B39&gt;QUARTILE($B$2:$B$246,2),3,IF(B39&gt;QUARTILE($B$2:$B$246,1),2,1)))</f>
        <v>4</v>
      </c>
      <c r="I39" s="48" t="n">
        <f aca="false">IF(C39&gt;QUARTILE($C$2:$C$246,3),4,IF(C39&gt;QUARTILE($C$2:$C$246,2),3,IF(C39&gt;QUARTILE($C$2:$C$246,1),2,1)))</f>
        <v>4</v>
      </c>
      <c r="J39" s="48" t="n">
        <f aca="false">G39+H39+I39</f>
        <v>12</v>
      </c>
      <c r="K39" s="44" t="str">
        <f aca="false">IF(J39&gt;=rfv_campeoes,"Campeões",IF(J39&gt;=rfv_leais,"Leais",IF(J39&gt;=rfv_atencao,"Atenção","Em risco")))</f>
        <v>Campeões</v>
      </c>
    </row>
    <row r="40" customFormat="false" ht="15" hidden="false" customHeight="false" outlineLevel="0" collapsed="false">
      <c r="A40" s="44" t="s">
        <v>440</v>
      </c>
      <c r="B40" s="48" t="n">
        <f aca="false">COUNTIFS(v_cliente,A40)</f>
        <v>6</v>
      </c>
      <c r="C40" s="46" t="n">
        <f aca="false">SUMIFS(v_valor,v_cliente,A40)</f>
        <v>1247.71</v>
      </c>
      <c r="D40" s="45" t="n">
        <f aca="false">_xlfn.MAXIFS(v_data,v_cliente,A40)</f>
        <v>45645</v>
      </c>
      <c r="E40" s="48" t="n">
        <f aca="false">rfv_ref-D40</f>
        <v>13</v>
      </c>
      <c r="F40" s="49" t="n">
        <f aca="false">C40+ROW()/10000000</f>
        <v>1247.710004</v>
      </c>
      <c r="G40" s="48" t="n">
        <f aca="false">IF(E40&lt;=QUARTILE($E$2:$E$246,1),4,IF(E40&lt;=QUARTILE($E$2:$E$246,2),3,IF(E40&lt;=QUARTILE($E$2:$E$246,3),2,1)))</f>
        <v>4</v>
      </c>
      <c r="H40" s="48" t="n">
        <f aca="false">IF(B40&gt;QUARTILE($B$2:$B$246,3),4,IF(B40&gt;QUARTILE($B$2:$B$246,2),3,IF(B40&gt;QUARTILE($B$2:$B$246,1),2,1)))</f>
        <v>4</v>
      </c>
      <c r="I40" s="48" t="n">
        <f aca="false">IF(C40&gt;QUARTILE($C$2:$C$246,3),4,IF(C40&gt;QUARTILE($C$2:$C$246,2),3,IF(C40&gt;QUARTILE($C$2:$C$246,1),2,1)))</f>
        <v>4</v>
      </c>
      <c r="J40" s="48" t="n">
        <f aca="false">G40+H40+I40</f>
        <v>12</v>
      </c>
      <c r="K40" s="44" t="str">
        <f aca="false">IF(J40&gt;=rfv_campeoes,"Campeões",IF(J40&gt;=rfv_leais,"Leais",IF(J40&gt;=rfv_atencao,"Atenção","Em risco")))</f>
        <v>Campeões</v>
      </c>
    </row>
    <row r="41" customFormat="false" ht="15" hidden="false" customHeight="false" outlineLevel="0" collapsed="false">
      <c r="A41" s="44" t="s">
        <v>548</v>
      </c>
      <c r="B41" s="48" t="n">
        <f aca="false">COUNTIFS(v_cliente,A41)</f>
        <v>2</v>
      </c>
      <c r="C41" s="46" t="n">
        <f aca="false">SUMIFS(v_valor,v_cliente,A41)</f>
        <v>98.31</v>
      </c>
      <c r="D41" s="45" t="n">
        <f aca="false">_xlfn.MAXIFS(v_data,v_cliente,A41)</f>
        <v>45517</v>
      </c>
      <c r="E41" s="48" t="n">
        <f aca="false">rfv_ref-D41</f>
        <v>141</v>
      </c>
      <c r="F41" s="49" t="n">
        <f aca="false">C41+ROW()/10000000</f>
        <v>98.3100041</v>
      </c>
      <c r="G41" s="48" t="n">
        <f aca="false">IF(E41&lt;=QUARTILE($E$2:$E$246,1),4,IF(E41&lt;=QUARTILE($E$2:$E$246,2),3,IF(E41&lt;=QUARTILE($E$2:$E$246,3),2,1)))</f>
        <v>1</v>
      </c>
      <c r="H41" s="48" t="n">
        <f aca="false">IF(B41&gt;QUARTILE($B$2:$B$246,3),4,IF(B41&gt;QUARTILE($B$2:$B$246,2),3,IF(B41&gt;QUARTILE($B$2:$B$246,1),2,1)))</f>
        <v>1</v>
      </c>
      <c r="I41" s="48" t="n">
        <f aca="false">IF(C41&gt;QUARTILE($C$2:$C$246,3),4,IF(C41&gt;QUARTILE($C$2:$C$246,2),3,IF(C41&gt;QUARTILE($C$2:$C$246,1),2,1)))</f>
        <v>1</v>
      </c>
      <c r="J41" s="48" t="n">
        <f aca="false">G41+H41+I41</f>
        <v>3</v>
      </c>
      <c r="K41" s="44" t="str">
        <f aca="false">IF(J41&gt;=rfv_campeoes,"Campeões",IF(J41&gt;=rfv_leais,"Leais",IF(J41&gt;=rfv_atencao,"Atenção","Em risco")))</f>
        <v>Em risco</v>
      </c>
    </row>
    <row r="42" customFormat="false" ht="15" hidden="false" customHeight="false" outlineLevel="0" collapsed="false">
      <c r="A42" s="44" t="s">
        <v>526</v>
      </c>
      <c r="B42" s="48" t="n">
        <f aca="false">COUNTIFS(v_cliente,A42)</f>
        <v>3</v>
      </c>
      <c r="C42" s="46" t="n">
        <f aca="false">SUMIFS(v_valor,v_cliente,A42)</f>
        <v>1570.61</v>
      </c>
      <c r="D42" s="45" t="n">
        <f aca="false">_xlfn.MAXIFS(v_data,v_cliente,A42)</f>
        <v>45507</v>
      </c>
      <c r="E42" s="48" t="n">
        <f aca="false">rfv_ref-D42</f>
        <v>151</v>
      </c>
      <c r="F42" s="49" t="n">
        <f aca="false">C42+ROW()/10000000</f>
        <v>1570.6100042</v>
      </c>
      <c r="G42" s="48" t="n">
        <f aca="false">IF(E42&lt;=QUARTILE($E$2:$E$246,1),4,IF(E42&lt;=QUARTILE($E$2:$E$246,2),3,IF(E42&lt;=QUARTILE($E$2:$E$246,3),2,1)))</f>
        <v>1</v>
      </c>
      <c r="H42" s="48" t="n">
        <f aca="false">IF(B42&gt;QUARTILE($B$2:$B$246,3),4,IF(B42&gt;QUARTILE($B$2:$B$246,2),3,IF(B42&gt;QUARTILE($B$2:$B$246,1),2,1)))</f>
        <v>1</v>
      </c>
      <c r="I42" s="48" t="n">
        <f aca="false">IF(C42&gt;QUARTILE($C$2:$C$246,3),4,IF(C42&gt;QUARTILE($C$2:$C$246,2),3,IF(C42&gt;QUARTILE($C$2:$C$246,1),2,1)))</f>
        <v>4</v>
      </c>
      <c r="J42" s="48" t="n">
        <f aca="false">G42+H42+I42</f>
        <v>6</v>
      </c>
      <c r="K42" s="44" t="str">
        <f aca="false">IF(J42&gt;=rfv_campeoes,"Campeões",IF(J42&gt;=rfv_leais,"Leais",IF(J42&gt;=rfv_atencao,"Atenção","Em risco")))</f>
        <v>Atenção</v>
      </c>
    </row>
    <row r="43" customFormat="false" ht="15" hidden="false" customHeight="false" outlineLevel="0" collapsed="false">
      <c r="A43" s="44" t="s">
        <v>430</v>
      </c>
      <c r="B43" s="48" t="n">
        <f aca="false">COUNTIFS(v_cliente,A43)</f>
        <v>6</v>
      </c>
      <c r="C43" s="46" t="n">
        <f aca="false">SUMIFS(v_valor,v_cliente,A43)</f>
        <v>497.09</v>
      </c>
      <c r="D43" s="45" t="n">
        <f aca="false">_xlfn.MAXIFS(v_data,v_cliente,A43)</f>
        <v>45632</v>
      </c>
      <c r="E43" s="48" t="n">
        <f aca="false">rfv_ref-D43</f>
        <v>26</v>
      </c>
      <c r="F43" s="49" t="n">
        <f aca="false">C43+ROW()/10000000</f>
        <v>497.0900043</v>
      </c>
      <c r="G43" s="48" t="n">
        <f aca="false">IF(E43&lt;=QUARTILE($E$2:$E$246,1),4,IF(E43&lt;=QUARTILE($E$2:$E$246,2),3,IF(E43&lt;=QUARTILE($E$2:$E$246,3),2,1)))</f>
        <v>3</v>
      </c>
      <c r="H43" s="48" t="n">
        <f aca="false">IF(B43&gt;QUARTILE($B$2:$B$246,3),4,IF(B43&gt;QUARTILE($B$2:$B$246,2),3,IF(B43&gt;QUARTILE($B$2:$B$246,1),2,1)))</f>
        <v>4</v>
      </c>
      <c r="I43" s="48" t="n">
        <f aca="false">IF(C43&gt;QUARTILE($C$2:$C$246,3),4,IF(C43&gt;QUARTILE($C$2:$C$246,2),3,IF(C43&gt;QUARTILE($C$2:$C$246,1),2,1)))</f>
        <v>3</v>
      </c>
      <c r="J43" s="48" t="n">
        <f aca="false">G43+H43+I43</f>
        <v>10</v>
      </c>
      <c r="K43" s="44" t="str">
        <f aca="false">IF(J43&gt;=rfv_campeoes,"Campeões",IF(J43&gt;=rfv_leais,"Leais",IF(J43&gt;=rfv_atencao,"Atenção","Em risco")))</f>
        <v>Campeões</v>
      </c>
    </row>
    <row r="44" customFormat="false" ht="15" hidden="false" customHeight="false" outlineLevel="0" collapsed="false">
      <c r="A44" s="44" t="s">
        <v>315</v>
      </c>
      <c r="B44" s="48" t="n">
        <f aca="false">COUNTIFS(v_cliente,A44)</f>
        <v>5</v>
      </c>
      <c r="C44" s="46" t="n">
        <f aca="false">SUMIFS(v_valor,v_cliente,A44)</f>
        <v>641.96</v>
      </c>
      <c r="D44" s="45" t="n">
        <f aca="false">_xlfn.MAXIFS(v_data,v_cliente,A44)</f>
        <v>45600</v>
      </c>
      <c r="E44" s="48" t="n">
        <f aca="false">rfv_ref-D44</f>
        <v>58</v>
      </c>
      <c r="F44" s="49" t="n">
        <f aca="false">C44+ROW()/10000000</f>
        <v>641.9600044</v>
      </c>
      <c r="G44" s="48" t="n">
        <f aca="false">IF(E44&lt;=QUARTILE($E$2:$E$246,1),4,IF(E44&lt;=QUARTILE($E$2:$E$246,2),3,IF(E44&lt;=QUARTILE($E$2:$E$246,3),2,1)))</f>
        <v>3</v>
      </c>
      <c r="H44" s="48" t="n">
        <f aca="false">IF(B44&gt;QUARTILE($B$2:$B$246,3),4,IF(B44&gt;QUARTILE($B$2:$B$246,2),3,IF(B44&gt;QUARTILE($B$2:$B$246,1),2,1)))</f>
        <v>3</v>
      </c>
      <c r="I44" s="48" t="n">
        <f aca="false">IF(C44&gt;QUARTILE($C$2:$C$246,3),4,IF(C44&gt;QUARTILE($C$2:$C$246,2),3,IF(C44&gt;QUARTILE($C$2:$C$246,1),2,1)))</f>
        <v>4</v>
      </c>
      <c r="J44" s="48" t="n">
        <f aca="false">G44+H44+I44</f>
        <v>10</v>
      </c>
      <c r="K44" s="44" t="str">
        <f aca="false">IF(J44&gt;=rfv_campeoes,"Campeões",IF(J44&gt;=rfv_leais,"Leais",IF(J44&gt;=rfv_atencao,"Atenção","Em risco")))</f>
        <v>Campeões</v>
      </c>
    </row>
    <row r="45" customFormat="false" ht="15" hidden="false" customHeight="false" outlineLevel="0" collapsed="false">
      <c r="A45" s="44" t="s">
        <v>391</v>
      </c>
      <c r="B45" s="48" t="n">
        <f aca="false">COUNTIFS(v_cliente,A45)</f>
        <v>4</v>
      </c>
      <c r="C45" s="46" t="n">
        <f aca="false">SUMIFS(v_valor,v_cliente,A45)</f>
        <v>270.6</v>
      </c>
      <c r="D45" s="45" t="n">
        <f aca="false">_xlfn.MAXIFS(v_data,v_cliente,A45)</f>
        <v>45650</v>
      </c>
      <c r="E45" s="48" t="n">
        <f aca="false">rfv_ref-D45</f>
        <v>8</v>
      </c>
      <c r="F45" s="49" t="n">
        <f aca="false">C45+ROW()/10000000</f>
        <v>270.6000045</v>
      </c>
      <c r="G45" s="48" t="n">
        <f aca="false">IF(E45&lt;=QUARTILE($E$2:$E$246,1),4,IF(E45&lt;=QUARTILE($E$2:$E$246,2),3,IF(E45&lt;=QUARTILE($E$2:$E$246,3),2,1)))</f>
        <v>4</v>
      </c>
      <c r="H45" s="48" t="n">
        <f aca="false">IF(B45&gt;QUARTILE($B$2:$B$246,3),4,IF(B45&gt;QUARTILE($B$2:$B$246,2),3,IF(B45&gt;QUARTILE($B$2:$B$246,1),2,1)))</f>
        <v>2</v>
      </c>
      <c r="I45" s="48" t="n">
        <f aca="false">IF(C45&gt;QUARTILE($C$2:$C$246,3),4,IF(C45&gt;QUARTILE($C$2:$C$246,2),3,IF(C45&gt;QUARTILE($C$2:$C$246,1),2,1)))</f>
        <v>2</v>
      </c>
      <c r="J45" s="48" t="n">
        <f aca="false">G45+H45+I45</f>
        <v>8</v>
      </c>
      <c r="K45" s="44" t="str">
        <f aca="false">IF(J45&gt;=rfv_campeoes,"Campeões",IF(J45&gt;=rfv_leais,"Leais",IF(J45&gt;=rfv_atencao,"Atenção","Em risco")))</f>
        <v>Leais</v>
      </c>
    </row>
    <row r="46" customFormat="false" ht="15" hidden="false" customHeight="false" outlineLevel="0" collapsed="false">
      <c r="A46" s="44" t="s">
        <v>370</v>
      </c>
      <c r="B46" s="48" t="n">
        <f aca="false">COUNTIFS(v_cliente,A46)</f>
        <v>4</v>
      </c>
      <c r="C46" s="46" t="n">
        <f aca="false">SUMIFS(v_valor,v_cliente,A46)</f>
        <v>180.07</v>
      </c>
      <c r="D46" s="45" t="n">
        <f aca="false">_xlfn.MAXIFS(v_data,v_cliente,A46)</f>
        <v>45436</v>
      </c>
      <c r="E46" s="48" t="n">
        <f aca="false">rfv_ref-D46</f>
        <v>222</v>
      </c>
      <c r="F46" s="49" t="n">
        <f aca="false">C46+ROW()/10000000</f>
        <v>180.0700046</v>
      </c>
      <c r="G46" s="48" t="n">
        <f aca="false">IF(E46&lt;=QUARTILE($E$2:$E$246,1),4,IF(E46&lt;=QUARTILE($E$2:$E$246,2),3,IF(E46&lt;=QUARTILE($E$2:$E$246,3),2,1)))</f>
        <v>1</v>
      </c>
      <c r="H46" s="48" t="n">
        <f aca="false">IF(B46&gt;QUARTILE($B$2:$B$246,3),4,IF(B46&gt;QUARTILE($B$2:$B$246,2),3,IF(B46&gt;QUARTILE($B$2:$B$246,1),2,1)))</f>
        <v>2</v>
      </c>
      <c r="I46" s="48" t="n">
        <f aca="false">IF(C46&gt;QUARTILE($C$2:$C$246,3),4,IF(C46&gt;QUARTILE($C$2:$C$246,2),3,IF(C46&gt;QUARTILE($C$2:$C$246,1),2,1)))</f>
        <v>2</v>
      </c>
      <c r="J46" s="48" t="n">
        <f aca="false">G46+H46+I46</f>
        <v>5</v>
      </c>
      <c r="K46" s="44" t="str">
        <f aca="false">IF(J46&gt;=rfv_campeoes,"Campeões",IF(J46&gt;=rfv_leais,"Leais",IF(J46&gt;=rfv_atencao,"Atenção","Em risco")))</f>
        <v>Atenção</v>
      </c>
    </row>
    <row r="47" customFormat="false" ht="15" hidden="false" customHeight="false" outlineLevel="0" collapsed="false">
      <c r="A47" s="44" t="s">
        <v>451</v>
      </c>
      <c r="B47" s="48" t="n">
        <f aca="false">COUNTIFS(v_cliente,A47)</f>
        <v>4</v>
      </c>
      <c r="C47" s="46" t="n">
        <f aca="false">SUMIFS(v_valor,v_cliente,A47)</f>
        <v>88.32</v>
      </c>
      <c r="D47" s="45" t="n">
        <f aca="false">_xlfn.MAXIFS(v_data,v_cliente,A47)</f>
        <v>45618</v>
      </c>
      <c r="E47" s="48" t="n">
        <f aca="false">rfv_ref-D47</f>
        <v>40</v>
      </c>
      <c r="F47" s="49" t="n">
        <f aca="false">C47+ROW()/10000000</f>
        <v>88.3200047</v>
      </c>
      <c r="G47" s="48" t="n">
        <f aca="false">IF(E47&lt;=QUARTILE($E$2:$E$246,1),4,IF(E47&lt;=QUARTILE($E$2:$E$246,2),3,IF(E47&lt;=QUARTILE($E$2:$E$246,3),2,1)))</f>
        <v>3</v>
      </c>
      <c r="H47" s="48" t="n">
        <f aca="false">IF(B47&gt;QUARTILE($B$2:$B$246,3),4,IF(B47&gt;QUARTILE($B$2:$B$246,2),3,IF(B47&gt;QUARTILE($B$2:$B$246,1),2,1)))</f>
        <v>2</v>
      </c>
      <c r="I47" s="48" t="n">
        <f aca="false">IF(C47&gt;QUARTILE($C$2:$C$246,3),4,IF(C47&gt;QUARTILE($C$2:$C$246,2),3,IF(C47&gt;QUARTILE($C$2:$C$246,1),2,1)))</f>
        <v>1</v>
      </c>
      <c r="J47" s="48" t="n">
        <f aca="false">G47+H47+I47</f>
        <v>6</v>
      </c>
      <c r="K47" s="44" t="str">
        <f aca="false">IF(J47&gt;=rfv_campeoes,"Campeões",IF(J47&gt;=rfv_leais,"Leais",IF(J47&gt;=rfv_atencao,"Atenção","Em risco")))</f>
        <v>Atenção</v>
      </c>
    </row>
    <row r="48" customFormat="false" ht="15" hidden="false" customHeight="false" outlineLevel="0" collapsed="false">
      <c r="A48" s="44" t="s">
        <v>460</v>
      </c>
      <c r="B48" s="48" t="n">
        <f aca="false">COUNTIFS(v_cliente,A48)</f>
        <v>6</v>
      </c>
      <c r="C48" s="46" t="n">
        <f aca="false">SUMIFS(v_valor,v_cliente,A48)</f>
        <v>827.86</v>
      </c>
      <c r="D48" s="45" t="n">
        <f aca="false">_xlfn.MAXIFS(v_data,v_cliente,A48)</f>
        <v>45642</v>
      </c>
      <c r="E48" s="48" t="n">
        <f aca="false">rfv_ref-D48</f>
        <v>16</v>
      </c>
      <c r="F48" s="49" t="n">
        <f aca="false">C48+ROW()/10000000</f>
        <v>827.8600048</v>
      </c>
      <c r="G48" s="48" t="n">
        <f aca="false">IF(E48&lt;=QUARTILE($E$2:$E$246,1),4,IF(E48&lt;=QUARTILE($E$2:$E$246,2),3,IF(E48&lt;=QUARTILE($E$2:$E$246,3),2,1)))</f>
        <v>4</v>
      </c>
      <c r="H48" s="48" t="n">
        <f aca="false">IF(B48&gt;QUARTILE($B$2:$B$246,3),4,IF(B48&gt;QUARTILE($B$2:$B$246,2),3,IF(B48&gt;QUARTILE($B$2:$B$246,1),2,1)))</f>
        <v>4</v>
      </c>
      <c r="I48" s="48" t="n">
        <f aca="false">IF(C48&gt;QUARTILE($C$2:$C$246,3),4,IF(C48&gt;QUARTILE($C$2:$C$246,2),3,IF(C48&gt;QUARTILE($C$2:$C$246,1),2,1)))</f>
        <v>4</v>
      </c>
      <c r="J48" s="48" t="n">
        <f aca="false">G48+H48+I48</f>
        <v>12</v>
      </c>
      <c r="K48" s="44" t="str">
        <f aca="false">IF(J48&gt;=rfv_campeoes,"Campeões",IF(J48&gt;=rfv_leais,"Leais",IF(J48&gt;=rfv_atencao,"Atenção","Em risco")))</f>
        <v>Campeões</v>
      </c>
    </row>
    <row r="49" customFormat="false" ht="15" hidden="false" customHeight="false" outlineLevel="0" collapsed="false">
      <c r="A49" s="44" t="s">
        <v>311</v>
      </c>
      <c r="B49" s="48" t="n">
        <f aca="false">COUNTIFS(v_cliente,A49)</f>
        <v>3</v>
      </c>
      <c r="C49" s="46" t="n">
        <f aca="false">SUMIFS(v_valor,v_cliente,A49)</f>
        <v>521.49</v>
      </c>
      <c r="D49" s="45" t="n">
        <f aca="false">_xlfn.MAXIFS(v_data,v_cliente,A49)</f>
        <v>45608</v>
      </c>
      <c r="E49" s="48" t="n">
        <f aca="false">rfv_ref-D49</f>
        <v>50</v>
      </c>
      <c r="F49" s="49" t="n">
        <f aca="false">C49+ROW()/10000000</f>
        <v>521.4900049</v>
      </c>
      <c r="G49" s="48" t="n">
        <f aca="false">IF(E49&lt;=QUARTILE($E$2:$E$246,1),4,IF(E49&lt;=QUARTILE($E$2:$E$246,2),3,IF(E49&lt;=QUARTILE($E$2:$E$246,3),2,1)))</f>
        <v>3</v>
      </c>
      <c r="H49" s="48" t="n">
        <f aca="false">IF(B49&gt;QUARTILE($B$2:$B$246,3),4,IF(B49&gt;QUARTILE($B$2:$B$246,2),3,IF(B49&gt;QUARTILE($B$2:$B$246,1),2,1)))</f>
        <v>1</v>
      </c>
      <c r="I49" s="48" t="n">
        <f aca="false">IF(C49&gt;QUARTILE($C$2:$C$246,3),4,IF(C49&gt;QUARTILE($C$2:$C$246,2),3,IF(C49&gt;QUARTILE($C$2:$C$246,1),2,1)))</f>
        <v>3</v>
      </c>
      <c r="J49" s="48" t="n">
        <f aca="false">G49+H49+I49</f>
        <v>7</v>
      </c>
      <c r="K49" s="44" t="str">
        <f aca="false">IF(J49&gt;=rfv_campeoes,"Campeões",IF(J49&gt;=rfv_leais,"Leais",IF(J49&gt;=rfv_atencao,"Atenção","Em risco")))</f>
        <v>Leais</v>
      </c>
    </row>
    <row r="50" customFormat="false" ht="15" hidden="false" customHeight="false" outlineLevel="0" collapsed="false">
      <c r="A50" s="44" t="s">
        <v>560</v>
      </c>
      <c r="B50" s="48" t="n">
        <f aca="false">COUNTIFS(v_cliente,A50)</f>
        <v>1</v>
      </c>
      <c r="C50" s="46" t="n">
        <f aca="false">SUMIFS(v_valor,v_cliente,A50)</f>
        <v>20.66</v>
      </c>
      <c r="D50" s="45" t="n">
        <f aca="false">_xlfn.MAXIFS(v_data,v_cliente,A50)</f>
        <v>45473</v>
      </c>
      <c r="E50" s="48" t="n">
        <f aca="false">rfv_ref-D50</f>
        <v>185</v>
      </c>
      <c r="F50" s="49" t="n">
        <f aca="false">C50+ROW()/10000000</f>
        <v>20.660005</v>
      </c>
      <c r="G50" s="48" t="n">
        <f aca="false">IF(E50&lt;=QUARTILE($E$2:$E$246,1),4,IF(E50&lt;=QUARTILE($E$2:$E$246,2),3,IF(E50&lt;=QUARTILE($E$2:$E$246,3),2,1)))</f>
        <v>1</v>
      </c>
      <c r="H50" s="48" t="n">
        <f aca="false">IF(B50&gt;QUARTILE($B$2:$B$246,3),4,IF(B50&gt;QUARTILE($B$2:$B$246,2),3,IF(B50&gt;QUARTILE($B$2:$B$246,1),2,1)))</f>
        <v>1</v>
      </c>
      <c r="I50" s="48" t="n">
        <f aca="false">IF(C50&gt;QUARTILE($C$2:$C$246,3),4,IF(C50&gt;QUARTILE($C$2:$C$246,2),3,IF(C50&gt;QUARTILE($C$2:$C$246,1),2,1)))</f>
        <v>1</v>
      </c>
      <c r="J50" s="48" t="n">
        <f aca="false">G50+H50+I50</f>
        <v>3</v>
      </c>
      <c r="K50" s="44" t="str">
        <f aca="false">IF(J50&gt;=rfv_campeoes,"Campeões",IF(J50&gt;=rfv_leais,"Leais",IF(J50&gt;=rfv_atencao,"Atenção","Em risco")))</f>
        <v>Em risco</v>
      </c>
    </row>
    <row r="51" customFormat="false" ht="15" hidden="false" customHeight="false" outlineLevel="0" collapsed="false">
      <c r="A51" s="44" t="s">
        <v>483</v>
      </c>
      <c r="B51" s="48" t="n">
        <f aca="false">COUNTIFS(v_cliente,A51)</f>
        <v>5</v>
      </c>
      <c r="C51" s="46" t="n">
        <f aca="false">SUMIFS(v_valor,v_cliente,A51)</f>
        <v>836.75</v>
      </c>
      <c r="D51" s="45" t="n">
        <f aca="false">_xlfn.MAXIFS(v_data,v_cliente,A51)</f>
        <v>45602</v>
      </c>
      <c r="E51" s="48" t="n">
        <f aca="false">rfv_ref-D51</f>
        <v>56</v>
      </c>
      <c r="F51" s="49" t="n">
        <f aca="false">C51+ROW()/10000000</f>
        <v>836.7500051</v>
      </c>
      <c r="G51" s="48" t="n">
        <f aca="false">IF(E51&lt;=QUARTILE($E$2:$E$246,1),4,IF(E51&lt;=QUARTILE($E$2:$E$246,2),3,IF(E51&lt;=QUARTILE($E$2:$E$246,3),2,1)))</f>
        <v>3</v>
      </c>
      <c r="H51" s="48" t="n">
        <f aca="false">IF(B51&gt;QUARTILE($B$2:$B$246,3),4,IF(B51&gt;QUARTILE($B$2:$B$246,2),3,IF(B51&gt;QUARTILE($B$2:$B$246,1),2,1)))</f>
        <v>3</v>
      </c>
      <c r="I51" s="48" t="n">
        <f aca="false">IF(C51&gt;QUARTILE($C$2:$C$246,3),4,IF(C51&gt;QUARTILE($C$2:$C$246,2),3,IF(C51&gt;QUARTILE($C$2:$C$246,1),2,1)))</f>
        <v>4</v>
      </c>
      <c r="J51" s="48" t="n">
        <f aca="false">G51+H51+I51</f>
        <v>10</v>
      </c>
      <c r="K51" s="44" t="str">
        <f aca="false">IF(J51&gt;=rfv_campeoes,"Campeões",IF(J51&gt;=rfv_leais,"Leais",IF(J51&gt;=rfv_atencao,"Atenção","Em risco")))</f>
        <v>Campeões</v>
      </c>
    </row>
    <row r="52" customFormat="false" ht="15" hidden="false" customHeight="false" outlineLevel="0" collapsed="false">
      <c r="A52" s="44" t="s">
        <v>371</v>
      </c>
      <c r="B52" s="48" t="n">
        <f aca="false">COUNTIFS(v_cliente,A52)</f>
        <v>6</v>
      </c>
      <c r="C52" s="46" t="n">
        <f aca="false">SUMIFS(v_valor,v_cliente,A52)</f>
        <v>476.9</v>
      </c>
      <c r="D52" s="45" t="n">
        <f aca="false">_xlfn.MAXIFS(v_data,v_cliente,A52)</f>
        <v>45633</v>
      </c>
      <c r="E52" s="48" t="n">
        <f aca="false">rfv_ref-D52</f>
        <v>25</v>
      </c>
      <c r="F52" s="49" t="n">
        <f aca="false">C52+ROW()/10000000</f>
        <v>476.9000052</v>
      </c>
      <c r="G52" s="48" t="n">
        <f aca="false">IF(E52&lt;=QUARTILE($E$2:$E$246,1),4,IF(E52&lt;=QUARTILE($E$2:$E$246,2),3,IF(E52&lt;=QUARTILE($E$2:$E$246,3),2,1)))</f>
        <v>3</v>
      </c>
      <c r="H52" s="48" t="n">
        <f aca="false">IF(B52&gt;QUARTILE($B$2:$B$246,3),4,IF(B52&gt;QUARTILE($B$2:$B$246,2),3,IF(B52&gt;QUARTILE($B$2:$B$246,1),2,1)))</f>
        <v>4</v>
      </c>
      <c r="I52" s="48" t="n">
        <f aca="false">IF(C52&gt;QUARTILE($C$2:$C$246,3),4,IF(C52&gt;QUARTILE($C$2:$C$246,2),3,IF(C52&gt;QUARTILE($C$2:$C$246,1),2,1)))</f>
        <v>3</v>
      </c>
      <c r="J52" s="48" t="n">
        <f aca="false">G52+H52+I52</f>
        <v>10</v>
      </c>
      <c r="K52" s="44" t="str">
        <f aca="false">IF(J52&gt;=rfv_campeoes,"Campeões",IF(J52&gt;=rfv_leais,"Leais",IF(J52&gt;=rfv_atencao,"Atenção","Em risco")))</f>
        <v>Campeões</v>
      </c>
    </row>
    <row r="53" customFormat="false" ht="15" hidden="false" customHeight="false" outlineLevel="0" collapsed="false">
      <c r="A53" s="44" t="s">
        <v>439</v>
      </c>
      <c r="B53" s="48" t="n">
        <f aca="false">COUNTIFS(v_cliente,A53)</f>
        <v>5</v>
      </c>
      <c r="C53" s="46" t="n">
        <f aca="false">SUMIFS(v_valor,v_cliente,A53)</f>
        <v>1322.47</v>
      </c>
      <c r="D53" s="45" t="n">
        <f aca="false">_xlfn.MAXIFS(v_data,v_cliente,A53)</f>
        <v>45640</v>
      </c>
      <c r="E53" s="48" t="n">
        <f aca="false">rfv_ref-D53</f>
        <v>18</v>
      </c>
      <c r="F53" s="49" t="n">
        <f aca="false">C53+ROW()/10000000</f>
        <v>1322.4700053</v>
      </c>
      <c r="G53" s="48" t="n">
        <f aca="false">IF(E53&lt;=QUARTILE($E$2:$E$246,1),4,IF(E53&lt;=QUARTILE($E$2:$E$246,2),3,IF(E53&lt;=QUARTILE($E$2:$E$246,3),2,1)))</f>
        <v>4</v>
      </c>
      <c r="H53" s="48" t="n">
        <f aca="false">IF(B53&gt;QUARTILE($B$2:$B$246,3),4,IF(B53&gt;QUARTILE($B$2:$B$246,2),3,IF(B53&gt;QUARTILE($B$2:$B$246,1),2,1)))</f>
        <v>3</v>
      </c>
      <c r="I53" s="48" t="n">
        <f aca="false">IF(C53&gt;QUARTILE($C$2:$C$246,3),4,IF(C53&gt;QUARTILE($C$2:$C$246,2),3,IF(C53&gt;QUARTILE($C$2:$C$246,1),2,1)))</f>
        <v>4</v>
      </c>
      <c r="J53" s="48" t="n">
        <f aca="false">G53+H53+I53</f>
        <v>11</v>
      </c>
      <c r="K53" s="44" t="str">
        <f aca="false">IF(J53&gt;=rfv_campeoes,"Campeões",IF(J53&gt;=rfv_leais,"Leais",IF(J53&gt;=rfv_atencao,"Atenção","Em risco")))</f>
        <v>Campeões</v>
      </c>
    </row>
    <row r="54" customFormat="false" ht="15" hidden="false" customHeight="false" outlineLevel="0" collapsed="false">
      <c r="A54" s="44" t="s">
        <v>390</v>
      </c>
      <c r="B54" s="48" t="n">
        <f aca="false">COUNTIFS(v_cliente,A54)</f>
        <v>7</v>
      </c>
      <c r="C54" s="46" t="n">
        <f aca="false">SUMIFS(v_valor,v_cliente,A54)</f>
        <v>357.44</v>
      </c>
      <c r="D54" s="45" t="n">
        <f aca="false">_xlfn.MAXIFS(v_data,v_cliente,A54)</f>
        <v>45644</v>
      </c>
      <c r="E54" s="48" t="n">
        <f aca="false">rfv_ref-D54</f>
        <v>14</v>
      </c>
      <c r="F54" s="49" t="n">
        <f aca="false">C54+ROW()/10000000</f>
        <v>357.4400054</v>
      </c>
      <c r="G54" s="48" t="n">
        <f aca="false">IF(E54&lt;=QUARTILE($E$2:$E$246,1),4,IF(E54&lt;=QUARTILE($E$2:$E$246,2),3,IF(E54&lt;=QUARTILE($E$2:$E$246,3),2,1)))</f>
        <v>4</v>
      </c>
      <c r="H54" s="48" t="n">
        <f aca="false">IF(B54&gt;QUARTILE($B$2:$B$246,3),4,IF(B54&gt;QUARTILE($B$2:$B$246,2),3,IF(B54&gt;QUARTILE($B$2:$B$246,1),2,1)))</f>
        <v>4</v>
      </c>
      <c r="I54" s="48" t="n">
        <f aca="false">IF(C54&gt;QUARTILE($C$2:$C$246,3),4,IF(C54&gt;QUARTILE($C$2:$C$246,2),3,IF(C54&gt;QUARTILE($C$2:$C$246,1),2,1)))</f>
        <v>3</v>
      </c>
      <c r="J54" s="48" t="n">
        <f aca="false">G54+H54+I54</f>
        <v>11</v>
      </c>
      <c r="K54" s="44" t="str">
        <f aca="false">IF(J54&gt;=rfv_campeoes,"Campeões",IF(J54&gt;=rfv_leais,"Leais",IF(J54&gt;=rfv_atencao,"Atenção","Em risco")))</f>
        <v>Campeões</v>
      </c>
    </row>
    <row r="55" customFormat="false" ht="15" hidden="false" customHeight="false" outlineLevel="0" collapsed="false">
      <c r="A55" s="44" t="s">
        <v>399</v>
      </c>
      <c r="B55" s="48" t="n">
        <f aca="false">COUNTIFS(v_cliente,A55)</f>
        <v>7</v>
      </c>
      <c r="C55" s="46" t="n">
        <f aca="false">SUMIFS(v_valor,v_cliente,A55)</f>
        <v>401.67</v>
      </c>
      <c r="D55" s="45" t="n">
        <f aca="false">_xlfn.MAXIFS(v_data,v_cliente,A55)</f>
        <v>45552</v>
      </c>
      <c r="E55" s="48" t="n">
        <f aca="false">rfv_ref-D55</f>
        <v>106</v>
      </c>
      <c r="F55" s="49" t="n">
        <f aca="false">C55+ROW()/10000000</f>
        <v>401.6700055</v>
      </c>
      <c r="G55" s="48" t="n">
        <f aca="false">IF(E55&lt;=QUARTILE($E$2:$E$246,1),4,IF(E55&lt;=QUARTILE($E$2:$E$246,2),3,IF(E55&lt;=QUARTILE($E$2:$E$246,3),2,1)))</f>
        <v>2</v>
      </c>
      <c r="H55" s="48" t="n">
        <f aca="false">IF(B55&gt;QUARTILE($B$2:$B$246,3),4,IF(B55&gt;QUARTILE($B$2:$B$246,2),3,IF(B55&gt;QUARTILE($B$2:$B$246,1),2,1)))</f>
        <v>4</v>
      </c>
      <c r="I55" s="48" t="n">
        <f aca="false">IF(C55&gt;QUARTILE($C$2:$C$246,3),4,IF(C55&gt;QUARTILE($C$2:$C$246,2),3,IF(C55&gt;QUARTILE($C$2:$C$246,1),2,1)))</f>
        <v>3</v>
      </c>
      <c r="J55" s="48" t="n">
        <f aca="false">G55+H55+I55</f>
        <v>9</v>
      </c>
      <c r="K55" s="44" t="str">
        <f aca="false">IF(J55&gt;=rfv_campeoes,"Campeões",IF(J55&gt;=rfv_leais,"Leais",IF(J55&gt;=rfv_atencao,"Atenção","Em risco")))</f>
        <v>Leais</v>
      </c>
    </row>
    <row r="56" customFormat="false" ht="15" hidden="false" customHeight="false" outlineLevel="0" collapsed="false">
      <c r="A56" s="44" t="s">
        <v>559</v>
      </c>
      <c r="B56" s="48" t="n">
        <f aca="false">COUNTIFS(v_cliente,A56)</f>
        <v>2</v>
      </c>
      <c r="C56" s="46" t="n">
        <f aca="false">SUMIFS(v_valor,v_cliente,A56)</f>
        <v>255.16</v>
      </c>
      <c r="D56" s="45" t="n">
        <f aca="false">_xlfn.MAXIFS(v_data,v_cliente,A56)</f>
        <v>45535</v>
      </c>
      <c r="E56" s="48" t="n">
        <f aca="false">rfv_ref-D56</f>
        <v>123</v>
      </c>
      <c r="F56" s="49" t="n">
        <f aca="false">C56+ROW()/10000000</f>
        <v>255.1600056</v>
      </c>
      <c r="G56" s="48" t="n">
        <f aca="false">IF(E56&lt;=QUARTILE($E$2:$E$246,1),4,IF(E56&lt;=QUARTILE($E$2:$E$246,2),3,IF(E56&lt;=QUARTILE($E$2:$E$246,3),2,1)))</f>
        <v>2</v>
      </c>
      <c r="H56" s="48" t="n">
        <f aca="false">IF(B56&gt;QUARTILE($B$2:$B$246,3),4,IF(B56&gt;QUARTILE($B$2:$B$246,2),3,IF(B56&gt;QUARTILE($B$2:$B$246,1),2,1)))</f>
        <v>1</v>
      </c>
      <c r="I56" s="48" t="n">
        <f aca="false">IF(C56&gt;QUARTILE($C$2:$C$246,3),4,IF(C56&gt;QUARTILE($C$2:$C$246,2),3,IF(C56&gt;QUARTILE($C$2:$C$246,1),2,1)))</f>
        <v>2</v>
      </c>
      <c r="J56" s="48" t="n">
        <f aca="false">G56+H56+I56</f>
        <v>5</v>
      </c>
      <c r="K56" s="44" t="str">
        <f aca="false">IF(J56&gt;=rfv_campeoes,"Campeões",IF(J56&gt;=rfv_leais,"Leais",IF(J56&gt;=rfv_atencao,"Atenção","Em risco")))</f>
        <v>Atenção</v>
      </c>
    </row>
    <row r="57" customFormat="false" ht="15" hidden="false" customHeight="false" outlineLevel="0" collapsed="false">
      <c r="A57" s="44" t="s">
        <v>349</v>
      </c>
      <c r="B57" s="48" t="n">
        <f aca="false">COUNTIFS(v_cliente,A57)</f>
        <v>3</v>
      </c>
      <c r="C57" s="46" t="n">
        <f aca="false">SUMIFS(v_valor,v_cliente,A57)</f>
        <v>285.39</v>
      </c>
      <c r="D57" s="45" t="n">
        <f aca="false">_xlfn.MAXIFS(v_data,v_cliente,A57)</f>
        <v>45449</v>
      </c>
      <c r="E57" s="48" t="n">
        <f aca="false">rfv_ref-D57</f>
        <v>209</v>
      </c>
      <c r="F57" s="49" t="n">
        <f aca="false">C57+ROW()/10000000</f>
        <v>285.3900057</v>
      </c>
      <c r="G57" s="48" t="n">
        <f aca="false">IF(E57&lt;=QUARTILE($E$2:$E$246,1),4,IF(E57&lt;=QUARTILE($E$2:$E$246,2),3,IF(E57&lt;=QUARTILE($E$2:$E$246,3),2,1)))</f>
        <v>1</v>
      </c>
      <c r="H57" s="48" t="n">
        <f aca="false">IF(B57&gt;QUARTILE($B$2:$B$246,3),4,IF(B57&gt;QUARTILE($B$2:$B$246,2),3,IF(B57&gt;QUARTILE($B$2:$B$246,1),2,1)))</f>
        <v>1</v>
      </c>
      <c r="I57" s="48" t="n">
        <f aca="false">IF(C57&gt;QUARTILE($C$2:$C$246,3),4,IF(C57&gt;QUARTILE($C$2:$C$246,2),3,IF(C57&gt;QUARTILE($C$2:$C$246,1),2,1)))</f>
        <v>2</v>
      </c>
      <c r="J57" s="48" t="n">
        <f aca="false">G57+H57+I57</f>
        <v>4</v>
      </c>
      <c r="K57" s="44" t="str">
        <f aca="false">IF(J57&gt;=rfv_campeoes,"Campeões",IF(J57&gt;=rfv_leais,"Leais",IF(J57&gt;=rfv_atencao,"Atenção","Em risco")))</f>
        <v>Em risco</v>
      </c>
    </row>
    <row r="58" customFormat="false" ht="15" hidden="false" customHeight="false" outlineLevel="0" collapsed="false">
      <c r="A58" s="44" t="s">
        <v>551</v>
      </c>
      <c r="B58" s="48" t="n">
        <f aca="false">COUNTIFS(v_cliente,A58)</f>
        <v>2</v>
      </c>
      <c r="C58" s="46" t="n">
        <f aca="false">SUMIFS(v_valor,v_cliente,A58)</f>
        <v>160.35</v>
      </c>
      <c r="D58" s="45" t="n">
        <f aca="false">_xlfn.MAXIFS(v_data,v_cliente,A58)</f>
        <v>45474</v>
      </c>
      <c r="E58" s="48" t="n">
        <f aca="false">rfv_ref-D58</f>
        <v>184</v>
      </c>
      <c r="F58" s="49" t="n">
        <f aca="false">C58+ROW()/10000000</f>
        <v>160.3500058</v>
      </c>
      <c r="G58" s="48" t="n">
        <f aca="false">IF(E58&lt;=QUARTILE($E$2:$E$246,1),4,IF(E58&lt;=QUARTILE($E$2:$E$246,2),3,IF(E58&lt;=QUARTILE($E$2:$E$246,3),2,1)))</f>
        <v>1</v>
      </c>
      <c r="H58" s="48" t="n">
        <f aca="false">IF(B58&gt;QUARTILE($B$2:$B$246,3),4,IF(B58&gt;QUARTILE($B$2:$B$246,2),3,IF(B58&gt;QUARTILE($B$2:$B$246,1),2,1)))</f>
        <v>1</v>
      </c>
      <c r="I58" s="48" t="n">
        <f aca="false">IF(C58&gt;QUARTILE($C$2:$C$246,3),4,IF(C58&gt;QUARTILE($C$2:$C$246,2),3,IF(C58&gt;QUARTILE($C$2:$C$246,1),2,1)))</f>
        <v>1</v>
      </c>
      <c r="J58" s="48" t="n">
        <f aca="false">G58+H58+I58</f>
        <v>3</v>
      </c>
      <c r="K58" s="44" t="str">
        <f aca="false">IF(J58&gt;=rfv_campeoes,"Campeões",IF(J58&gt;=rfv_leais,"Leais",IF(J58&gt;=rfv_atencao,"Atenção","Em risco")))</f>
        <v>Em risco</v>
      </c>
    </row>
    <row r="59" customFormat="false" ht="15" hidden="false" customHeight="false" outlineLevel="0" collapsed="false">
      <c r="A59" s="44" t="s">
        <v>362</v>
      </c>
      <c r="B59" s="48" t="n">
        <f aca="false">COUNTIFS(v_cliente,A59)</f>
        <v>9</v>
      </c>
      <c r="C59" s="46" t="n">
        <f aca="false">SUMIFS(v_valor,v_cliente,A59)</f>
        <v>706.86</v>
      </c>
      <c r="D59" s="45" t="n">
        <f aca="false">_xlfn.MAXIFS(v_data,v_cliente,A59)</f>
        <v>45624</v>
      </c>
      <c r="E59" s="48" t="n">
        <f aca="false">rfv_ref-D59</f>
        <v>34</v>
      </c>
      <c r="F59" s="49" t="n">
        <f aca="false">C59+ROW()/10000000</f>
        <v>706.8600059</v>
      </c>
      <c r="G59" s="48" t="n">
        <f aca="false">IF(E59&lt;=QUARTILE($E$2:$E$246,1),4,IF(E59&lt;=QUARTILE($E$2:$E$246,2),3,IF(E59&lt;=QUARTILE($E$2:$E$246,3),2,1)))</f>
        <v>3</v>
      </c>
      <c r="H59" s="48" t="n">
        <f aca="false">IF(B59&gt;QUARTILE($B$2:$B$246,3),4,IF(B59&gt;QUARTILE($B$2:$B$246,2),3,IF(B59&gt;QUARTILE($B$2:$B$246,1),2,1)))</f>
        <v>4</v>
      </c>
      <c r="I59" s="48" t="n">
        <f aca="false">IF(C59&gt;QUARTILE($C$2:$C$246,3),4,IF(C59&gt;QUARTILE($C$2:$C$246,2),3,IF(C59&gt;QUARTILE($C$2:$C$246,1),2,1)))</f>
        <v>4</v>
      </c>
      <c r="J59" s="48" t="n">
        <f aca="false">G59+H59+I59</f>
        <v>11</v>
      </c>
      <c r="K59" s="44" t="str">
        <f aca="false">IF(J59&gt;=rfv_campeoes,"Campeões",IF(J59&gt;=rfv_leais,"Leais",IF(J59&gt;=rfv_atencao,"Atenção","Em risco")))</f>
        <v>Campeões</v>
      </c>
    </row>
    <row r="60" customFormat="false" ht="15" hidden="false" customHeight="false" outlineLevel="0" collapsed="false">
      <c r="A60" s="44" t="s">
        <v>364</v>
      </c>
      <c r="B60" s="48" t="n">
        <f aca="false">COUNTIFS(v_cliente,A60)</f>
        <v>5</v>
      </c>
      <c r="C60" s="46" t="n">
        <f aca="false">SUMIFS(v_valor,v_cliente,A60)</f>
        <v>379.86</v>
      </c>
      <c r="D60" s="45" t="n">
        <f aca="false">_xlfn.MAXIFS(v_data,v_cliente,A60)</f>
        <v>45617</v>
      </c>
      <c r="E60" s="48" t="n">
        <f aca="false">rfv_ref-D60</f>
        <v>41</v>
      </c>
      <c r="F60" s="49" t="n">
        <f aca="false">C60+ROW()/10000000</f>
        <v>379.860006</v>
      </c>
      <c r="G60" s="48" t="n">
        <f aca="false">IF(E60&lt;=QUARTILE($E$2:$E$246,1),4,IF(E60&lt;=QUARTILE($E$2:$E$246,2),3,IF(E60&lt;=QUARTILE($E$2:$E$246,3),2,1)))</f>
        <v>3</v>
      </c>
      <c r="H60" s="48" t="n">
        <f aca="false">IF(B60&gt;QUARTILE($B$2:$B$246,3),4,IF(B60&gt;QUARTILE($B$2:$B$246,2),3,IF(B60&gt;QUARTILE($B$2:$B$246,1),2,1)))</f>
        <v>3</v>
      </c>
      <c r="I60" s="48" t="n">
        <f aca="false">IF(C60&gt;QUARTILE($C$2:$C$246,3),4,IF(C60&gt;QUARTILE($C$2:$C$246,2),3,IF(C60&gt;QUARTILE($C$2:$C$246,1),2,1)))</f>
        <v>3</v>
      </c>
      <c r="J60" s="48" t="n">
        <f aca="false">G60+H60+I60</f>
        <v>9</v>
      </c>
      <c r="K60" s="44" t="str">
        <f aca="false">IF(J60&gt;=rfv_campeoes,"Campeões",IF(J60&gt;=rfv_leais,"Leais",IF(J60&gt;=rfv_atencao,"Atenção","Em risco")))</f>
        <v>Leais</v>
      </c>
    </row>
    <row r="61" customFormat="false" ht="15" hidden="false" customHeight="false" outlineLevel="0" collapsed="false">
      <c r="A61" s="44" t="s">
        <v>431</v>
      </c>
      <c r="B61" s="48" t="n">
        <f aca="false">COUNTIFS(v_cliente,A61)</f>
        <v>4</v>
      </c>
      <c r="C61" s="46" t="n">
        <f aca="false">SUMIFS(v_valor,v_cliente,A61)</f>
        <v>205.46</v>
      </c>
      <c r="D61" s="45" t="n">
        <f aca="false">_xlfn.MAXIFS(v_data,v_cliente,A61)</f>
        <v>45645</v>
      </c>
      <c r="E61" s="48" t="n">
        <f aca="false">rfv_ref-D61</f>
        <v>13</v>
      </c>
      <c r="F61" s="49" t="n">
        <f aca="false">C61+ROW()/10000000</f>
        <v>205.4600061</v>
      </c>
      <c r="G61" s="48" t="n">
        <f aca="false">IF(E61&lt;=QUARTILE($E$2:$E$246,1),4,IF(E61&lt;=QUARTILE($E$2:$E$246,2),3,IF(E61&lt;=QUARTILE($E$2:$E$246,3),2,1)))</f>
        <v>4</v>
      </c>
      <c r="H61" s="48" t="n">
        <f aca="false">IF(B61&gt;QUARTILE($B$2:$B$246,3),4,IF(B61&gt;QUARTILE($B$2:$B$246,2),3,IF(B61&gt;QUARTILE($B$2:$B$246,1),2,1)))</f>
        <v>2</v>
      </c>
      <c r="I61" s="48" t="n">
        <f aca="false">IF(C61&gt;QUARTILE($C$2:$C$246,3),4,IF(C61&gt;QUARTILE($C$2:$C$246,2),3,IF(C61&gt;QUARTILE($C$2:$C$246,1),2,1)))</f>
        <v>2</v>
      </c>
      <c r="J61" s="48" t="n">
        <f aca="false">G61+H61+I61</f>
        <v>8</v>
      </c>
      <c r="K61" s="44" t="str">
        <f aca="false">IF(J61&gt;=rfv_campeoes,"Campeões",IF(J61&gt;=rfv_leais,"Leais",IF(J61&gt;=rfv_atencao,"Atenção","Em risco")))</f>
        <v>Leais</v>
      </c>
    </row>
    <row r="62" customFormat="false" ht="15" hidden="false" customHeight="false" outlineLevel="0" collapsed="false">
      <c r="A62" s="44" t="s">
        <v>507</v>
      </c>
      <c r="B62" s="48" t="n">
        <f aca="false">COUNTIFS(v_cliente,A62)</f>
        <v>5</v>
      </c>
      <c r="C62" s="46" t="n">
        <f aca="false">SUMIFS(v_valor,v_cliente,A62)</f>
        <v>188.16</v>
      </c>
      <c r="D62" s="45" t="n">
        <f aca="false">_xlfn.MAXIFS(v_data,v_cliente,A62)</f>
        <v>45521</v>
      </c>
      <c r="E62" s="48" t="n">
        <f aca="false">rfv_ref-D62</f>
        <v>137</v>
      </c>
      <c r="F62" s="49" t="n">
        <f aca="false">C62+ROW()/10000000</f>
        <v>188.1600062</v>
      </c>
      <c r="G62" s="48" t="n">
        <f aca="false">IF(E62&lt;=QUARTILE($E$2:$E$246,1),4,IF(E62&lt;=QUARTILE($E$2:$E$246,2),3,IF(E62&lt;=QUARTILE($E$2:$E$246,3),2,1)))</f>
        <v>1</v>
      </c>
      <c r="H62" s="48" t="n">
        <f aca="false">IF(B62&gt;QUARTILE($B$2:$B$246,3),4,IF(B62&gt;QUARTILE($B$2:$B$246,2),3,IF(B62&gt;QUARTILE($B$2:$B$246,1),2,1)))</f>
        <v>3</v>
      </c>
      <c r="I62" s="48" t="n">
        <f aca="false">IF(C62&gt;QUARTILE($C$2:$C$246,3),4,IF(C62&gt;QUARTILE($C$2:$C$246,2),3,IF(C62&gt;QUARTILE($C$2:$C$246,1),2,1)))</f>
        <v>2</v>
      </c>
      <c r="J62" s="48" t="n">
        <f aca="false">G62+H62+I62</f>
        <v>6</v>
      </c>
      <c r="K62" s="44" t="str">
        <f aca="false">IF(J62&gt;=rfv_campeoes,"Campeões",IF(J62&gt;=rfv_leais,"Leais",IF(J62&gt;=rfv_atencao,"Atenção","Em risco")))</f>
        <v>Atenção</v>
      </c>
    </row>
    <row r="63" customFormat="false" ht="15" hidden="false" customHeight="false" outlineLevel="0" collapsed="false">
      <c r="A63" s="44" t="s">
        <v>555</v>
      </c>
      <c r="B63" s="48" t="n">
        <f aca="false">COUNTIFS(v_cliente,A63)</f>
        <v>2</v>
      </c>
      <c r="C63" s="46" t="n">
        <f aca="false">SUMIFS(v_valor,v_cliente,A63)</f>
        <v>116.47</v>
      </c>
      <c r="D63" s="45" t="n">
        <f aca="false">_xlfn.MAXIFS(v_data,v_cliente,A63)</f>
        <v>45489</v>
      </c>
      <c r="E63" s="48" t="n">
        <f aca="false">rfv_ref-D63</f>
        <v>169</v>
      </c>
      <c r="F63" s="49" t="n">
        <f aca="false">C63+ROW()/10000000</f>
        <v>116.4700063</v>
      </c>
      <c r="G63" s="48" t="n">
        <f aca="false">IF(E63&lt;=QUARTILE($E$2:$E$246,1),4,IF(E63&lt;=QUARTILE($E$2:$E$246,2),3,IF(E63&lt;=QUARTILE($E$2:$E$246,3),2,1)))</f>
        <v>1</v>
      </c>
      <c r="H63" s="48" t="n">
        <f aca="false">IF(B63&gt;QUARTILE($B$2:$B$246,3),4,IF(B63&gt;QUARTILE($B$2:$B$246,2),3,IF(B63&gt;QUARTILE($B$2:$B$246,1),2,1)))</f>
        <v>1</v>
      </c>
      <c r="I63" s="48" t="n">
        <f aca="false">IF(C63&gt;QUARTILE($C$2:$C$246,3),4,IF(C63&gt;QUARTILE($C$2:$C$246,2),3,IF(C63&gt;QUARTILE($C$2:$C$246,1),2,1)))</f>
        <v>1</v>
      </c>
      <c r="J63" s="48" t="n">
        <f aca="false">G63+H63+I63</f>
        <v>3</v>
      </c>
      <c r="K63" s="44" t="str">
        <f aca="false">IF(J63&gt;=rfv_campeoes,"Campeões",IF(J63&gt;=rfv_leais,"Leais",IF(J63&gt;=rfv_atencao,"Atenção","Em risco")))</f>
        <v>Em risco</v>
      </c>
    </row>
    <row r="64" customFormat="false" ht="15" hidden="false" customHeight="false" outlineLevel="0" collapsed="false">
      <c r="A64" s="44" t="s">
        <v>412</v>
      </c>
      <c r="B64" s="48" t="n">
        <f aca="false">COUNTIFS(v_cliente,A64)</f>
        <v>3</v>
      </c>
      <c r="C64" s="46" t="n">
        <f aca="false">SUMIFS(v_valor,v_cliente,A64)</f>
        <v>70.71</v>
      </c>
      <c r="D64" s="45" t="n">
        <f aca="false">_xlfn.MAXIFS(v_data,v_cliente,A64)</f>
        <v>45558</v>
      </c>
      <c r="E64" s="48" t="n">
        <f aca="false">rfv_ref-D64</f>
        <v>100</v>
      </c>
      <c r="F64" s="49" t="n">
        <f aca="false">C64+ROW()/10000000</f>
        <v>70.7100064</v>
      </c>
      <c r="G64" s="48" t="n">
        <f aca="false">IF(E64&lt;=QUARTILE($E$2:$E$246,1),4,IF(E64&lt;=QUARTILE($E$2:$E$246,2),3,IF(E64&lt;=QUARTILE($E$2:$E$246,3),2,1)))</f>
        <v>2</v>
      </c>
      <c r="H64" s="48" t="n">
        <f aca="false">IF(B64&gt;QUARTILE($B$2:$B$246,3),4,IF(B64&gt;QUARTILE($B$2:$B$246,2),3,IF(B64&gt;QUARTILE($B$2:$B$246,1),2,1)))</f>
        <v>1</v>
      </c>
      <c r="I64" s="48" t="n">
        <f aca="false">IF(C64&gt;QUARTILE($C$2:$C$246,3),4,IF(C64&gt;QUARTILE($C$2:$C$246,2),3,IF(C64&gt;QUARTILE($C$2:$C$246,1),2,1)))</f>
        <v>1</v>
      </c>
      <c r="J64" s="48" t="n">
        <f aca="false">G64+H64+I64</f>
        <v>4</v>
      </c>
      <c r="K64" s="44" t="str">
        <f aca="false">IF(J64&gt;=rfv_campeoes,"Campeões",IF(J64&gt;=rfv_leais,"Leais",IF(J64&gt;=rfv_atencao,"Atenção","Em risco")))</f>
        <v>Em risco</v>
      </c>
    </row>
    <row r="65" customFormat="false" ht="15" hidden="false" customHeight="false" outlineLevel="0" collapsed="false">
      <c r="A65" s="44" t="s">
        <v>473</v>
      </c>
      <c r="B65" s="48" t="n">
        <f aca="false">COUNTIFS(v_cliente,A65)</f>
        <v>2</v>
      </c>
      <c r="C65" s="46" t="n">
        <f aca="false">SUMIFS(v_valor,v_cliente,A65)</f>
        <v>281.12</v>
      </c>
      <c r="D65" s="45" t="n">
        <f aca="false">_xlfn.MAXIFS(v_data,v_cliente,A65)</f>
        <v>45543</v>
      </c>
      <c r="E65" s="48" t="n">
        <f aca="false">rfv_ref-D65</f>
        <v>115</v>
      </c>
      <c r="F65" s="49" t="n">
        <f aca="false">C65+ROW()/10000000</f>
        <v>281.1200065</v>
      </c>
      <c r="G65" s="48" t="n">
        <f aca="false">IF(E65&lt;=QUARTILE($E$2:$E$246,1),4,IF(E65&lt;=QUARTILE($E$2:$E$246,2),3,IF(E65&lt;=QUARTILE($E$2:$E$246,3),2,1)))</f>
        <v>2</v>
      </c>
      <c r="H65" s="48" t="n">
        <f aca="false">IF(B65&gt;QUARTILE($B$2:$B$246,3),4,IF(B65&gt;QUARTILE($B$2:$B$246,2),3,IF(B65&gt;QUARTILE($B$2:$B$246,1),2,1)))</f>
        <v>1</v>
      </c>
      <c r="I65" s="48" t="n">
        <f aca="false">IF(C65&gt;QUARTILE($C$2:$C$246,3),4,IF(C65&gt;QUARTILE($C$2:$C$246,2),3,IF(C65&gt;QUARTILE($C$2:$C$246,1),2,1)))</f>
        <v>2</v>
      </c>
      <c r="J65" s="48" t="n">
        <f aca="false">G65+H65+I65</f>
        <v>5</v>
      </c>
      <c r="K65" s="44" t="str">
        <f aca="false">IF(J65&gt;=rfv_campeoes,"Campeões",IF(J65&gt;=rfv_leais,"Leais",IF(J65&gt;=rfv_atencao,"Atenção","Em risco")))</f>
        <v>Atenção</v>
      </c>
    </row>
    <row r="66" customFormat="false" ht="15" hidden="false" customHeight="false" outlineLevel="0" collapsed="false">
      <c r="A66" s="44" t="s">
        <v>361</v>
      </c>
      <c r="B66" s="48" t="n">
        <f aca="false">COUNTIFS(v_cliente,A66)</f>
        <v>5</v>
      </c>
      <c r="C66" s="46" t="n">
        <f aca="false">SUMIFS(v_valor,v_cliente,A66)</f>
        <v>371.13</v>
      </c>
      <c r="D66" s="45" t="n">
        <f aca="false">_xlfn.MAXIFS(v_data,v_cliente,A66)</f>
        <v>45598</v>
      </c>
      <c r="E66" s="48" t="n">
        <f aca="false">rfv_ref-D66</f>
        <v>60</v>
      </c>
      <c r="F66" s="49" t="n">
        <f aca="false">C66+ROW()/10000000</f>
        <v>371.1300066</v>
      </c>
      <c r="G66" s="48" t="n">
        <f aca="false">IF(E66&lt;=QUARTILE($E$2:$E$246,1),4,IF(E66&lt;=QUARTILE($E$2:$E$246,2),3,IF(E66&lt;=QUARTILE($E$2:$E$246,3),2,1)))</f>
        <v>3</v>
      </c>
      <c r="H66" s="48" t="n">
        <f aca="false">IF(B66&gt;QUARTILE($B$2:$B$246,3),4,IF(B66&gt;QUARTILE($B$2:$B$246,2),3,IF(B66&gt;QUARTILE($B$2:$B$246,1),2,1)))</f>
        <v>3</v>
      </c>
      <c r="I66" s="48" t="n">
        <f aca="false">IF(C66&gt;QUARTILE($C$2:$C$246,3),4,IF(C66&gt;QUARTILE($C$2:$C$246,2),3,IF(C66&gt;QUARTILE($C$2:$C$246,1),2,1)))</f>
        <v>3</v>
      </c>
      <c r="J66" s="48" t="n">
        <f aca="false">G66+H66+I66</f>
        <v>9</v>
      </c>
      <c r="K66" s="44" t="str">
        <f aca="false">IF(J66&gt;=rfv_campeoes,"Campeões",IF(J66&gt;=rfv_leais,"Leais",IF(J66&gt;=rfv_atencao,"Atenção","Em risco")))</f>
        <v>Leais</v>
      </c>
    </row>
    <row r="67" customFormat="false" ht="15" hidden="false" customHeight="false" outlineLevel="0" collapsed="false">
      <c r="A67" s="44" t="s">
        <v>307</v>
      </c>
      <c r="B67" s="48" t="n">
        <f aca="false">COUNTIFS(v_cliente,A67)</f>
        <v>3</v>
      </c>
      <c r="C67" s="46" t="n">
        <f aca="false">SUMIFS(v_valor,v_cliente,A67)</f>
        <v>140.6</v>
      </c>
      <c r="D67" s="45" t="n">
        <f aca="false">_xlfn.MAXIFS(v_data,v_cliente,A67)</f>
        <v>45512</v>
      </c>
      <c r="E67" s="48" t="n">
        <f aca="false">rfv_ref-D67</f>
        <v>146</v>
      </c>
      <c r="F67" s="49" t="n">
        <f aca="false">C67+ROW()/10000000</f>
        <v>140.6000067</v>
      </c>
      <c r="G67" s="48" t="n">
        <f aca="false">IF(E67&lt;=QUARTILE($E$2:$E$246,1),4,IF(E67&lt;=QUARTILE($E$2:$E$246,2),3,IF(E67&lt;=QUARTILE($E$2:$E$246,3),2,1)))</f>
        <v>1</v>
      </c>
      <c r="H67" s="48" t="n">
        <f aca="false">IF(B67&gt;QUARTILE($B$2:$B$246,3),4,IF(B67&gt;QUARTILE($B$2:$B$246,2),3,IF(B67&gt;QUARTILE($B$2:$B$246,1),2,1)))</f>
        <v>1</v>
      </c>
      <c r="I67" s="48" t="n">
        <f aca="false">IF(C67&gt;QUARTILE($C$2:$C$246,3),4,IF(C67&gt;QUARTILE($C$2:$C$246,2),3,IF(C67&gt;QUARTILE($C$2:$C$246,1),2,1)))</f>
        <v>1</v>
      </c>
      <c r="J67" s="48" t="n">
        <f aca="false">G67+H67+I67</f>
        <v>3</v>
      </c>
      <c r="K67" s="44" t="str">
        <f aca="false">IF(J67&gt;=rfv_campeoes,"Campeões",IF(J67&gt;=rfv_leais,"Leais",IF(J67&gt;=rfv_atencao,"Atenção","Em risco")))</f>
        <v>Em risco</v>
      </c>
    </row>
    <row r="68" customFormat="false" ht="15" hidden="false" customHeight="false" outlineLevel="0" collapsed="false">
      <c r="A68" s="44" t="s">
        <v>424</v>
      </c>
      <c r="B68" s="48" t="n">
        <f aca="false">COUNTIFS(v_cliente,A68)</f>
        <v>3</v>
      </c>
      <c r="C68" s="46" t="n">
        <f aca="false">SUMIFS(v_valor,v_cliente,A68)</f>
        <v>911.81</v>
      </c>
      <c r="D68" s="45" t="n">
        <f aca="false">_xlfn.MAXIFS(v_data,v_cliente,A68)</f>
        <v>45581</v>
      </c>
      <c r="E68" s="48" t="n">
        <f aca="false">rfv_ref-D68</f>
        <v>77</v>
      </c>
      <c r="F68" s="49" t="n">
        <f aca="false">C68+ROW()/10000000</f>
        <v>911.8100068</v>
      </c>
      <c r="G68" s="48" t="n">
        <f aca="false">IF(E68&lt;=QUARTILE($E$2:$E$246,1),4,IF(E68&lt;=QUARTILE($E$2:$E$246,2),3,IF(E68&lt;=QUARTILE($E$2:$E$246,3),2,1)))</f>
        <v>2</v>
      </c>
      <c r="H68" s="48" t="n">
        <f aca="false">IF(B68&gt;QUARTILE($B$2:$B$246,3),4,IF(B68&gt;QUARTILE($B$2:$B$246,2),3,IF(B68&gt;QUARTILE($B$2:$B$246,1),2,1)))</f>
        <v>1</v>
      </c>
      <c r="I68" s="48" t="n">
        <f aca="false">IF(C68&gt;QUARTILE($C$2:$C$246,3),4,IF(C68&gt;QUARTILE($C$2:$C$246,2),3,IF(C68&gt;QUARTILE($C$2:$C$246,1),2,1)))</f>
        <v>4</v>
      </c>
      <c r="J68" s="48" t="n">
        <f aca="false">G68+H68+I68</f>
        <v>7</v>
      </c>
      <c r="K68" s="44" t="str">
        <f aca="false">IF(J68&gt;=rfv_campeoes,"Campeões",IF(J68&gt;=rfv_leais,"Leais",IF(J68&gt;=rfv_atencao,"Atenção","Em risco")))</f>
        <v>Leais</v>
      </c>
    </row>
    <row r="69" customFormat="false" ht="15" hidden="false" customHeight="false" outlineLevel="0" collapsed="false">
      <c r="A69" s="44" t="s">
        <v>368</v>
      </c>
      <c r="B69" s="48" t="n">
        <f aca="false">COUNTIFS(v_cliente,A69)</f>
        <v>10</v>
      </c>
      <c r="C69" s="46" t="n">
        <f aca="false">SUMIFS(v_valor,v_cliente,A69)</f>
        <v>583.87</v>
      </c>
      <c r="D69" s="45" t="n">
        <f aca="false">_xlfn.MAXIFS(v_data,v_cliente,A69)</f>
        <v>45643</v>
      </c>
      <c r="E69" s="48" t="n">
        <f aca="false">rfv_ref-D69</f>
        <v>15</v>
      </c>
      <c r="F69" s="49" t="n">
        <f aca="false">C69+ROW()/10000000</f>
        <v>583.8700069</v>
      </c>
      <c r="G69" s="48" t="n">
        <f aca="false">IF(E69&lt;=QUARTILE($E$2:$E$246,1),4,IF(E69&lt;=QUARTILE($E$2:$E$246,2),3,IF(E69&lt;=QUARTILE($E$2:$E$246,3),2,1)))</f>
        <v>4</v>
      </c>
      <c r="H69" s="48" t="n">
        <f aca="false">IF(B69&gt;QUARTILE($B$2:$B$246,3),4,IF(B69&gt;QUARTILE($B$2:$B$246,2),3,IF(B69&gt;QUARTILE($B$2:$B$246,1),2,1)))</f>
        <v>4</v>
      </c>
      <c r="I69" s="48" t="n">
        <f aca="false">IF(C69&gt;QUARTILE($C$2:$C$246,3),4,IF(C69&gt;QUARTILE($C$2:$C$246,2),3,IF(C69&gt;QUARTILE($C$2:$C$246,1),2,1)))</f>
        <v>3</v>
      </c>
      <c r="J69" s="48" t="n">
        <f aca="false">G69+H69+I69</f>
        <v>11</v>
      </c>
      <c r="K69" s="44" t="str">
        <f aca="false">IF(J69&gt;=rfv_campeoes,"Campeões",IF(J69&gt;=rfv_leais,"Leais",IF(J69&gt;=rfv_atencao,"Atenção","Em risco")))</f>
        <v>Campeões</v>
      </c>
    </row>
    <row r="70" customFormat="false" ht="15" hidden="false" customHeight="false" outlineLevel="0" collapsed="false">
      <c r="A70" s="44" t="s">
        <v>422</v>
      </c>
      <c r="B70" s="48" t="n">
        <f aca="false">COUNTIFS(v_cliente,A70)</f>
        <v>4</v>
      </c>
      <c r="C70" s="46" t="n">
        <f aca="false">SUMIFS(v_valor,v_cliente,A70)</f>
        <v>390.53</v>
      </c>
      <c r="D70" s="45" t="n">
        <f aca="false">_xlfn.MAXIFS(v_data,v_cliente,A70)</f>
        <v>45645</v>
      </c>
      <c r="E70" s="48" t="n">
        <f aca="false">rfv_ref-D70</f>
        <v>13</v>
      </c>
      <c r="F70" s="49" t="n">
        <f aca="false">C70+ROW()/10000000</f>
        <v>390.530007</v>
      </c>
      <c r="G70" s="48" t="n">
        <f aca="false">IF(E70&lt;=QUARTILE($E$2:$E$246,1),4,IF(E70&lt;=QUARTILE($E$2:$E$246,2),3,IF(E70&lt;=QUARTILE($E$2:$E$246,3),2,1)))</f>
        <v>4</v>
      </c>
      <c r="H70" s="48" t="n">
        <f aca="false">IF(B70&gt;QUARTILE($B$2:$B$246,3),4,IF(B70&gt;QUARTILE($B$2:$B$246,2),3,IF(B70&gt;QUARTILE($B$2:$B$246,1),2,1)))</f>
        <v>2</v>
      </c>
      <c r="I70" s="48" t="n">
        <f aca="false">IF(C70&gt;QUARTILE($C$2:$C$246,3),4,IF(C70&gt;QUARTILE($C$2:$C$246,2),3,IF(C70&gt;QUARTILE($C$2:$C$246,1),2,1)))</f>
        <v>3</v>
      </c>
      <c r="J70" s="48" t="n">
        <f aca="false">G70+H70+I70</f>
        <v>9</v>
      </c>
      <c r="K70" s="44" t="str">
        <f aca="false">IF(J70&gt;=rfv_campeoes,"Campeões",IF(J70&gt;=rfv_leais,"Leais",IF(J70&gt;=rfv_atencao,"Atenção","Em risco")))</f>
        <v>Leais</v>
      </c>
    </row>
    <row r="71" customFormat="false" ht="15" hidden="false" customHeight="false" outlineLevel="0" collapsed="false">
      <c r="A71" s="44" t="s">
        <v>400</v>
      </c>
      <c r="B71" s="48" t="n">
        <f aca="false">COUNTIFS(v_cliente,A71)</f>
        <v>7</v>
      </c>
      <c r="C71" s="46" t="n">
        <f aca="false">SUMIFS(v_valor,v_cliente,A71)</f>
        <v>241.35</v>
      </c>
      <c r="D71" s="45" t="n">
        <f aca="false">_xlfn.MAXIFS(v_data,v_cliente,A71)</f>
        <v>45601</v>
      </c>
      <c r="E71" s="48" t="n">
        <f aca="false">rfv_ref-D71</f>
        <v>57</v>
      </c>
      <c r="F71" s="49" t="n">
        <f aca="false">C71+ROW()/10000000</f>
        <v>241.3500071</v>
      </c>
      <c r="G71" s="48" t="n">
        <f aca="false">IF(E71&lt;=QUARTILE($E$2:$E$246,1),4,IF(E71&lt;=QUARTILE($E$2:$E$246,2),3,IF(E71&lt;=QUARTILE($E$2:$E$246,3),2,1)))</f>
        <v>3</v>
      </c>
      <c r="H71" s="48" t="n">
        <f aca="false">IF(B71&gt;QUARTILE($B$2:$B$246,3),4,IF(B71&gt;QUARTILE($B$2:$B$246,2),3,IF(B71&gt;QUARTILE($B$2:$B$246,1),2,1)))</f>
        <v>4</v>
      </c>
      <c r="I71" s="48" t="n">
        <f aca="false">IF(C71&gt;QUARTILE($C$2:$C$246,3),4,IF(C71&gt;QUARTILE($C$2:$C$246,2),3,IF(C71&gt;QUARTILE($C$2:$C$246,1),2,1)))</f>
        <v>2</v>
      </c>
      <c r="J71" s="48" t="n">
        <f aca="false">G71+H71+I71</f>
        <v>9</v>
      </c>
      <c r="K71" s="44" t="str">
        <f aca="false">IF(J71&gt;=rfv_campeoes,"Campeões",IF(J71&gt;=rfv_leais,"Leais",IF(J71&gt;=rfv_atencao,"Atenção","Em risco")))</f>
        <v>Leais</v>
      </c>
    </row>
    <row r="72" customFormat="false" ht="15" hidden="false" customHeight="false" outlineLevel="0" collapsed="false">
      <c r="A72" s="44" t="s">
        <v>447</v>
      </c>
      <c r="B72" s="48" t="n">
        <f aca="false">COUNTIFS(v_cliente,A72)</f>
        <v>4</v>
      </c>
      <c r="C72" s="46" t="n">
        <f aca="false">SUMIFS(v_valor,v_cliente,A72)</f>
        <v>193.22</v>
      </c>
      <c r="D72" s="45" t="n">
        <f aca="false">_xlfn.MAXIFS(v_data,v_cliente,A72)</f>
        <v>45617</v>
      </c>
      <c r="E72" s="48" t="n">
        <f aca="false">rfv_ref-D72</f>
        <v>41</v>
      </c>
      <c r="F72" s="49" t="n">
        <f aca="false">C72+ROW()/10000000</f>
        <v>193.2200072</v>
      </c>
      <c r="G72" s="48" t="n">
        <f aca="false">IF(E72&lt;=QUARTILE($E$2:$E$246,1),4,IF(E72&lt;=QUARTILE($E$2:$E$246,2),3,IF(E72&lt;=QUARTILE($E$2:$E$246,3),2,1)))</f>
        <v>3</v>
      </c>
      <c r="H72" s="48" t="n">
        <f aca="false">IF(B72&gt;QUARTILE($B$2:$B$246,3),4,IF(B72&gt;QUARTILE($B$2:$B$246,2),3,IF(B72&gt;QUARTILE($B$2:$B$246,1),2,1)))</f>
        <v>2</v>
      </c>
      <c r="I72" s="48" t="n">
        <f aca="false">IF(C72&gt;QUARTILE($C$2:$C$246,3),4,IF(C72&gt;QUARTILE($C$2:$C$246,2),3,IF(C72&gt;QUARTILE($C$2:$C$246,1),2,1)))</f>
        <v>2</v>
      </c>
      <c r="J72" s="48" t="n">
        <f aca="false">G72+H72+I72</f>
        <v>7</v>
      </c>
      <c r="K72" s="44" t="str">
        <f aca="false">IF(J72&gt;=rfv_campeoes,"Campeões",IF(J72&gt;=rfv_leais,"Leais",IF(J72&gt;=rfv_atencao,"Atenção","Em risco")))</f>
        <v>Leais</v>
      </c>
    </row>
    <row r="73" customFormat="false" ht="15" hidden="false" customHeight="false" outlineLevel="0" collapsed="false">
      <c r="A73" s="44" t="s">
        <v>336</v>
      </c>
      <c r="B73" s="48" t="n">
        <f aca="false">COUNTIFS(v_cliente,A73)</f>
        <v>6</v>
      </c>
      <c r="C73" s="46" t="n">
        <f aca="false">SUMIFS(v_valor,v_cliente,A73)</f>
        <v>743.77</v>
      </c>
      <c r="D73" s="45" t="n">
        <f aca="false">_xlfn.MAXIFS(v_data,v_cliente,A73)</f>
        <v>45473</v>
      </c>
      <c r="E73" s="48" t="n">
        <f aca="false">rfv_ref-D73</f>
        <v>185</v>
      </c>
      <c r="F73" s="49" t="n">
        <f aca="false">C73+ROW()/10000000</f>
        <v>743.7700073</v>
      </c>
      <c r="G73" s="48" t="n">
        <f aca="false">IF(E73&lt;=QUARTILE($E$2:$E$246,1),4,IF(E73&lt;=QUARTILE($E$2:$E$246,2),3,IF(E73&lt;=QUARTILE($E$2:$E$246,3),2,1)))</f>
        <v>1</v>
      </c>
      <c r="H73" s="48" t="n">
        <f aca="false">IF(B73&gt;QUARTILE($B$2:$B$246,3),4,IF(B73&gt;QUARTILE($B$2:$B$246,2),3,IF(B73&gt;QUARTILE($B$2:$B$246,1),2,1)))</f>
        <v>4</v>
      </c>
      <c r="I73" s="48" t="n">
        <f aca="false">IF(C73&gt;QUARTILE($C$2:$C$246,3),4,IF(C73&gt;QUARTILE($C$2:$C$246,2),3,IF(C73&gt;QUARTILE($C$2:$C$246,1),2,1)))</f>
        <v>4</v>
      </c>
      <c r="J73" s="48" t="n">
        <f aca="false">G73+H73+I73</f>
        <v>9</v>
      </c>
      <c r="K73" s="44" t="str">
        <f aca="false">IF(J73&gt;=rfv_campeoes,"Campeões",IF(J73&gt;=rfv_leais,"Leais",IF(J73&gt;=rfv_atencao,"Atenção","Em risco")))</f>
        <v>Leais</v>
      </c>
    </row>
    <row r="74" customFormat="false" ht="15" hidden="false" customHeight="false" outlineLevel="0" collapsed="false">
      <c r="A74" s="44" t="s">
        <v>450</v>
      </c>
      <c r="B74" s="48" t="n">
        <f aca="false">COUNTIFS(v_cliente,A74)</f>
        <v>2</v>
      </c>
      <c r="C74" s="46" t="n">
        <f aca="false">SUMIFS(v_valor,v_cliente,A74)</f>
        <v>602.76</v>
      </c>
      <c r="D74" s="45" t="n">
        <f aca="false">_xlfn.MAXIFS(v_data,v_cliente,A74)</f>
        <v>45375</v>
      </c>
      <c r="E74" s="48" t="n">
        <f aca="false">rfv_ref-D74</f>
        <v>283</v>
      </c>
      <c r="F74" s="49" t="n">
        <f aca="false">C74+ROW()/10000000</f>
        <v>602.7600074</v>
      </c>
      <c r="G74" s="48" t="n">
        <f aca="false">IF(E74&lt;=QUARTILE($E$2:$E$246,1),4,IF(E74&lt;=QUARTILE($E$2:$E$246,2),3,IF(E74&lt;=QUARTILE($E$2:$E$246,3),2,1)))</f>
        <v>1</v>
      </c>
      <c r="H74" s="48" t="n">
        <f aca="false">IF(B74&gt;QUARTILE($B$2:$B$246,3),4,IF(B74&gt;QUARTILE($B$2:$B$246,2),3,IF(B74&gt;QUARTILE($B$2:$B$246,1),2,1)))</f>
        <v>1</v>
      </c>
      <c r="I74" s="48" t="n">
        <f aca="false">IF(C74&gt;QUARTILE($C$2:$C$246,3),4,IF(C74&gt;QUARTILE($C$2:$C$246,2),3,IF(C74&gt;QUARTILE($C$2:$C$246,1),2,1)))</f>
        <v>3</v>
      </c>
      <c r="J74" s="48" t="n">
        <f aca="false">G74+H74+I74</f>
        <v>5</v>
      </c>
      <c r="K74" s="44" t="str">
        <f aca="false">IF(J74&gt;=rfv_campeoes,"Campeões",IF(J74&gt;=rfv_leais,"Leais",IF(J74&gt;=rfv_atencao,"Atenção","Em risco")))</f>
        <v>Atenção</v>
      </c>
    </row>
    <row r="75" customFormat="false" ht="15" hidden="false" customHeight="false" outlineLevel="0" collapsed="false">
      <c r="A75" s="44" t="s">
        <v>449</v>
      </c>
      <c r="B75" s="48" t="n">
        <f aca="false">COUNTIFS(v_cliente,A75)</f>
        <v>4</v>
      </c>
      <c r="C75" s="46" t="n">
        <f aca="false">SUMIFS(v_valor,v_cliente,A75)</f>
        <v>268.41</v>
      </c>
      <c r="D75" s="45" t="n">
        <f aca="false">_xlfn.MAXIFS(v_data,v_cliente,A75)</f>
        <v>45493</v>
      </c>
      <c r="E75" s="48" t="n">
        <f aca="false">rfv_ref-D75</f>
        <v>165</v>
      </c>
      <c r="F75" s="49" t="n">
        <f aca="false">C75+ROW()/10000000</f>
        <v>268.4100075</v>
      </c>
      <c r="G75" s="48" t="n">
        <f aca="false">IF(E75&lt;=QUARTILE($E$2:$E$246,1),4,IF(E75&lt;=QUARTILE($E$2:$E$246,2),3,IF(E75&lt;=QUARTILE($E$2:$E$246,3),2,1)))</f>
        <v>1</v>
      </c>
      <c r="H75" s="48" t="n">
        <f aca="false">IF(B75&gt;QUARTILE($B$2:$B$246,3),4,IF(B75&gt;QUARTILE($B$2:$B$246,2),3,IF(B75&gt;QUARTILE($B$2:$B$246,1),2,1)))</f>
        <v>2</v>
      </c>
      <c r="I75" s="48" t="n">
        <f aca="false">IF(C75&gt;QUARTILE($C$2:$C$246,3),4,IF(C75&gt;QUARTILE($C$2:$C$246,2),3,IF(C75&gt;QUARTILE($C$2:$C$246,1),2,1)))</f>
        <v>2</v>
      </c>
      <c r="J75" s="48" t="n">
        <f aca="false">G75+H75+I75</f>
        <v>5</v>
      </c>
      <c r="K75" s="44" t="str">
        <f aca="false">IF(J75&gt;=rfv_campeoes,"Campeões",IF(J75&gt;=rfv_leais,"Leais",IF(J75&gt;=rfv_atencao,"Atenção","Em risco")))</f>
        <v>Atenção</v>
      </c>
    </row>
    <row r="76" customFormat="false" ht="15" hidden="false" customHeight="false" outlineLevel="0" collapsed="false">
      <c r="A76" s="44" t="s">
        <v>531</v>
      </c>
      <c r="B76" s="48" t="n">
        <f aca="false">COUNTIFS(v_cliente,A76)</f>
        <v>2</v>
      </c>
      <c r="C76" s="46" t="n">
        <f aca="false">SUMIFS(v_valor,v_cliente,A76)</f>
        <v>152.99</v>
      </c>
      <c r="D76" s="45" t="n">
        <f aca="false">_xlfn.MAXIFS(v_data,v_cliente,A76)</f>
        <v>45654</v>
      </c>
      <c r="E76" s="48" t="n">
        <f aca="false">rfv_ref-D76</f>
        <v>4</v>
      </c>
      <c r="F76" s="49" t="n">
        <f aca="false">C76+ROW()/10000000</f>
        <v>152.9900076</v>
      </c>
      <c r="G76" s="48" t="n">
        <f aca="false">IF(E76&lt;=QUARTILE($E$2:$E$246,1),4,IF(E76&lt;=QUARTILE($E$2:$E$246,2),3,IF(E76&lt;=QUARTILE($E$2:$E$246,3),2,1)))</f>
        <v>4</v>
      </c>
      <c r="H76" s="48" t="n">
        <f aca="false">IF(B76&gt;QUARTILE($B$2:$B$246,3),4,IF(B76&gt;QUARTILE($B$2:$B$246,2),3,IF(B76&gt;QUARTILE($B$2:$B$246,1),2,1)))</f>
        <v>1</v>
      </c>
      <c r="I76" s="48" t="n">
        <f aca="false">IF(C76&gt;QUARTILE($C$2:$C$246,3),4,IF(C76&gt;QUARTILE($C$2:$C$246,2),3,IF(C76&gt;QUARTILE($C$2:$C$246,1),2,1)))</f>
        <v>1</v>
      </c>
      <c r="J76" s="48" t="n">
        <f aca="false">G76+H76+I76</f>
        <v>6</v>
      </c>
      <c r="K76" s="44" t="str">
        <f aca="false">IF(J76&gt;=rfv_campeoes,"Campeões",IF(J76&gt;=rfv_leais,"Leais",IF(J76&gt;=rfv_atencao,"Atenção","Em risco")))</f>
        <v>Atenção</v>
      </c>
    </row>
    <row r="77" customFormat="false" ht="15" hidden="false" customHeight="false" outlineLevel="0" collapsed="false">
      <c r="A77" s="44" t="s">
        <v>337</v>
      </c>
      <c r="B77" s="48" t="n">
        <f aca="false">COUNTIFS(v_cliente,A77)</f>
        <v>4</v>
      </c>
      <c r="C77" s="46" t="n">
        <f aca="false">SUMIFS(v_valor,v_cliente,A77)</f>
        <v>117.56</v>
      </c>
      <c r="D77" s="45" t="n">
        <f aca="false">_xlfn.MAXIFS(v_data,v_cliente,A77)</f>
        <v>45624</v>
      </c>
      <c r="E77" s="48" t="n">
        <f aca="false">rfv_ref-D77</f>
        <v>34</v>
      </c>
      <c r="F77" s="49" t="n">
        <f aca="false">C77+ROW()/10000000</f>
        <v>117.5600077</v>
      </c>
      <c r="G77" s="48" t="n">
        <f aca="false">IF(E77&lt;=QUARTILE($E$2:$E$246,1),4,IF(E77&lt;=QUARTILE($E$2:$E$246,2),3,IF(E77&lt;=QUARTILE($E$2:$E$246,3),2,1)))</f>
        <v>3</v>
      </c>
      <c r="H77" s="48" t="n">
        <f aca="false">IF(B77&gt;QUARTILE($B$2:$B$246,3),4,IF(B77&gt;QUARTILE($B$2:$B$246,2),3,IF(B77&gt;QUARTILE($B$2:$B$246,1),2,1)))</f>
        <v>2</v>
      </c>
      <c r="I77" s="48" t="n">
        <f aca="false">IF(C77&gt;QUARTILE($C$2:$C$246,3),4,IF(C77&gt;QUARTILE($C$2:$C$246,2),3,IF(C77&gt;QUARTILE($C$2:$C$246,1),2,1)))</f>
        <v>1</v>
      </c>
      <c r="J77" s="48" t="n">
        <f aca="false">G77+H77+I77</f>
        <v>6</v>
      </c>
      <c r="K77" s="44" t="str">
        <f aca="false">IF(J77&gt;=rfv_campeoes,"Campeões",IF(J77&gt;=rfv_leais,"Leais",IF(J77&gt;=rfv_atencao,"Atenção","Em risco")))</f>
        <v>Atenção</v>
      </c>
    </row>
    <row r="78" customFormat="false" ht="15" hidden="false" customHeight="false" outlineLevel="0" collapsed="false">
      <c r="A78" s="44" t="s">
        <v>481</v>
      </c>
      <c r="B78" s="48" t="n">
        <f aca="false">COUNTIFS(v_cliente,A78)</f>
        <v>2</v>
      </c>
      <c r="C78" s="46" t="n">
        <f aca="false">SUMIFS(v_valor,v_cliente,A78)</f>
        <v>169.73</v>
      </c>
      <c r="D78" s="45" t="n">
        <f aca="false">_xlfn.MAXIFS(v_data,v_cliente,A78)</f>
        <v>45530</v>
      </c>
      <c r="E78" s="48" t="n">
        <f aca="false">rfv_ref-D78</f>
        <v>128</v>
      </c>
      <c r="F78" s="49" t="n">
        <f aca="false">C78+ROW()/10000000</f>
        <v>169.7300078</v>
      </c>
      <c r="G78" s="48" t="n">
        <f aca="false">IF(E78&lt;=QUARTILE($E$2:$E$246,1),4,IF(E78&lt;=QUARTILE($E$2:$E$246,2),3,IF(E78&lt;=QUARTILE($E$2:$E$246,3),2,1)))</f>
        <v>2</v>
      </c>
      <c r="H78" s="48" t="n">
        <f aca="false">IF(B78&gt;QUARTILE($B$2:$B$246,3),4,IF(B78&gt;QUARTILE($B$2:$B$246,2),3,IF(B78&gt;QUARTILE($B$2:$B$246,1),2,1)))</f>
        <v>1</v>
      </c>
      <c r="I78" s="48" t="n">
        <f aca="false">IF(C78&gt;QUARTILE($C$2:$C$246,3),4,IF(C78&gt;QUARTILE($C$2:$C$246,2),3,IF(C78&gt;QUARTILE($C$2:$C$246,1),2,1)))</f>
        <v>2</v>
      </c>
      <c r="J78" s="48" t="n">
        <f aca="false">G78+H78+I78</f>
        <v>5</v>
      </c>
      <c r="K78" s="44" t="str">
        <f aca="false">IF(J78&gt;=rfv_campeoes,"Campeões",IF(J78&gt;=rfv_leais,"Leais",IF(J78&gt;=rfv_atencao,"Atenção","Em risco")))</f>
        <v>Atenção</v>
      </c>
    </row>
    <row r="79" customFormat="false" ht="15" hidden="false" customHeight="false" outlineLevel="0" collapsed="false">
      <c r="A79" s="44" t="s">
        <v>505</v>
      </c>
      <c r="B79" s="48" t="n">
        <f aca="false">COUNTIFS(v_cliente,A79)</f>
        <v>2</v>
      </c>
      <c r="C79" s="46" t="n">
        <f aca="false">SUMIFS(v_valor,v_cliente,A79)</f>
        <v>23.18</v>
      </c>
      <c r="D79" s="45" t="n">
        <f aca="false">_xlfn.MAXIFS(v_data,v_cliente,A79)</f>
        <v>45345</v>
      </c>
      <c r="E79" s="48" t="n">
        <f aca="false">rfv_ref-D79</f>
        <v>313</v>
      </c>
      <c r="F79" s="49" t="n">
        <f aca="false">C79+ROW()/10000000</f>
        <v>23.1800079</v>
      </c>
      <c r="G79" s="48" t="n">
        <f aca="false">IF(E79&lt;=QUARTILE($E$2:$E$246,1),4,IF(E79&lt;=QUARTILE($E$2:$E$246,2),3,IF(E79&lt;=QUARTILE($E$2:$E$246,3),2,1)))</f>
        <v>1</v>
      </c>
      <c r="H79" s="48" t="n">
        <f aca="false">IF(B79&gt;QUARTILE($B$2:$B$246,3),4,IF(B79&gt;QUARTILE($B$2:$B$246,2),3,IF(B79&gt;QUARTILE($B$2:$B$246,1),2,1)))</f>
        <v>1</v>
      </c>
      <c r="I79" s="48" t="n">
        <f aca="false">IF(C79&gt;QUARTILE($C$2:$C$246,3),4,IF(C79&gt;QUARTILE($C$2:$C$246,2),3,IF(C79&gt;QUARTILE($C$2:$C$246,1),2,1)))</f>
        <v>1</v>
      </c>
      <c r="J79" s="48" t="n">
        <f aca="false">G79+H79+I79</f>
        <v>3</v>
      </c>
      <c r="K79" s="44" t="str">
        <f aca="false">IF(J79&gt;=rfv_campeoes,"Campeões",IF(J79&gt;=rfv_leais,"Leais",IF(J79&gt;=rfv_atencao,"Atenção","Em risco")))</f>
        <v>Em risco</v>
      </c>
    </row>
    <row r="80" customFormat="false" ht="15" hidden="false" customHeight="false" outlineLevel="0" collapsed="false">
      <c r="A80" s="44" t="s">
        <v>474</v>
      </c>
      <c r="B80" s="48" t="n">
        <f aca="false">COUNTIFS(v_cliente,A80)</f>
        <v>5</v>
      </c>
      <c r="C80" s="46" t="n">
        <f aca="false">SUMIFS(v_valor,v_cliente,A80)</f>
        <v>141.84</v>
      </c>
      <c r="D80" s="45" t="n">
        <f aca="false">_xlfn.MAXIFS(v_data,v_cliente,A80)</f>
        <v>45468</v>
      </c>
      <c r="E80" s="48" t="n">
        <f aca="false">rfv_ref-D80</f>
        <v>190</v>
      </c>
      <c r="F80" s="49" t="n">
        <f aca="false">C80+ROW()/10000000</f>
        <v>141.840008</v>
      </c>
      <c r="G80" s="48" t="n">
        <f aca="false">IF(E80&lt;=QUARTILE($E$2:$E$246,1),4,IF(E80&lt;=QUARTILE($E$2:$E$246,2),3,IF(E80&lt;=QUARTILE($E$2:$E$246,3),2,1)))</f>
        <v>1</v>
      </c>
      <c r="H80" s="48" t="n">
        <f aca="false">IF(B80&gt;QUARTILE($B$2:$B$246,3),4,IF(B80&gt;QUARTILE($B$2:$B$246,2),3,IF(B80&gt;QUARTILE($B$2:$B$246,1),2,1)))</f>
        <v>3</v>
      </c>
      <c r="I80" s="48" t="n">
        <f aca="false">IF(C80&gt;QUARTILE($C$2:$C$246,3),4,IF(C80&gt;QUARTILE($C$2:$C$246,2),3,IF(C80&gt;QUARTILE($C$2:$C$246,1),2,1)))</f>
        <v>1</v>
      </c>
      <c r="J80" s="48" t="n">
        <f aca="false">G80+H80+I80</f>
        <v>5</v>
      </c>
      <c r="K80" s="44" t="str">
        <f aca="false">IF(J80&gt;=rfv_campeoes,"Campeões",IF(J80&gt;=rfv_leais,"Leais",IF(J80&gt;=rfv_atencao,"Atenção","Em risco")))</f>
        <v>Atenção</v>
      </c>
    </row>
    <row r="81" customFormat="false" ht="15" hidden="false" customHeight="false" outlineLevel="0" collapsed="false">
      <c r="A81" s="44" t="s">
        <v>552</v>
      </c>
      <c r="B81" s="48" t="n">
        <f aca="false">COUNTIFS(v_cliente,A81)</f>
        <v>3</v>
      </c>
      <c r="C81" s="46" t="n">
        <f aca="false">SUMIFS(v_valor,v_cliente,A81)</f>
        <v>134.43</v>
      </c>
      <c r="D81" s="45" t="n">
        <f aca="false">_xlfn.MAXIFS(v_data,v_cliente,A81)</f>
        <v>45602</v>
      </c>
      <c r="E81" s="48" t="n">
        <f aca="false">rfv_ref-D81</f>
        <v>56</v>
      </c>
      <c r="F81" s="49" t="n">
        <f aca="false">C81+ROW()/10000000</f>
        <v>134.4300081</v>
      </c>
      <c r="G81" s="48" t="n">
        <f aca="false">IF(E81&lt;=QUARTILE($E$2:$E$246,1),4,IF(E81&lt;=QUARTILE($E$2:$E$246,2),3,IF(E81&lt;=QUARTILE($E$2:$E$246,3),2,1)))</f>
        <v>3</v>
      </c>
      <c r="H81" s="48" t="n">
        <f aca="false">IF(B81&gt;QUARTILE($B$2:$B$246,3),4,IF(B81&gt;QUARTILE($B$2:$B$246,2),3,IF(B81&gt;QUARTILE($B$2:$B$246,1),2,1)))</f>
        <v>1</v>
      </c>
      <c r="I81" s="48" t="n">
        <f aca="false">IF(C81&gt;QUARTILE($C$2:$C$246,3),4,IF(C81&gt;QUARTILE($C$2:$C$246,2),3,IF(C81&gt;QUARTILE($C$2:$C$246,1),2,1)))</f>
        <v>1</v>
      </c>
      <c r="J81" s="48" t="n">
        <f aca="false">G81+H81+I81</f>
        <v>5</v>
      </c>
      <c r="K81" s="44" t="str">
        <f aca="false">IF(J81&gt;=rfv_campeoes,"Campeões",IF(J81&gt;=rfv_leais,"Leais",IF(J81&gt;=rfv_atencao,"Atenção","Em risco")))</f>
        <v>Atenção</v>
      </c>
    </row>
    <row r="82" customFormat="false" ht="15" hidden="false" customHeight="false" outlineLevel="0" collapsed="false">
      <c r="A82" s="44" t="s">
        <v>330</v>
      </c>
      <c r="B82" s="48" t="n">
        <f aca="false">COUNTIFS(v_cliente,A82)</f>
        <v>2</v>
      </c>
      <c r="C82" s="46" t="n">
        <f aca="false">SUMIFS(v_valor,v_cliente,A82)</f>
        <v>100.05</v>
      </c>
      <c r="D82" s="45" t="n">
        <f aca="false">_xlfn.MAXIFS(v_data,v_cliente,A82)</f>
        <v>45551</v>
      </c>
      <c r="E82" s="48" t="n">
        <f aca="false">rfv_ref-D82</f>
        <v>107</v>
      </c>
      <c r="F82" s="49" t="n">
        <f aca="false">C82+ROW()/10000000</f>
        <v>100.0500082</v>
      </c>
      <c r="G82" s="48" t="n">
        <f aca="false">IF(E82&lt;=QUARTILE($E$2:$E$246,1),4,IF(E82&lt;=QUARTILE($E$2:$E$246,2),3,IF(E82&lt;=QUARTILE($E$2:$E$246,3),2,1)))</f>
        <v>2</v>
      </c>
      <c r="H82" s="48" t="n">
        <f aca="false">IF(B82&gt;QUARTILE($B$2:$B$246,3),4,IF(B82&gt;QUARTILE($B$2:$B$246,2),3,IF(B82&gt;QUARTILE($B$2:$B$246,1),2,1)))</f>
        <v>1</v>
      </c>
      <c r="I82" s="48" t="n">
        <f aca="false">IF(C82&gt;QUARTILE($C$2:$C$246,3),4,IF(C82&gt;QUARTILE($C$2:$C$246,2),3,IF(C82&gt;QUARTILE($C$2:$C$246,1),2,1)))</f>
        <v>1</v>
      </c>
      <c r="J82" s="48" t="n">
        <f aca="false">G82+H82+I82</f>
        <v>4</v>
      </c>
      <c r="K82" s="44" t="str">
        <f aca="false">IF(J82&gt;=rfv_campeoes,"Campeões",IF(J82&gt;=rfv_leais,"Leais",IF(J82&gt;=rfv_atencao,"Atenção","Em risco")))</f>
        <v>Em risco</v>
      </c>
    </row>
    <row r="83" customFormat="false" ht="15" hidden="false" customHeight="false" outlineLevel="0" collapsed="false">
      <c r="A83" s="44" t="s">
        <v>333</v>
      </c>
      <c r="B83" s="48" t="n">
        <f aca="false">COUNTIFS(v_cliente,A83)</f>
        <v>10</v>
      </c>
      <c r="C83" s="46" t="n">
        <f aca="false">SUMIFS(v_valor,v_cliente,A83)</f>
        <v>704.45</v>
      </c>
      <c r="D83" s="45" t="n">
        <f aca="false">_xlfn.MAXIFS(v_data,v_cliente,A83)</f>
        <v>45649</v>
      </c>
      <c r="E83" s="48" t="n">
        <f aca="false">rfv_ref-D83</f>
        <v>9</v>
      </c>
      <c r="F83" s="49" t="n">
        <f aca="false">C83+ROW()/10000000</f>
        <v>704.4500083</v>
      </c>
      <c r="G83" s="48" t="n">
        <f aca="false">IF(E83&lt;=QUARTILE($E$2:$E$246,1),4,IF(E83&lt;=QUARTILE($E$2:$E$246,2),3,IF(E83&lt;=QUARTILE($E$2:$E$246,3),2,1)))</f>
        <v>4</v>
      </c>
      <c r="H83" s="48" t="n">
        <f aca="false">IF(B83&gt;QUARTILE($B$2:$B$246,3),4,IF(B83&gt;QUARTILE($B$2:$B$246,2),3,IF(B83&gt;QUARTILE($B$2:$B$246,1),2,1)))</f>
        <v>4</v>
      </c>
      <c r="I83" s="48" t="n">
        <f aca="false">IF(C83&gt;QUARTILE($C$2:$C$246,3),4,IF(C83&gt;QUARTILE($C$2:$C$246,2),3,IF(C83&gt;QUARTILE($C$2:$C$246,1),2,1)))</f>
        <v>4</v>
      </c>
      <c r="J83" s="48" t="n">
        <f aca="false">G83+H83+I83</f>
        <v>12</v>
      </c>
      <c r="K83" s="44" t="str">
        <f aca="false">IF(J83&gt;=rfv_campeoes,"Campeões",IF(J83&gt;=rfv_leais,"Leais",IF(J83&gt;=rfv_atencao,"Atenção","Em risco")))</f>
        <v>Campeões</v>
      </c>
    </row>
    <row r="84" customFormat="false" ht="15" hidden="false" customHeight="false" outlineLevel="0" collapsed="false">
      <c r="A84" s="44" t="s">
        <v>394</v>
      </c>
      <c r="B84" s="48" t="n">
        <f aca="false">COUNTIFS(v_cliente,A84)</f>
        <v>7</v>
      </c>
      <c r="C84" s="46" t="n">
        <f aca="false">SUMIFS(v_valor,v_cliente,A84)</f>
        <v>352.9</v>
      </c>
      <c r="D84" s="45" t="n">
        <f aca="false">_xlfn.MAXIFS(v_data,v_cliente,A84)</f>
        <v>45548</v>
      </c>
      <c r="E84" s="48" t="n">
        <f aca="false">rfv_ref-D84</f>
        <v>110</v>
      </c>
      <c r="F84" s="49" t="n">
        <f aca="false">C84+ROW()/10000000</f>
        <v>352.9000084</v>
      </c>
      <c r="G84" s="48" t="n">
        <f aca="false">IF(E84&lt;=QUARTILE($E$2:$E$246,1),4,IF(E84&lt;=QUARTILE($E$2:$E$246,2),3,IF(E84&lt;=QUARTILE($E$2:$E$246,3),2,1)))</f>
        <v>2</v>
      </c>
      <c r="H84" s="48" t="n">
        <f aca="false">IF(B84&gt;QUARTILE($B$2:$B$246,3),4,IF(B84&gt;QUARTILE($B$2:$B$246,2),3,IF(B84&gt;QUARTILE($B$2:$B$246,1),2,1)))</f>
        <v>4</v>
      </c>
      <c r="I84" s="48" t="n">
        <f aca="false">IF(C84&gt;QUARTILE($C$2:$C$246,3),4,IF(C84&gt;QUARTILE($C$2:$C$246,2),3,IF(C84&gt;QUARTILE($C$2:$C$246,1),2,1)))</f>
        <v>3</v>
      </c>
      <c r="J84" s="48" t="n">
        <f aca="false">G84+H84+I84</f>
        <v>9</v>
      </c>
      <c r="K84" s="44" t="str">
        <f aca="false">IF(J84&gt;=rfv_campeoes,"Campeões",IF(J84&gt;=rfv_leais,"Leais",IF(J84&gt;=rfv_atencao,"Atenção","Em risco")))</f>
        <v>Leais</v>
      </c>
    </row>
    <row r="85" customFormat="false" ht="15" hidden="false" customHeight="false" outlineLevel="0" collapsed="false">
      <c r="A85" s="44" t="s">
        <v>386</v>
      </c>
      <c r="B85" s="48" t="n">
        <f aca="false">COUNTIFS(v_cliente,A85)</f>
        <v>7</v>
      </c>
      <c r="C85" s="46" t="n">
        <f aca="false">SUMIFS(v_valor,v_cliente,A85)</f>
        <v>578.24</v>
      </c>
      <c r="D85" s="45" t="n">
        <f aca="false">_xlfn.MAXIFS(v_data,v_cliente,A85)</f>
        <v>45572</v>
      </c>
      <c r="E85" s="48" t="n">
        <f aca="false">rfv_ref-D85</f>
        <v>86</v>
      </c>
      <c r="F85" s="49" t="n">
        <f aca="false">C85+ROW()/10000000</f>
        <v>578.2400085</v>
      </c>
      <c r="G85" s="48" t="n">
        <f aca="false">IF(E85&lt;=QUARTILE($E$2:$E$246,1),4,IF(E85&lt;=QUARTILE($E$2:$E$246,2),3,IF(E85&lt;=QUARTILE($E$2:$E$246,3),2,1)))</f>
        <v>2</v>
      </c>
      <c r="H85" s="48" t="n">
        <f aca="false">IF(B85&gt;QUARTILE($B$2:$B$246,3),4,IF(B85&gt;QUARTILE($B$2:$B$246,2),3,IF(B85&gt;QUARTILE($B$2:$B$246,1),2,1)))</f>
        <v>4</v>
      </c>
      <c r="I85" s="48" t="n">
        <f aca="false">IF(C85&gt;QUARTILE($C$2:$C$246,3),4,IF(C85&gt;QUARTILE($C$2:$C$246,2),3,IF(C85&gt;QUARTILE($C$2:$C$246,1),2,1)))</f>
        <v>3</v>
      </c>
      <c r="J85" s="48" t="n">
        <f aca="false">G85+H85+I85</f>
        <v>9</v>
      </c>
      <c r="K85" s="44" t="str">
        <f aca="false">IF(J85&gt;=rfv_campeoes,"Campeões",IF(J85&gt;=rfv_leais,"Leais",IF(J85&gt;=rfv_atencao,"Atenção","Em risco")))</f>
        <v>Leais</v>
      </c>
    </row>
    <row r="86" customFormat="false" ht="15" hidden="false" customHeight="false" outlineLevel="0" collapsed="false">
      <c r="A86" s="44" t="s">
        <v>454</v>
      </c>
      <c r="B86" s="48" t="n">
        <f aca="false">COUNTIFS(v_cliente,A86)</f>
        <v>5</v>
      </c>
      <c r="C86" s="46" t="n">
        <f aca="false">SUMIFS(v_valor,v_cliente,A86)</f>
        <v>411.41</v>
      </c>
      <c r="D86" s="45" t="n">
        <f aca="false">_xlfn.MAXIFS(v_data,v_cliente,A86)</f>
        <v>45596</v>
      </c>
      <c r="E86" s="48" t="n">
        <f aca="false">rfv_ref-D86</f>
        <v>62</v>
      </c>
      <c r="F86" s="49" t="n">
        <f aca="false">C86+ROW()/10000000</f>
        <v>411.4100086</v>
      </c>
      <c r="G86" s="48" t="n">
        <f aca="false">IF(E86&lt;=QUARTILE($E$2:$E$246,1),4,IF(E86&lt;=QUARTILE($E$2:$E$246,2),3,IF(E86&lt;=QUARTILE($E$2:$E$246,3),2,1)))</f>
        <v>3</v>
      </c>
      <c r="H86" s="48" t="n">
        <f aca="false">IF(B86&gt;QUARTILE($B$2:$B$246,3),4,IF(B86&gt;QUARTILE($B$2:$B$246,2),3,IF(B86&gt;QUARTILE($B$2:$B$246,1),2,1)))</f>
        <v>3</v>
      </c>
      <c r="I86" s="48" t="n">
        <f aca="false">IF(C86&gt;QUARTILE($C$2:$C$246,3),4,IF(C86&gt;QUARTILE($C$2:$C$246,2),3,IF(C86&gt;QUARTILE($C$2:$C$246,1),2,1)))</f>
        <v>3</v>
      </c>
      <c r="J86" s="48" t="n">
        <f aca="false">G86+H86+I86</f>
        <v>9</v>
      </c>
      <c r="K86" s="44" t="str">
        <f aca="false">IF(J86&gt;=rfv_campeoes,"Campeões",IF(J86&gt;=rfv_leais,"Leais",IF(J86&gt;=rfv_atencao,"Atenção","Em risco")))</f>
        <v>Leais</v>
      </c>
    </row>
    <row r="87" customFormat="false" ht="15" hidden="false" customHeight="false" outlineLevel="0" collapsed="false">
      <c r="A87" s="44" t="s">
        <v>415</v>
      </c>
      <c r="B87" s="48" t="n">
        <f aca="false">COUNTIFS(v_cliente,A87)</f>
        <v>4</v>
      </c>
      <c r="C87" s="46" t="n">
        <f aca="false">SUMIFS(v_valor,v_cliente,A87)</f>
        <v>169.56</v>
      </c>
      <c r="D87" s="45" t="n">
        <f aca="false">_xlfn.MAXIFS(v_data,v_cliente,A87)</f>
        <v>45651</v>
      </c>
      <c r="E87" s="48" t="n">
        <f aca="false">rfv_ref-D87</f>
        <v>7</v>
      </c>
      <c r="F87" s="49" t="n">
        <f aca="false">C87+ROW()/10000000</f>
        <v>169.5600087</v>
      </c>
      <c r="G87" s="48" t="n">
        <f aca="false">IF(E87&lt;=QUARTILE($E$2:$E$246,1),4,IF(E87&lt;=QUARTILE($E$2:$E$246,2),3,IF(E87&lt;=QUARTILE($E$2:$E$246,3),2,1)))</f>
        <v>4</v>
      </c>
      <c r="H87" s="48" t="n">
        <f aca="false">IF(B87&gt;QUARTILE($B$2:$B$246,3),4,IF(B87&gt;QUARTILE($B$2:$B$246,2),3,IF(B87&gt;QUARTILE($B$2:$B$246,1),2,1)))</f>
        <v>2</v>
      </c>
      <c r="I87" s="48" t="n">
        <f aca="false">IF(C87&gt;QUARTILE($C$2:$C$246,3),4,IF(C87&gt;QUARTILE($C$2:$C$246,2),3,IF(C87&gt;QUARTILE($C$2:$C$246,1),2,1)))</f>
        <v>2</v>
      </c>
      <c r="J87" s="48" t="n">
        <f aca="false">G87+H87+I87</f>
        <v>8</v>
      </c>
      <c r="K87" s="44" t="str">
        <f aca="false">IF(J87&gt;=rfv_campeoes,"Campeões",IF(J87&gt;=rfv_leais,"Leais",IF(J87&gt;=rfv_atencao,"Atenção","Em risco")))</f>
        <v>Leais</v>
      </c>
    </row>
    <row r="88" customFormat="false" ht="15" hidden="false" customHeight="false" outlineLevel="0" collapsed="false">
      <c r="A88" s="44" t="s">
        <v>532</v>
      </c>
      <c r="B88" s="48" t="n">
        <f aca="false">COUNTIFS(v_cliente,A88)</f>
        <v>4</v>
      </c>
      <c r="C88" s="46" t="n">
        <f aca="false">SUMIFS(v_valor,v_cliente,A88)</f>
        <v>461.74</v>
      </c>
      <c r="D88" s="45" t="n">
        <f aca="false">_xlfn.MAXIFS(v_data,v_cliente,A88)</f>
        <v>45653</v>
      </c>
      <c r="E88" s="48" t="n">
        <f aca="false">rfv_ref-D88</f>
        <v>5</v>
      </c>
      <c r="F88" s="49" t="n">
        <f aca="false">C88+ROW()/10000000</f>
        <v>461.7400088</v>
      </c>
      <c r="G88" s="48" t="n">
        <f aca="false">IF(E88&lt;=QUARTILE($E$2:$E$246,1),4,IF(E88&lt;=QUARTILE($E$2:$E$246,2),3,IF(E88&lt;=QUARTILE($E$2:$E$246,3),2,1)))</f>
        <v>4</v>
      </c>
      <c r="H88" s="48" t="n">
        <f aca="false">IF(B88&gt;QUARTILE($B$2:$B$246,3),4,IF(B88&gt;QUARTILE($B$2:$B$246,2),3,IF(B88&gt;QUARTILE($B$2:$B$246,1),2,1)))</f>
        <v>2</v>
      </c>
      <c r="I88" s="48" t="n">
        <f aca="false">IF(C88&gt;QUARTILE($C$2:$C$246,3),4,IF(C88&gt;QUARTILE($C$2:$C$246,2),3,IF(C88&gt;QUARTILE($C$2:$C$246,1),2,1)))</f>
        <v>3</v>
      </c>
      <c r="J88" s="48" t="n">
        <f aca="false">G88+H88+I88</f>
        <v>9</v>
      </c>
      <c r="K88" s="44" t="str">
        <f aca="false">IF(J88&gt;=rfv_campeoes,"Campeões",IF(J88&gt;=rfv_leais,"Leais",IF(J88&gt;=rfv_atencao,"Atenção","Em risco")))</f>
        <v>Leais</v>
      </c>
    </row>
    <row r="89" customFormat="false" ht="15" hidden="false" customHeight="false" outlineLevel="0" collapsed="false">
      <c r="A89" s="44" t="s">
        <v>322</v>
      </c>
      <c r="B89" s="48" t="n">
        <f aca="false">COUNTIFS(v_cliente,A89)</f>
        <v>7</v>
      </c>
      <c r="C89" s="46" t="n">
        <f aca="false">SUMIFS(v_valor,v_cliente,A89)</f>
        <v>504.44</v>
      </c>
      <c r="D89" s="45" t="n">
        <f aca="false">_xlfn.MAXIFS(v_data,v_cliente,A89)</f>
        <v>45637</v>
      </c>
      <c r="E89" s="48" t="n">
        <f aca="false">rfv_ref-D89</f>
        <v>21</v>
      </c>
      <c r="F89" s="49" t="n">
        <f aca="false">C89+ROW()/10000000</f>
        <v>504.4400089</v>
      </c>
      <c r="G89" s="48" t="n">
        <f aca="false">IF(E89&lt;=QUARTILE($E$2:$E$246,1),4,IF(E89&lt;=QUARTILE($E$2:$E$246,2),3,IF(E89&lt;=QUARTILE($E$2:$E$246,3),2,1)))</f>
        <v>4</v>
      </c>
      <c r="H89" s="48" t="n">
        <f aca="false">IF(B89&gt;QUARTILE($B$2:$B$246,3),4,IF(B89&gt;QUARTILE($B$2:$B$246,2),3,IF(B89&gt;QUARTILE($B$2:$B$246,1),2,1)))</f>
        <v>4</v>
      </c>
      <c r="I89" s="48" t="n">
        <f aca="false">IF(C89&gt;QUARTILE($C$2:$C$246,3),4,IF(C89&gt;QUARTILE($C$2:$C$246,2),3,IF(C89&gt;QUARTILE($C$2:$C$246,1),2,1)))</f>
        <v>3</v>
      </c>
      <c r="J89" s="48" t="n">
        <f aca="false">G89+H89+I89</f>
        <v>11</v>
      </c>
      <c r="K89" s="44" t="str">
        <f aca="false">IF(J89&gt;=rfv_campeoes,"Campeões",IF(J89&gt;=rfv_leais,"Leais",IF(J89&gt;=rfv_atencao,"Atenção","Em risco")))</f>
        <v>Campeões</v>
      </c>
    </row>
    <row r="90" customFormat="false" ht="15" hidden="false" customHeight="false" outlineLevel="0" collapsed="false">
      <c r="A90" s="44" t="s">
        <v>414</v>
      </c>
      <c r="B90" s="48" t="n">
        <f aca="false">COUNTIFS(v_cliente,A90)</f>
        <v>3</v>
      </c>
      <c r="C90" s="46" t="n">
        <f aca="false">SUMIFS(v_valor,v_cliente,A90)</f>
        <v>251.19</v>
      </c>
      <c r="D90" s="45" t="n">
        <f aca="false">_xlfn.MAXIFS(v_data,v_cliente,A90)</f>
        <v>45552</v>
      </c>
      <c r="E90" s="48" t="n">
        <f aca="false">rfv_ref-D90</f>
        <v>106</v>
      </c>
      <c r="F90" s="49" t="n">
        <f aca="false">C90+ROW()/10000000</f>
        <v>251.190009</v>
      </c>
      <c r="G90" s="48" t="n">
        <f aca="false">IF(E90&lt;=QUARTILE($E$2:$E$246,1),4,IF(E90&lt;=QUARTILE($E$2:$E$246,2),3,IF(E90&lt;=QUARTILE($E$2:$E$246,3),2,1)))</f>
        <v>2</v>
      </c>
      <c r="H90" s="48" t="n">
        <f aca="false">IF(B90&gt;QUARTILE($B$2:$B$246,3),4,IF(B90&gt;QUARTILE($B$2:$B$246,2),3,IF(B90&gt;QUARTILE($B$2:$B$246,1),2,1)))</f>
        <v>1</v>
      </c>
      <c r="I90" s="48" t="n">
        <f aca="false">IF(C90&gt;QUARTILE($C$2:$C$246,3),4,IF(C90&gt;QUARTILE($C$2:$C$246,2),3,IF(C90&gt;QUARTILE($C$2:$C$246,1),2,1)))</f>
        <v>2</v>
      </c>
      <c r="J90" s="48" t="n">
        <f aca="false">G90+H90+I90</f>
        <v>5</v>
      </c>
      <c r="K90" s="44" t="str">
        <f aca="false">IF(J90&gt;=rfv_campeoes,"Campeões",IF(J90&gt;=rfv_leais,"Leais",IF(J90&gt;=rfv_atencao,"Atenção","Em risco")))</f>
        <v>Atenção</v>
      </c>
    </row>
    <row r="91" customFormat="false" ht="15" hidden="false" customHeight="false" outlineLevel="0" collapsed="false">
      <c r="A91" s="44" t="s">
        <v>521</v>
      </c>
      <c r="B91" s="48" t="n">
        <f aca="false">COUNTIFS(v_cliente,A91)</f>
        <v>3</v>
      </c>
      <c r="C91" s="46" t="n">
        <f aca="false">SUMIFS(v_valor,v_cliente,A91)</f>
        <v>138.76</v>
      </c>
      <c r="D91" s="45" t="n">
        <f aca="false">_xlfn.MAXIFS(v_data,v_cliente,A91)</f>
        <v>45648</v>
      </c>
      <c r="E91" s="48" t="n">
        <f aca="false">rfv_ref-D91</f>
        <v>10</v>
      </c>
      <c r="F91" s="49" t="n">
        <f aca="false">C91+ROW()/10000000</f>
        <v>138.7600091</v>
      </c>
      <c r="G91" s="48" t="n">
        <f aca="false">IF(E91&lt;=QUARTILE($E$2:$E$246,1),4,IF(E91&lt;=QUARTILE($E$2:$E$246,2),3,IF(E91&lt;=QUARTILE($E$2:$E$246,3),2,1)))</f>
        <v>4</v>
      </c>
      <c r="H91" s="48" t="n">
        <f aca="false">IF(B91&gt;QUARTILE($B$2:$B$246,3),4,IF(B91&gt;QUARTILE($B$2:$B$246,2),3,IF(B91&gt;QUARTILE($B$2:$B$246,1),2,1)))</f>
        <v>1</v>
      </c>
      <c r="I91" s="48" t="n">
        <f aca="false">IF(C91&gt;QUARTILE($C$2:$C$246,3),4,IF(C91&gt;QUARTILE($C$2:$C$246,2),3,IF(C91&gt;QUARTILE($C$2:$C$246,1),2,1)))</f>
        <v>1</v>
      </c>
      <c r="J91" s="48" t="n">
        <f aca="false">G91+H91+I91</f>
        <v>6</v>
      </c>
      <c r="K91" s="44" t="str">
        <f aca="false">IF(J91&gt;=rfv_campeoes,"Campeões",IF(J91&gt;=rfv_leais,"Leais",IF(J91&gt;=rfv_atencao,"Atenção","Em risco")))</f>
        <v>Atenção</v>
      </c>
    </row>
    <row r="92" customFormat="false" ht="15" hidden="false" customHeight="false" outlineLevel="0" collapsed="false">
      <c r="A92" s="44" t="s">
        <v>360</v>
      </c>
      <c r="B92" s="48" t="n">
        <f aca="false">COUNTIFS(v_cliente,A92)</f>
        <v>2</v>
      </c>
      <c r="C92" s="46" t="n">
        <f aca="false">SUMIFS(v_valor,v_cliente,A92)</f>
        <v>46.2</v>
      </c>
      <c r="D92" s="45" t="n">
        <f aca="false">_xlfn.MAXIFS(v_data,v_cliente,A92)</f>
        <v>45639</v>
      </c>
      <c r="E92" s="48" t="n">
        <f aca="false">rfv_ref-D92</f>
        <v>19</v>
      </c>
      <c r="F92" s="49" t="n">
        <f aca="false">C92+ROW()/10000000</f>
        <v>46.2000092</v>
      </c>
      <c r="G92" s="48" t="n">
        <f aca="false">IF(E92&lt;=QUARTILE($E$2:$E$246,1),4,IF(E92&lt;=QUARTILE($E$2:$E$246,2),3,IF(E92&lt;=QUARTILE($E$2:$E$246,3),2,1)))</f>
        <v>4</v>
      </c>
      <c r="H92" s="48" t="n">
        <f aca="false">IF(B92&gt;QUARTILE($B$2:$B$246,3),4,IF(B92&gt;QUARTILE($B$2:$B$246,2),3,IF(B92&gt;QUARTILE($B$2:$B$246,1),2,1)))</f>
        <v>1</v>
      </c>
      <c r="I92" s="48" t="n">
        <f aca="false">IF(C92&gt;QUARTILE($C$2:$C$246,3),4,IF(C92&gt;QUARTILE($C$2:$C$246,2),3,IF(C92&gt;QUARTILE($C$2:$C$246,1),2,1)))</f>
        <v>1</v>
      </c>
      <c r="J92" s="48" t="n">
        <f aca="false">G92+H92+I92</f>
        <v>6</v>
      </c>
      <c r="K92" s="44" t="str">
        <f aca="false">IF(J92&gt;=rfv_campeoes,"Campeões",IF(J92&gt;=rfv_leais,"Leais",IF(J92&gt;=rfv_atencao,"Atenção","Em risco")))</f>
        <v>Atenção</v>
      </c>
    </row>
    <row r="93" customFormat="false" ht="15" hidden="false" customHeight="false" outlineLevel="0" collapsed="false">
      <c r="A93" s="44" t="s">
        <v>500</v>
      </c>
      <c r="B93" s="48" t="n">
        <f aca="false">COUNTIFS(v_cliente,A93)</f>
        <v>2</v>
      </c>
      <c r="C93" s="46" t="n">
        <f aca="false">SUMIFS(v_valor,v_cliente,A93)</f>
        <v>212.72</v>
      </c>
      <c r="D93" s="45" t="n">
        <f aca="false">_xlfn.MAXIFS(v_data,v_cliente,A93)</f>
        <v>45398</v>
      </c>
      <c r="E93" s="48" t="n">
        <f aca="false">rfv_ref-D93</f>
        <v>260</v>
      </c>
      <c r="F93" s="49" t="n">
        <f aca="false">C93+ROW()/10000000</f>
        <v>212.7200093</v>
      </c>
      <c r="G93" s="48" t="n">
        <f aca="false">IF(E93&lt;=QUARTILE($E$2:$E$246,1),4,IF(E93&lt;=QUARTILE($E$2:$E$246,2),3,IF(E93&lt;=QUARTILE($E$2:$E$246,3),2,1)))</f>
        <v>1</v>
      </c>
      <c r="H93" s="48" t="n">
        <f aca="false">IF(B93&gt;QUARTILE($B$2:$B$246,3),4,IF(B93&gt;QUARTILE($B$2:$B$246,2),3,IF(B93&gt;QUARTILE($B$2:$B$246,1),2,1)))</f>
        <v>1</v>
      </c>
      <c r="I93" s="48" t="n">
        <f aca="false">IF(C93&gt;QUARTILE($C$2:$C$246,3),4,IF(C93&gt;QUARTILE($C$2:$C$246,2),3,IF(C93&gt;QUARTILE($C$2:$C$246,1),2,1)))</f>
        <v>2</v>
      </c>
      <c r="J93" s="48" t="n">
        <f aca="false">G93+H93+I93</f>
        <v>4</v>
      </c>
      <c r="K93" s="44" t="str">
        <f aca="false">IF(J93&gt;=rfv_campeoes,"Campeões",IF(J93&gt;=rfv_leais,"Leais",IF(J93&gt;=rfv_atencao,"Atenção","Em risco")))</f>
        <v>Em risco</v>
      </c>
    </row>
    <row r="94" customFormat="false" ht="15" hidden="false" customHeight="false" outlineLevel="0" collapsed="false">
      <c r="A94" s="44" t="s">
        <v>382</v>
      </c>
      <c r="B94" s="48" t="n">
        <f aca="false">COUNTIFS(v_cliente,A94)</f>
        <v>8</v>
      </c>
      <c r="C94" s="46" t="n">
        <f aca="false">SUMIFS(v_valor,v_cliente,A94)</f>
        <v>1740.39</v>
      </c>
      <c r="D94" s="45" t="n">
        <f aca="false">_xlfn.MAXIFS(v_data,v_cliente,A94)</f>
        <v>45622</v>
      </c>
      <c r="E94" s="48" t="n">
        <f aca="false">rfv_ref-D94</f>
        <v>36</v>
      </c>
      <c r="F94" s="49" t="n">
        <f aca="false">C94+ROW()/10000000</f>
        <v>1740.3900094</v>
      </c>
      <c r="G94" s="48" t="n">
        <f aca="false">IF(E94&lt;=QUARTILE($E$2:$E$246,1),4,IF(E94&lt;=QUARTILE($E$2:$E$246,2),3,IF(E94&lt;=QUARTILE($E$2:$E$246,3),2,1)))</f>
        <v>3</v>
      </c>
      <c r="H94" s="48" t="n">
        <f aca="false">IF(B94&gt;QUARTILE($B$2:$B$246,3),4,IF(B94&gt;QUARTILE($B$2:$B$246,2),3,IF(B94&gt;QUARTILE($B$2:$B$246,1),2,1)))</f>
        <v>4</v>
      </c>
      <c r="I94" s="48" t="n">
        <f aca="false">IF(C94&gt;QUARTILE($C$2:$C$246,3),4,IF(C94&gt;QUARTILE($C$2:$C$246,2),3,IF(C94&gt;QUARTILE($C$2:$C$246,1),2,1)))</f>
        <v>4</v>
      </c>
      <c r="J94" s="48" t="n">
        <f aca="false">G94+H94+I94</f>
        <v>11</v>
      </c>
      <c r="K94" s="44" t="str">
        <f aca="false">IF(J94&gt;=rfv_campeoes,"Campeões",IF(J94&gt;=rfv_leais,"Leais",IF(J94&gt;=rfv_atencao,"Atenção","Em risco")))</f>
        <v>Campeões</v>
      </c>
    </row>
    <row r="95" customFormat="false" ht="15" hidden="false" customHeight="false" outlineLevel="0" collapsed="false">
      <c r="A95" s="44" t="s">
        <v>533</v>
      </c>
      <c r="B95" s="48" t="n">
        <f aca="false">COUNTIFS(v_cliente,A95)</f>
        <v>4</v>
      </c>
      <c r="C95" s="46" t="n">
        <f aca="false">SUMIFS(v_valor,v_cliente,A95)</f>
        <v>673.43</v>
      </c>
      <c r="D95" s="45" t="n">
        <f aca="false">_xlfn.MAXIFS(v_data,v_cliente,A95)</f>
        <v>45563</v>
      </c>
      <c r="E95" s="48" t="n">
        <f aca="false">rfv_ref-D95</f>
        <v>95</v>
      </c>
      <c r="F95" s="49" t="n">
        <f aca="false">C95+ROW()/10000000</f>
        <v>673.4300095</v>
      </c>
      <c r="G95" s="48" t="n">
        <f aca="false">IF(E95&lt;=QUARTILE($E$2:$E$246,1),4,IF(E95&lt;=QUARTILE($E$2:$E$246,2),3,IF(E95&lt;=QUARTILE($E$2:$E$246,3),2,1)))</f>
        <v>2</v>
      </c>
      <c r="H95" s="48" t="n">
        <f aca="false">IF(B95&gt;QUARTILE($B$2:$B$246,3),4,IF(B95&gt;QUARTILE($B$2:$B$246,2),3,IF(B95&gt;QUARTILE($B$2:$B$246,1),2,1)))</f>
        <v>2</v>
      </c>
      <c r="I95" s="48" t="n">
        <f aca="false">IF(C95&gt;QUARTILE($C$2:$C$246,3),4,IF(C95&gt;QUARTILE($C$2:$C$246,2),3,IF(C95&gt;QUARTILE($C$2:$C$246,1),2,1)))</f>
        <v>4</v>
      </c>
      <c r="J95" s="48" t="n">
        <f aca="false">G95+H95+I95</f>
        <v>8</v>
      </c>
      <c r="K95" s="44" t="str">
        <f aca="false">IF(J95&gt;=rfv_campeoes,"Campeões",IF(J95&gt;=rfv_leais,"Leais",IF(J95&gt;=rfv_atencao,"Atenção","Em risco")))</f>
        <v>Leais</v>
      </c>
    </row>
    <row r="96" customFormat="false" ht="15" hidden="false" customHeight="false" outlineLevel="0" collapsed="false">
      <c r="A96" s="44" t="s">
        <v>484</v>
      </c>
      <c r="B96" s="48" t="n">
        <f aca="false">COUNTIFS(v_cliente,A96)</f>
        <v>5</v>
      </c>
      <c r="C96" s="46" t="n">
        <f aca="false">SUMIFS(v_valor,v_cliente,A96)</f>
        <v>313.01</v>
      </c>
      <c r="D96" s="45" t="n">
        <f aca="false">_xlfn.MAXIFS(v_data,v_cliente,A96)</f>
        <v>45635</v>
      </c>
      <c r="E96" s="48" t="n">
        <f aca="false">rfv_ref-D96</f>
        <v>23</v>
      </c>
      <c r="F96" s="49" t="n">
        <f aca="false">C96+ROW()/10000000</f>
        <v>313.0100096</v>
      </c>
      <c r="G96" s="48" t="n">
        <f aca="false">IF(E96&lt;=QUARTILE($E$2:$E$246,1),4,IF(E96&lt;=QUARTILE($E$2:$E$246,2),3,IF(E96&lt;=QUARTILE($E$2:$E$246,3),2,1)))</f>
        <v>4</v>
      </c>
      <c r="H96" s="48" t="n">
        <f aca="false">IF(B96&gt;QUARTILE($B$2:$B$246,3),4,IF(B96&gt;QUARTILE($B$2:$B$246,2),3,IF(B96&gt;QUARTILE($B$2:$B$246,1),2,1)))</f>
        <v>3</v>
      </c>
      <c r="I96" s="48" t="n">
        <f aca="false">IF(C96&gt;QUARTILE($C$2:$C$246,3),4,IF(C96&gt;QUARTILE($C$2:$C$246,2),3,IF(C96&gt;QUARTILE($C$2:$C$246,1),2,1)))</f>
        <v>2</v>
      </c>
      <c r="J96" s="48" t="n">
        <f aca="false">G96+H96+I96</f>
        <v>9</v>
      </c>
      <c r="K96" s="44" t="str">
        <f aca="false">IF(J96&gt;=rfv_campeoes,"Campeões",IF(J96&gt;=rfv_leais,"Leais",IF(J96&gt;=rfv_atencao,"Atenção","Em risco")))</f>
        <v>Leais</v>
      </c>
    </row>
    <row r="97" customFormat="false" ht="15" hidden="false" customHeight="false" outlineLevel="0" collapsed="false">
      <c r="A97" s="44" t="s">
        <v>420</v>
      </c>
      <c r="B97" s="48" t="n">
        <f aca="false">COUNTIFS(v_cliente,A97)</f>
        <v>4</v>
      </c>
      <c r="C97" s="46" t="n">
        <f aca="false">SUMIFS(v_valor,v_cliente,A97)</f>
        <v>866.72</v>
      </c>
      <c r="D97" s="45" t="n">
        <f aca="false">_xlfn.MAXIFS(v_data,v_cliente,A97)</f>
        <v>45640</v>
      </c>
      <c r="E97" s="48" t="n">
        <f aca="false">rfv_ref-D97</f>
        <v>18</v>
      </c>
      <c r="F97" s="49" t="n">
        <f aca="false">C97+ROW()/10000000</f>
        <v>866.7200097</v>
      </c>
      <c r="G97" s="48" t="n">
        <f aca="false">IF(E97&lt;=QUARTILE($E$2:$E$246,1),4,IF(E97&lt;=QUARTILE($E$2:$E$246,2),3,IF(E97&lt;=QUARTILE($E$2:$E$246,3),2,1)))</f>
        <v>4</v>
      </c>
      <c r="H97" s="48" t="n">
        <f aca="false">IF(B97&gt;QUARTILE($B$2:$B$246,3),4,IF(B97&gt;QUARTILE($B$2:$B$246,2),3,IF(B97&gt;QUARTILE($B$2:$B$246,1),2,1)))</f>
        <v>2</v>
      </c>
      <c r="I97" s="48" t="n">
        <f aca="false">IF(C97&gt;QUARTILE($C$2:$C$246,3),4,IF(C97&gt;QUARTILE($C$2:$C$246,2),3,IF(C97&gt;QUARTILE($C$2:$C$246,1),2,1)))</f>
        <v>4</v>
      </c>
      <c r="J97" s="48" t="n">
        <f aca="false">G97+H97+I97</f>
        <v>10</v>
      </c>
      <c r="K97" s="44" t="str">
        <f aca="false">IF(J97&gt;=rfv_campeoes,"Campeões",IF(J97&gt;=rfv_leais,"Leais",IF(J97&gt;=rfv_atencao,"Atenção","Em risco")))</f>
        <v>Campeões</v>
      </c>
    </row>
    <row r="98" customFormat="false" ht="15" hidden="false" customHeight="false" outlineLevel="0" collapsed="false">
      <c r="A98" s="44" t="s">
        <v>434</v>
      </c>
      <c r="B98" s="48" t="n">
        <f aca="false">COUNTIFS(v_cliente,A98)</f>
        <v>3</v>
      </c>
      <c r="C98" s="46" t="n">
        <f aca="false">SUMIFS(v_valor,v_cliente,A98)</f>
        <v>229.25</v>
      </c>
      <c r="D98" s="45" t="n">
        <f aca="false">_xlfn.MAXIFS(v_data,v_cliente,A98)</f>
        <v>45528</v>
      </c>
      <c r="E98" s="48" t="n">
        <f aca="false">rfv_ref-D98</f>
        <v>130</v>
      </c>
      <c r="F98" s="49" t="n">
        <f aca="false">C98+ROW()/10000000</f>
        <v>229.2500098</v>
      </c>
      <c r="G98" s="48" t="n">
        <f aca="false">IF(E98&lt;=QUARTILE($E$2:$E$246,1),4,IF(E98&lt;=QUARTILE($E$2:$E$246,2),3,IF(E98&lt;=QUARTILE($E$2:$E$246,3),2,1)))</f>
        <v>1</v>
      </c>
      <c r="H98" s="48" t="n">
        <f aca="false">IF(B98&gt;QUARTILE($B$2:$B$246,3),4,IF(B98&gt;QUARTILE($B$2:$B$246,2),3,IF(B98&gt;QUARTILE($B$2:$B$246,1),2,1)))</f>
        <v>1</v>
      </c>
      <c r="I98" s="48" t="n">
        <f aca="false">IF(C98&gt;QUARTILE($C$2:$C$246,3),4,IF(C98&gt;QUARTILE($C$2:$C$246,2),3,IF(C98&gt;QUARTILE($C$2:$C$246,1),2,1)))</f>
        <v>2</v>
      </c>
      <c r="J98" s="48" t="n">
        <f aca="false">G98+H98+I98</f>
        <v>4</v>
      </c>
      <c r="K98" s="44" t="str">
        <f aca="false">IF(J98&gt;=rfv_campeoes,"Campeões",IF(J98&gt;=rfv_leais,"Leais",IF(J98&gt;=rfv_atencao,"Atenção","Em risco")))</f>
        <v>Em risco</v>
      </c>
    </row>
    <row r="99" customFormat="false" ht="15" hidden="false" customHeight="false" outlineLevel="0" collapsed="false">
      <c r="A99" s="44" t="s">
        <v>432</v>
      </c>
      <c r="B99" s="48" t="n">
        <f aca="false">COUNTIFS(v_cliente,A99)</f>
        <v>5</v>
      </c>
      <c r="C99" s="46" t="n">
        <f aca="false">SUMIFS(v_valor,v_cliente,A99)</f>
        <v>517.9</v>
      </c>
      <c r="D99" s="45" t="n">
        <f aca="false">_xlfn.MAXIFS(v_data,v_cliente,A99)</f>
        <v>45639</v>
      </c>
      <c r="E99" s="48" t="n">
        <f aca="false">rfv_ref-D99</f>
        <v>19</v>
      </c>
      <c r="F99" s="49" t="n">
        <f aca="false">C99+ROW()/10000000</f>
        <v>517.9000099</v>
      </c>
      <c r="G99" s="48" t="n">
        <f aca="false">IF(E99&lt;=QUARTILE($E$2:$E$246,1),4,IF(E99&lt;=QUARTILE($E$2:$E$246,2),3,IF(E99&lt;=QUARTILE($E$2:$E$246,3),2,1)))</f>
        <v>4</v>
      </c>
      <c r="H99" s="48" t="n">
        <f aca="false">IF(B99&gt;QUARTILE($B$2:$B$246,3),4,IF(B99&gt;QUARTILE($B$2:$B$246,2),3,IF(B99&gt;QUARTILE($B$2:$B$246,1),2,1)))</f>
        <v>3</v>
      </c>
      <c r="I99" s="48" t="n">
        <f aca="false">IF(C99&gt;QUARTILE($C$2:$C$246,3),4,IF(C99&gt;QUARTILE($C$2:$C$246,2),3,IF(C99&gt;QUARTILE($C$2:$C$246,1),2,1)))</f>
        <v>3</v>
      </c>
      <c r="J99" s="48" t="n">
        <f aca="false">G99+H99+I99</f>
        <v>10</v>
      </c>
      <c r="K99" s="44" t="str">
        <f aca="false">IF(J99&gt;=rfv_campeoes,"Campeões",IF(J99&gt;=rfv_leais,"Leais",IF(J99&gt;=rfv_atencao,"Atenção","Em risco")))</f>
        <v>Campeões</v>
      </c>
    </row>
    <row r="100" customFormat="false" ht="15" hidden="false" customHeight="false" outlineLevel="0" collapsed="false">
      <c r="A100" s="44" t="s">
        <v>515</v>
      </c>
      <c r="B100" s="48" t="n">
        <f aca="false">COUNTIFS(v_cliente,A100)</f>
        <v>3</v>
      </c>
      <c r="C100" s="46" t="n">
        <f aca="false">SUMIFS(v_valor,v_cliente,A100)</f>
        <v>92.61</v>
      </c>
      <c r="D100" s="45" t="n">
        <f aca="false">_xlfn.MAXIFS(v_data,v_cliente,A100)</f>
        <v>45457</v>
      </c>
      <c r="E100" s="48" t="n">
        <f aca="false">rfv_ref-D100</f>
        <v>201</v>
      </c>
      <c r="F100" s="49" t="n">
        <f aca="false">C100+ROW()/10000000</f>
        <v>92.61001</v>
      </c>
      <c r="G100" s="48" t="n">
        <f aca="false">IF(E100&lt;=QUARTILE($E$2:$E$246,1),4,IF(E100&lt;=QUARTILE($E$2:$E$246,2),3,IF(E100&lt;=QUARTILE($E$2:$E$246,3),2,1)))</f>
        <v>1</v>
      </c>
      <c r="H100" s="48" t="n">
        <f aca="false">IF(B100&gt;QUARTILE($B$2:$B$246,3),4,IF(B100&gt;QUARTILE($B$2:$B$246,2),3,IF(B100&gt;QUARTILE($B$2:$B$246,1),2,1)))</f>
        <v>1</v>
      </c>
      <c r="I100" s="48" t="n">
        <f aca="false">IF(C100&gt;QUARTILE($C$2:$C$246,3),4,IF(C100&gt;QUARTILE($C$2:$C$246,2),3,IF(C100&gt;QUARTILE($C$2:$C$246,1),2,1)))</f>
        <v>1</v>
      </c>
      <c r="J100" s="48" t="n">
        <f aca="false">G100+H100+I100</f>
        <v>3</v>
      </c>
      <c r="K100" s="44" t="str">
        <f aca="false">IF(J100&gt;=rfv_campeoes,"Campeões",IF(J100&gt;=rfv_leais,"Leais",IF(J100&gt;=rfv_atencao,"Atenção","Em risco")))</f>
        <v>Em risco</v>
      </c>
    </row>
    <row r="101" customFormat="false" ht="15" hidden="false" customHeight="false" outlineLevel="0" collapsed="false">
      <c r="A101" s="44" t="s">
        <v>519</v>
      </c>
      <c r="B101" s="48" t="n">
        <f aca="false">COUNTIFS(v_cliente,A101)</f>
        <v>1</v>
      </c>
      <c r="C101" s="46" t="n">
        <f aca="false">SUMIFS(v_valor,v_cliente,A101)</f>
        <v>286.51</v>
      </c>
      <c r="D101" s="45" t="n">
        <f aca="false">_xlfn.MAXIFS(v_data,v_cliente,A101)</f>
        <v>45433</v>
      </c>
      <c r="E101" s="48" t="n">
        <f aca="false">rfv_ref-D101</f>
        <v>225</v>
      </c>
      <c r="F101" s="49" t="n">
        <f aca="false">C101+ROW()/10000000</f>
        <v>286.5100101</v>
      </c>
      <c r="G101" s="48" t="n">
        <f aca="false">IF(E101&lt;=QUARTILE($E$2:$E$246,1),4,IF(E101&lt;=QUARTILE($E$2:$E$246,2),3,IF(E101&lt;=QUARTILE($E$2:$E$246,3),2,1)))</f>
        <v>1</v>
      </c>
      <c r="H101" s="48" t="n">
        <f aca="false">IF(B101&gt;QUARTILE($B$2:$B$246,3),4,IF(B101&gt;QUARTILE($B$2:$B$246,2),3,IF(B101&gt;QUARTILE($B$2:$B$246,1),2,1)))</f>
        <v>1</v>
      </c>
      <c r="I101" s="48" t="n">
        <f aca="false">IF(C101&gt;QUARTILE($C$2:$C$246,3),4,IF(C101&gt;QUARTILE($C$2:$C$246,2),3,IF(C101&gt;QUARTILE($C$2:$C$246,1),2,1)))</f>
        <v>2</v>
      </c>
      <c r="J101" s="48" t="n">
        <f aca="false">G101+H101+I101</f>
        <v>4</v>
      </c>
      <c r="K101" s="44" t="str">
        <f aca="false">IF(J101&gt;=rfv_campeoes,"Campeões",IF(J101&gt;=rfv_leais,"Leais",IF(J101&gt;=rfv_atencao,"Atenção","Em risco")))</f>
        <v>Em risco</v>
      </c>
    </row>
    <row r="102" customFormat="false" ht="15" hidden="false" customHeight="false" outlineLevel="0" collapsed="false">
      <c r="A102" s="44" t="s">
        <v>486</v>
      </c>
      <c r="B102" s="48" t="n">
        <f aca="false">COUNTIFS(v_cliente,A102)</f>
        <v>2</v>
      </c>
      <c r="C102" s="46" t="n">
        <f aca="false">SUMIFS(v_valor,v_cliente,A102)</f>
        <v>35.21</v>
      </c>
      <c r="D102" s="45" t="n">
        <f aca="false">_xlfn.MAXIFS(v_data,v_cliente,A102)</f>
        <v>45647</v>
      </c>
      <c r="E102" s="48" t="n">
        <f aca="false">rfv_ref-D102</f>
        <v>11</v>
      </c>
      <c r="F102" s="49" t="n">
        <f aca="false">C102+ROW()/10000000</f>
        <v>35.2100102</v>
      </c>
      <c r="G102" s="48" t="n">
        <f aca="false">IF(E102&lt;=QUARTILE($E$2:$E$246,1),4,IF(E102&lt;=QUARTILE($E$2:$E$246,2),3,IF(E102&lt;=QUARTILE($E$2:$E$246,3),2,1)))</f>
        <v>4</v>
      </c>
      <c r="H102" s="48" t="n">
        <f aca="false">IF(B102&gt;QUARTILE($B$2:$B$246,3),4,IF(B102&gt;QUARTILE($B$2:$B$246,2),3,IF(B102&gt;QUARTILE($B$2:$B$246,1),2,1)))</f>
        <v>1</v>
      </c>
      <c r="I102" s="48" t="n">
        <f aca="false">IF(C102&gt;QUARTILE($C$2:$C$246,3),4,IF(C102&gt;QUARTILE($C$2:$C$246,2),3,IF(C102&gt;QUARTILE($C$2:$C$246,1),2,1)))</f>
        <v>1</v>
      </c>
      <c r="J102" s="48" t="n">
        <f aca="false">G102+H102+I102</f>
        <v>6</v>
      </c>
      <c r="K102" s="44" t="str">
        <f aca="false">IF(J102&gt;=rfv_campeoes,"Campeões",IF(J102&gt;=rfv_leais,"Leais",IF(J102&gt;=rfv_atencao,"Atenção","Em risco")))</f>
        <v>Atenção</v>
      </c>
    </row>
    <row r="103" customFormat="false" ht="15" hidden="false" customHeight="false" outlineLevel="0" collapsed="false">
      <c r="A103" s="44" t="s">
        <v>408</v>
      </c>
      <c r="B103" s="48" t="n">
        <f aca="false">COUNTIFS(v_cliente,A103)</f>
        <v>5</v>
      </c>
      <c r="C103" s="46" t="n">
        <f aca="false">SUMIFS(v_valor,v_cliente,A103)</f>
        <v>324.69</v>
      </c>
      <c r="D103" s="45" t="n">
        <f aca="false">_xlfn.MAXIFS(v_data,v_cliente,A103)</f>
        <v>45532</v>
      </c>
      <c r="E103" s="48" t="n">
        <f aca="false">rfv_ref-D103</f>
        <v>126</v>
      </c>
      <c r="F103" s="49" t="n">
        <f aca="false">C103+ROW()/10000000</f>
        <v>324.6900103</v>
      </c>
      <c r="G103" s="48" t="n">
        <f aca="false">IF(E103&lt;=QUARTILE($E$2:$E$246,1),4,IF(E103&lt;=QUARTILE($E$2:$E$246,2),3,IF(E103&lt;=QUARTILE($E$2:$E$246,3),2,1)))</f>
        <v>2</v>
      </c>
      <c r="H103" s="48" t="n">
        <f aca="false">IF(B103&gt;QUARTILE($B$2:$B$246,3),4,IF(B103&gt;QUARTILE($B$2:$B$246,2),3,IF(B103&gt;QUARTILE($B$2:$B$246,1),2,1)))</f>
        <v>3</v>
      </c>
      <c r="I103" s="48" t="n">
        <f aca="false">IF(C103&gt;QUARTILE($C$2:$C$246,3),4,IF(C103&gt;QUARTILE($C$2:$C$246,2),3,IF(C103&gt;QUARTILE($C$2:$C$246,1),2,1)))</f>
        <v>2</v>
      </c>
      <c r="J103" s="48" t="n">
        <f aca="false">G103+H103+I103</f>
        <v>7</v>
      </c>
      <c r="K103" s="44" t="str">
        <f aca="false">IF(J103&gt;=rfv_campeoes,"Campeões",IF(J103&gt;=rfv_leais,"Leais",IF(J103&gt;=rfv_atencao,"Atenção","Em risco")))</f>
        <v>Leais</v>
      </c>
    </row>
    <row r="104" customFormat="false" ht="15" hidden="false" customHeight="false" outlineLevel="0" collapsed="false">
      <c r="A104" s="44" t="s">
        <v>480</v>
      </c>
      <c r="B104" s="48" t="n">
        <f aca="false">COUNTIFS(v_cliente,A104)</f>
        <v>6</v>
      </c>
      <c r="C104" s="46" t="n">
        <f aca="false">SUMIFS(v_valor,v_cliente,A104)</f>
        <v>765.05</v>
      </c>
      <c r="D104" s="45" t="n">
        <f aca="false">_xlfn.MAXIFS(v_data,v_cliente,A104)</f>
        <v>45618</v>
      </c>
      <c r="E104" s="48" t="n">
        <f aca="false">rfv_ref-D104</f>
        <v>40</v>
      </c>
      <c r="F104" s="49" t="n">
        <f aca="false">C104+ROW()/10000000</f>
        <v>765.0500104</v>
      </c>
      <c r="G104" s="48" t="n">
        <f aca="false">IF(E104&lt;=QUARTILE($E$2:$E$246,1),4,IF(E104&lt;=QUARTILE($E$2:$E$246,2),3,IF(E104&lt;=QUARTILE($E$2:$E$246,3),2,1)))</f>
        <v>3</v>
      </c>
      <c r="H104" s="48" t="n">
        <f aca="false">IF(B104&gt;QUARTILE($B$2:$B$246,3),4,IF(B104&gt;QUARTILE($B$2:$B$246,2),3,IF(B104&gt;QUARTILE($B$2:$B$246,1),2,1)))</f>
        <v>4</v>
      </c>
      <c r="I104" s="48" t="n">
        <f aca="false">IF(C104&gt;QUARTILE($C$2:$C$246,3),4,IF(C104&gt;QUARTILE($C$2:$C$246,2),3,IF(C104&gt;QUARTILE($C$2:$C$246,1),2,1)))</f>
        <v>4</v>
      </c>
      <c r="J104" s="48" t="n">
        <f aca="false">G104+H104+I104</f>
        <v>11</v>
      </c>
      <c r="K104" s="44" t="str">
        <f aca="false">IF(J104&gt;=rfv_campeoes,"Campeões",IF(J104&gt;=rfv_leais,"Leais",IF(J104&gt;=rfv_atencao,"Atenção","Em risco")))</f>
        <v>Campeões</v>
      </c>
    </row>
    <row r="105" customFormat="false" ht="15" hidden="false" customHeight="false" outlineLevel="0" collapsed="false">
      <c r="A105" s="44" t="s">
        <v>493</v>
      </c>
      <c r="B105" s="48" t="n">
        <f aca="false">COUNTIFS(v_cliente,A105)</f>
        <v>3</v>
      </c>
      <c r="C105" s="46" t="n">
        <f aca="false">SUMIFS(v_valor,v_cliente,A105)</f>
        <v>506.91</v>
      </c>
      <c r="D105" s="45" t="n">
        <f aca="false">_xlfn.MAXIFS(v_data,v_cliente,A105)</f>
        <v>45597</v>
      </c>
      <c r="E105" s="48" t="n">
        <f aca="false">rfv_ref-D105</f>
        <v>61</v>
      </c>
      <c r="F105" s="49" t="n">
        <f aca="false">C105+ROW()/10000000</f>
        <v>506.9100105</v>
      </c>
      <c r="G105" s="48" t="n">
        <f aca="false">IF(E105&lt;=QUARTILE($E$2:$E$246,1),4,IF(E105&lt;=QUARTILE($E$2:$E$246,2),3,IF(E105&lt;=QUARTILE($E$2:$E$246,3),2,1)))</f>
        <v>3</v>
      </c>
      <c r="H105" s="48" t="n">
        <f aca="false">IF(B105&gt;QUARTILE($B$2:$B$246,3),4,IF(B105&gt;QUARTILE($B$2:$B$246,2),3,IF(B105&gt;QUARTILE($B$2:$B$246,1),2,1)))</f>
        <v>1</v>
      </c>
      <c r="I105" s="48" t="n">
        <f aca="false">IF(C105&gt;QUARTILE($C$2:$C$246,3),4,IF(C105&gt;QUARTILE($C$2:$C$246,2),3,IF(C105&gt;QUARTILE($C$2:$C$246,1),2,1)))</f>
        <v>3</v>
      </c>
      <c r="J105" s="48" t="n">
        <f aca="false">G105+H105+I105</f>
        <v>7</v>
      </c>
      <c r="K105" s="44" t="str">
        <f aca="false">IF(J105&gt;=rfv_campeoes,"Campeões",IF(J105&gt;=rfv_leais,"Leais",IF(J105&gt;=rfv_atencao,"Atenção","Em risco")))</f>
        <v>Leais</v>
      </c>
    </row>
    <row r="106" customFormat="false" ht="15" hidden="false" customHeight="false" outlineLevel="0" collapsed="false">
      <c r="A106" s="44" t="s">
        <v>437</v>
      </c>
      <c r="B106" s="48" t="n">
        <f aca="false">COUNTIFS(v_cliente,A106)</f>
        <v>4</v>
      </c>
      <c r="C106" s="46" t="n">
        <f aca="false">SUMIFS(v_valor,v_cliente,A106)</f>
        <v>343.83</v>
      </c>
      <c r="D106" s="45" t="n">
        <f aca="false">_xlfn.MAXIFS(v_data,v_cliente,A106)</f>
        <v>45653</v>
      </c>
      <c r="E106" s="48" t="n">
        <f aca="false">rfv_ref-D106</f>
        <v>5</v>
      </c>
      <c r="F106" s="49" t="n">
        <f aca="false">C106+ROW()/10000000</f>
        <v>343.8300106</v>
      </c>
      <c r="G106" s="48" t="n">
        <f aca="false">IF(E106&lt;=QUARTILE($E$2:$E$246,1),4,IF(E106&lt;=QUARTILE($E$2:$E$246,2),3,IF(E106&lt;=QUARTILE($E$2:$E$246,3),2,1)))</f>
        <v>4</v>
      </c>
      <c r="H106" s="48" t="n">
        <f aca="false">IF(B106&gt;QUARTILE($B$2:$B$246,3),4,IF(B106&gt;QUARTILE($B$2:$B$246,2),3,IF(B106&gt;QUARTILE($B$2:$B$246,1),2,1)))</f>
        <v>2</v>
      </c>
      <c r="I106" s="48" t="n">
        <f aca="false">IF(C106&gt;QUARTILE($C$2:$C$246,3),4,IF(C106&gt;QUARTILE($C$2:$C$246,2),3,IF(C106&gt;QUARTILE($C$2:$C$246,1),2,1)))</f>
        <v>3</v>
      </c>
      <c r="J106" s="48" t="n">
        <f aca="false">G106+H106+I106</f>
        <v>9</v>
      </c>
      <c r="K106" s="44" t="str">
        <f aca="false">IF(J106&gt;=rfv_campeoes,"Campeões",IF(J106&gt;=rfv_leais,"Leais",IF(J106&gt;=rfv_atencao,"Atenção","Em risco")))</f>
        <v>Leais</v>
      </c>
    </row>
    <row r="107" customFormat="false" ht="15" hidden="false" customHeight="false" outlineLevel="0" collapsed="false">
      <c r="A107" s="44" t="s">
        <v>324</v>
      </c>
      <c r="B107" s="48" t="n">
        <f aca="false">COUNTIFS(v_cliente,A107)</f>
        <v>5</v>
      </c>
      <c r="C107" s="46" t="n">
        <f aca="false">SUMIFS(v_valor,v_cliente,A107)</f>
        <v>589.88</v>
      </c>
      <c r="D107" s="45" t="n">
        <f aca="false">_xlfn.MAXIFS(v_data,v_cliente,A107)</f>
        <v>45628</v>
      </c>
      <c r="E107" s="48" t="n">
        <f aca="false">rfv_ref-D107</f>
        <v>30</v>
      </c>
      <c r="F107" s="49" t="n">
        <f aca="false">C107+ROW()/10000000</f>
        <v>589.8800107</v>
      </c>
      <c r="G107" s="48" t="n">
        <f aca="false">IF(E107&lt;=QUARTILE($E$2:$E$246,1),4,IF(E107&lt;=QUARTILE($E$2:$E$246,2),3,IF(E107&lt;=QUARTILE($E$2:$E$246,3),2,1)))</f>
        <v>3</v>
      </c>
      <c r="H107" s="48" t="n">
        <f aca="false">IF(B107&gt;QUARTILE($B$2:$B$246,3),4,IF(B107&gt;QUARTILE($B$2:$B$246,2),3,IF(B107&gt;QUARTILE($B$2:$B$246,1),2,1)))</f>
        <v>3</v>
      </c>
      <c r="I107" s="48" t="n">
        <f aca="false">IF(C107&gt;QUARTILE($C$2:$C$246,3),4,IF(C107&gt;QUARTILE($C$2:$C$246,2),3,IF(C107&gt;QUARTILE($C$2:$C$246,1),2,1)))</f>
        <v>3</v>
      </c>
      <c r="J107" s="48" t="n">
        <f aca="false">G107+H107+I107</f>
        <v>9</v>
      </c>
      <c r="K107" s="44" t="str">
        <f aca="false">IF(J107&gt;=rfv_campeoes,"Campeões",IF(J107&gt;=rfv_leais,"Leais",IF(J107&gt;=rfv_atencao,"Atenção","Em risco")))</f>
        <v>Leais</v>
      </c>
    </row>
    <row r="108" customFormat="false" ht="15" hidden="false" customHeight="false" outlineLevel="0" collapsed="false">
      <c r="A108" s="44" t="s">
        <v>556</v>
      </c>
      <c r="B108" s="48" t="n">
        <f aca="false">COUNTIFS(v_cliente,A108)</f>
        <v>3</v>
      </c>
      <c r="C108" s="46" t="n">
        <f aca="false">SUMIFS(v_valor,v_cliente,A108)</f>
        <v>107.72</v>
      </c>
      <c r="D108" s="45" t="n">
        <f aca="false">_xlfn.MAXIFS(v_data,v_cliente,A108)</f>
        <v>45588</v>
      </c>
      <c r="E108" s="48" t="n">
        <f aca="false">rfv_ref-D108</f>
        <v>70</v>
      </c>
      <c r="F108" s="49" t="n">
        <f aca="false">C108+ROW()/10000000</f>
        <v>107.7200108</v>
      </c>
      <c r="G108" s="48" t="n">
        <f aca="false">IF(E108&lt;=QUARTILE($E$2:$E$246,1),4,IF(E108&lt;=QUARTILE($E$2:$E$246,2),3,IF(E108&lt;=QUARTILE($E$2:$E$246,3),2,1)))</f>
        <v>2</v>
      </c>
      <c r="H108" s="48" t="n">
        <f aca="false">IF(B108&gt;QUARTILE($B$2:$B$246,3),4,IF(B108&gt;QUARTILE($B$2:$B$246,2),3,IF(B108&gt;QUARTILE($B$2:$B$246,1),2,1)))</f>
        <v>1</v>
      </c>
      <c r="I108" s="48" t="n">
        <f aca="false">IF(C108&gt;QUARTILE($C$2:$C$246,3),4,IF(C108&gt;QUARTILE($C$2:$C$246,2),3,IF(C108&gt;QUARTILE($C$2:$C$246,1),2,1)))</f>
        <v>1</v>
      </c>
      <c r="J108" s="48" t="n">
        <f aca="false">G108+H108+I108</f>
        <v>4</v>
      </c>
      <c r="K108" s="44" t="str">
        <f aca="false">IF(J108&gt;=rfv_campeoes,"Campeões",IF(J108&gt;=rfv_leais,"Leais",IF(J108&gt;=rfv_atencao,"Atenção","Em risco")))</f>
        <v>Em risco</v>
      </c>
    </row>
    <row r="109" customFormat="false" ht="15" hidden="false" customHeight="false" outlineLevel="0" collapsed="false">
      <c r="A109" s="44" t="s">
        <v>359</v>
      </c>
      <c r="B109" s="48" t="n">
        <f aca="false">COUNTIFS(v_cliente,A109)</f>
        <v>5</v>
      </c>
      <c r="C109" s="46" t="n">
        <f aca="false">SUMIFS(v_valor,v_cliente,A109)</f>
        <v>743.09</v>
      </c>
      <c r="D109" s="45" t="n">
        <f aca="false">_xlfn.MAXIFS(v_data,v_cliente,A109)</f>
        <v>45641</v>
      </c>
      <c r="E109" s="48" t="n">
        <f aca="false">rfv_ref-D109</f>
        <v>17</v>
      </c>
      <c r="F109" s="49" t="n">
        <f aca="false">C109+ROW()/10000000</f>
        <v>743.0900109</v>
      </c>
      <c r="G109" s="48" t="n">
        <f aca="false">IF(E109&lt;=QUARTILE($E$2:$E$246,1),4,IF(E109&lt;=QUARTILE($E$2:$E$246,2),3,IF(E109&lt;=QUARTILE($E$2:$E$246,3),2,1)))</f>
        <v>4</v>
      </c>
      <c r="H109" s="48" t="n">
        <f aca="false">IF(B109&gt;QUARTILE($B$2:$B$246,3),4,IF(B109&gt;QUARTILE($B$2:$B$246,2),3,IF(B109&gt;QUARTILE($B$2:$B$246,1),2,1)))</f>
        <v>3</v>
      </c>
      <c r="I109" s="48" t="n">
        <f aca="false">IF(C109&gt;QUARTILE($C$2:$C$246,3),4,IF(C109&gt;QUARTILE($C$2:$C$246,2),3,IF(C109&gt;QUARTILE($C$2:$C$246,1),2,1)))</f>
        <v>4</v>
      </c>
      <c r="J109" s="48" t="n">
        <f aca="false">G109+H109+I109</f>
        <v>11</v>
      </c>
      <c r="K109" s="44" t="str">
        <f aca="false">IF(J109&gt;=rfv_campeoes,"Campeões",IF(J109&gt;=rfv_leais,"Leais",IF(J109&gt;=rfv_atencao,"Atenção","Em risco")))</f>
        <v>Campeões</v>
      </c>
    </row>
    <row r="110" customFormat="false" ht="15" hidden="false" customHeight="false" outlineLevel="0" collapsed="false">
      <c r="A110" s="44" t="s">
        <v>342</v>
      </c>
      <c r="B110" s="48" t="n">
        <f aca="false">COUNTIFS(v_cliente,A110)</f>
        <v>4</v>
      </c>
      <c r="C110" s="46" t="n">
        <f aca="false">SUMIFS(v_valor,v_cliente,A110)</f>
        <v>374.08</v>
      </c>
      <c r="D110" s="45" t="n">
        <f aca="false">_xlfn.MAXIFS(v_data,v_cliente,A110)</f>
        <v>45619</v>
      </c>
      <c r="E110" s="48" t="n">
        <f aca="false">rfv_ref-D110</f>
        <v>39</v>
      </c>
      <c r="F110" s="49" t="n">
        <f aca="false">C110+ROW()/10000000</f>
        <v>374.080011</v>
      </c>
      <c r="G110" s="48" t="n">
        <f aca="false">IF(E110&lt;=QUARTILE($E$2:$E$246,1),4,IF(E110&lt;=QUARTILE($E$2:$E$246,2),3,IF(E110&lt;=QUARTILE($E$2:$E$246,3),2,1)))</f>
        <v>3</v>
      </c>
      <c r="H110" s="48" t="n">
        <f aca="false">IF(B110&gt;QUARTILE($B$2:$B$246,3),4,IF(B110&gt;QUARTILE($B$2:$B$246,2),3,IF(B110&gt;QUARTILE($B$2:$B$246,1),2,1)))</f>
        <v>2</v>
      </c>
      <c r="I110" s="48" t="n">
        <f aca="false">IF(C110&gt;QUARTILE($C$2:$C$246,3),4,IF(C110&gt;QUARTILE($C$2:$C$246,2),3,IF(C110&gt;QUARTILE($C$2:$C$246,1),2,1)))</f>
        <v>3</v>
      </c>
      <c r="J110" s="48" t="n">
        <f aca="false">G110+H110+I110</f>
        <v>8</v>
      </c>
      <c r="K110" s="44" t="str">
        <f aca="false">IF(J110&gt;=rfv_campeoes,"Campeões",IF(J110&gt;=rfv_leais,"Leais",IF(J110&gt;=rfv_atencao,"Atenção","Em risco")))</f>
        <v>Leais</v>
      </c>
    </row>
    <row r="111" customFormat="false" ht="15" hidden="false" customHeight="false" outlineLevel="0" collapsed="false">
      <c r="A111" s="44" t="s">
        <v>529</v>
      </c>
      <c r="B111" s="48" t="n">
        <f aca="false">COUNTIFS(v_cliente,A111)</f>
        <v>3</v>
      </c>
      <c r="C111" s="46" t="n">
        <f aca="false">SUMIFS(v_valor,v_cliente,A111)</f>
        <v>225.16</v>
      </c>
      <c r="D111" s="45" t="n">
        <f aca="false">_xlfn.MAXIFS(v_data,v_cliente,A111)</f>
        <v>45573</v>
      </c>
      <c r="E111" s="48" t="n">
        <f aca="false">rfv_ref-D111</f>
        <v>85</v>
      </c>
      <c r="F111" s="49" t="n">
        <f aca="false">C111+ROW()/10000000</f>
        <v>225.1600111</v>
      </c>
      <c r="G111" s="48" t="n">
        <f aca="false">IF(E111&lt;=QUARTILE($E$2:$E$246,1),4,IF(E111&lt;=QUARTILE($E$2:$E$246,2),3,IF(E111&lt;=QUARTILE($E$2:$E$246,3),2,1)))</f>
        <v>2</v>
      </c>
      <c r="H111" s="48" t="n">
        <f aca="false">IF(B111&gt;QUARTILE($B$2:$B$246,3),4,IF(B111&gt;QUARTILE($B$2:$B$246,2),3,IF(B111&gt;QUARTILE($B$2:$B$246,1),2,1)))</f>
        <v>1</v>
      </c>
      <c r="I111" s="48" t="n">
        <f aca="false">IF(C111&gt;QUARTILE($C$2:$C$246,3),4,IF(C111&gt;QUARTILE($C$2:$C$246,2),3,IF(C111&gt;QUARTILE($C$2:$C$246,1),2,1)))</f>
        <v>2</v>
      </c>
      <c r="J111" s="48" t="n">
        <f aca="false">G111+H111+I111</f>
        <v>5</v>
      </c>
      <c r="K111" s="44" t="str">
        <f aca="false">IF(J111&gt;=rfv_campeoes,"Campeões",IF(J111&gt;=rfv_leais,"Leais",IF(J111&gt;=rfv_atencao,"Atenção","Em risco")))</f>
        <v>Atenção</v>
      </c>
    </row>
    <row r="112" customFormat="false" ht="15" hidden="false" customHeight="false" outlineLevel="0" collapsed="false">
      <c r="A112" s="44" t="s">
        <v>379</v>
      </c>
      <c r="B112" s="48" t="n">
        <f aca="false">COUNTIFS(v_cliente,A112)</f>
        <v>4</v>
      </c>
      <c r="C112" s="46" t="n">
        <f aca="false">SUMIFS(v_valor,v_cliente,A112)</f>
        <v>473.1</v>
      </c>
      <c r="D112" s="45" t="n">
        <f aca="false">_xlfn.MAXIFS(v_data,v_cliente,A112)</f>
        <v>45622</v>
      </c>
      <c r="E112" s="48" t="n">
        <f aca="false">rfv_ref-D112</f>
        <v>36</v>
      </c>
      <c r="F112" s="49" t="n">
        <f aca="false">C112+ROW()/10000000</f>
        <v>473.1000112</v>
      </c>
      <c r="G112" s="48" t="n">
        <f aca="false">IF(E112&lt;=QUARTILE($E$2:$E$246,1),4,IF(E112&lt;=QUARTILE($E$2:$E$246,2),3,IF(E112&lt;=QUARTILE($E$2:$E$246,3),2,1)))</f>
        <v>3</v>
      </c>
      <c r="H112" s="48" t="n">
        <f aca="false">IF(B112&gt;QUARTILE($B$2:$B$246,3),4,IF(B112&gt;QUARTILE($B$2:$B$246,2),3,IF(B112&gt;QUARTILE($B$2:$B$246,1),2,1)))</f>
        <v>2</v>
      </c>
      <c r="I112" s="48" t="n">
        <f aca="false">IF(C112&gt;QUARTILE($C$2:$C$246,3),4,IF(C112&gt;QUARTILE($C$2:$C$246,2),3,IF(C112&gt;QUARTILE($C$2:$C$246,1),2,1)))</f>
        <v>3</v>
      </c>
      <c r="J112" s="48" t="n">
        <f aca="false">G112+H112+I112</f>
        <v>8</v>
      </c>
      <c r="K112" s="44" t="str">
        <f aca="false">IF(J112&gt;=rfv_campeoes,"Campeões",IF(J112&gt;=rfv_leais,"Leais",IF(J112&gt;=rfv_atencao,"Atenção","Em risco")))</f>
        <v>Leais</v>
      </c>
    </row>
    <row r="113" customFormat="false" ht="15" hidden="false" customHeight="false" outlineLevel="0" collapsed="false">
      <c r="A113" s="44" t="s">
        <v>463</v>
      </c>
      <c r="B113" s="48" t="n">
        <f aca="false">COUNTIFS(v_cliente,A113)</f>
        <v>4</v>
      </c>
      <c r="C113" s="46" t="n">
        <f aca="false">SUMIFS(v_valor,v_cliente,A113)</f>
        <v>532.9</v>
      </c>
      <c r="D113" s="45" t="n">
        <f aca="false">_xlfn.MAXIFS(v_data,v_cliente,A113)</f>
        <v>45621</v>
      </c>
      <c r="E113" s="48" t="n">
        <f aca="false">rfv_ref-D113</f>
        <v>37</v>
      </c>
      <c r="F113" s="49" t="n">
        <f aca="false">C113+ROW()/10000000</f>
        <v>532.9000113</v>
      </c>
      <c r="G113" s="48" t="n">
        <f aca="false">IF(E113&lt;=QUARTILE($E$2:$E$246,1),4,IF(E113&lt;=QUARTILE($E$2:$E$246,2),3,IF(E113&lt;=QUARTILE($E$2:$E$246,3),2,1)))</f>
        <v>3</v>
      </c>
      <c r="H113" s="48" t="n">
        <f aca="false">IF(B113&gt;QUARTILE($B$2:$B$246,3),4,IF(B113&gt;QUARTILE($B$2:$B$246,2),3,IF(B113&gt;QUARTILE($B$2:$B$246,1),2,1)))</f>
        <v>2</v>
      </c>
      <c r="I113" s="48" t="n">
        <f aca="false">IF(C113&gt;QUARTILE($C$2:$C$246,3),4,IF(C113&gt;QUARTILE($C$2:$C$246,2),3,IF(C113&gt;QUARTILE($C$2:$C$246,1),2,1)))</f>
        <v>3</v>
      </c>
      <c r="J113" s="48" t="n">
        <f aca="false">G113+H113+I113</f>
        <v>8</v>
      </c>
      <c r="K113" s="44" t="str">
        <f aca="false">IF(J113&gt;=rfv_campeoes,"Campeões",IF(J113&gt;=rfv_leais,"Leais",IF(J113&gt;=rfv_atencao,"Atenção","Em risco")))</f>
        <v>Leais</v>
      </c>
    </row>
    <row r="114" customFormat="false" ht="15" hidden="false" customHeight="false" outlineLevel="0" collapsed="false">
      <c r="A114" s="44" t="s">
        <v>444</v>
      </c>
      <c r="B114" s="48" t="n">
        <f aca="false">COUNTIFS(v_cliente,A114)</f>
        <v>2</v>
      </c>
      <c r="C114" s="46" t="n">
        <f aca="false">SUMIFS(v_valor,v_cliente,A114)</f>
        <v>617.84</v>
      </c>
      <c r="D114" s="45" t="n">
        <f aca="false">_xlfn.MAXIFS(v_data,v_cliente,A114)</f>
        <v>45440</v>
      </c>
      <c r="E114" s="48" t="n">
        <f aca="false">rfv_ref-D114</f>
        <v>218</v>
      </c>
      <c r="F114" s="49" t="n">
        <f aca="false">C114+ROW()/10000000</f>
        <v>617.8400114</v>
      </c>
      <c r="G114" s="48" t="n">
        <f aca="false">IF(E114&lt;=QUARTILE($E$2:$E$246,1),4,IF(E114&lt;=QUARTILE($E$2:$E$246,2),3,IF(E114&lt;=QUARTILE($E$2:$E$246,3),2,1)))</f>
        <v>1</v>
      </c>
      <c r="H114" s="48" t="n">
        <f aca="false">IF(B114&gt;QUARTILE($B$2:$B$246,3),4,IF(B114&gt;QUARTILE($B$2:$B$246,2),3,IF(B114&gt;QUARTILE($B$2:$B$246,1),2,1)))</f>
        <v>1</v>
      </c>
      <c r="I114" s="48" t="n">
        <f aca="false">IF(C114&gt;QUARTILE($C$2:$C$246,3),4,IF(C114&gt;QUARTILE($C$2:$C$246,2),3,IF(C114&gt;QUARTILE($C$2:$C$246,1),2,1)))</f>
        <v>3</v>
      </c>
      <c r="J114" s="48" t="n">
        <f aca="false">G114+H114+I114</f>
        <v>5</v>
      </c>
      <c r="K114" s="44" t="str">
        <f aca="false">IF(J114&gt;=rfv_campeoes,"Campeões",IF(J114&gt;=rfv_leais,"Leais",IF(J114&gt;=rfv_atencao,"Atenção","Em risco")))</f>
        <v>Atenção</v>
      </c>
    </row>
    <row r="115" customFormat="false" ht="15" hidden="false" customHeight="false" outlineLevel="0" collapsed="false">
      <c r="A115" s="44" t="s">
        <v>344</v>
      </c>
      <c r="B115" s="48" t="n">
        <f aca="false">COUNTIFS(v_cliente,A115)</f>
        <v>7</v>
      </c>
      <c r="C115" s="46" t="n">
        <f aca="false">SUMIFS(v_valor,v_cliente,A115)</f>
        <v>1303.76</v>
      </c>
      <c r="D115" s="45" t="n">
        <f aca="false">_xlfn.MAXIFS(v_data,v_cliente,A115)</f>
        <v>45650</v>
      </c>
      <c r="E115" s="48" t="n">
        <f aca="false">rfv_ref-D115</f>
        <v>8</v>
      </c>
      <c r="F115" s="49" t="n">
        <f aca="false">C115+ROW()/10000000</f>
        <v>1303.7600115</v>
      </c>
      <c r="G115" s="48" t="n">
        <f aca="false">IF(E115&lt;=QUARTILE($E$2:$E$246,1),4,IF(E115&lt;=QUARTILE($E$2:$E$246,2),3,IF(E115&lt;=QUARTILE($E$2:$E$246,3),2,1)))</f>
        <v>4</v>
      </c>
      <c r="H115" s="48" t="n">
        <f aca="false">IF(B115&gt;QUARTILE($B$2:$B$246,3),4,IF(B115&gt;QUARTILE($B$2:$B$246,2),3,IF(B115&gt;QUARTILE($B$2:$B$246,1),2,1)))</f>
        <v>4</v>
      </c>
      <c r="I115" s="48" t="n">
        <f aca="false">IF(C115&gt;QUARTILE($C$2:$C$246,3),4,IF(C115&gt;QUARTILE($C$2:$C$246,2),3,IF(C115&gt;QUARTILE($C$2:$C$246,1),2,1)))</f>
        <v>4</v>
      </c>
      <c r="J115" s="48" t="n">
        <f aca="false">G115+H115+I115</f>
        <v>12</v>
      </c>
      <c r="K115" s="44" t="str">
        <f aca="false">IF(J115&gt;=rfv_campeoes,"Campeões",IF(J115&gt;=rfv_leais,"Leais",IF(J115&gt;=rfv_atencao,"Atenção","Em risco")))</f>
        <v>Campeões</v>
      </c>
    </row>
    <row r="116" customFormat="false" ht="15" hidden="false" customHeight="false" outlineLevel="0" collapsed="false">
      <c r="A116" s="44" t="s">
        <v>346</v>
      </c>
      <c r="B116" s="48" t="n">
        <f aca="false">COUNTIFS(v_cliente,A116)</f>
        <v>2</v>
      </c>
      <c r="C116" s="46" t="n">
        <f aca="false">SUMIFS(v_valor,v_cliente,A116)</f>
        <v>173.32</v>
      </c>
      <c r="D116" s="45" t="n">
        <f aca="false">_xlfn.MAXIFS(v_data,v_cliente,A116)</f>
        <v>45582</v>
      </c>
      <c r="E116" s="48" t="n">
        <f aca="false">rfv_ref-D116</f>
        <v>76</v>
      </c>
      <c r="F116" s="49" t="n">
        <f aca="false">C116+ROW()/10000000</f>
        <v>173.3200116</v>
      </c>
      <c r="G116" s="48" t="n">
        <f aca="false">IF(E116&lt;=QUARTILE($E$2:$E$246,1),4,IF(E116&lt;=QUARTILE($E$2:$E$246,2),3,IF(E116&lt;=QUARTILE($E$2:$E$246,3),2,1)))</f>
        <v>2</v>
      </c>
      <c r="H116" s="48" t="n">
        <f aca="false">IF(B116&gt;QUARTILE($B$2:$B$246,3),4,IF(B116&gt;QUARTILE($B$2:$B$246,2),3,IF(B116&gt;QUARTILE($B$2:$B$246,1),2,1)))</f>
        <v>1</v>
      </c>
      <c r="I116" s="48" t="n">
        <f aca="false">IF(C116&gt;QUARTILE($C$2:$C$246,3),4,IF(C116&gt;QUARTILE($C$2:$C$246,2),3,IF(C116&gt;QUARTILE($C$2:$C$246,1),2,1)))</f>
        <v>2</v>
      </c>
      <c r="J116" s="48" t="n">
        <f aca="false">G116+H116+I116</f>
        <v>5</v>
      </c>
      <c r="K116" s="44" t="str">
        <f aca="false">IF(J116&gt;=rfv_campeoes,"Campeões",IF(J116&gt;=rfv_leais,"Leais",IF(J116&gt;=rfv_atencao,"Atenção","Em risco")))</f>
        <v>Atenção</v>
      </c>
    </row>
    <row r="117" customFormat="false" ht="15" hidden="false" customHeight="false" outlineLevel="0" collapsed="false">
      <c r="A117" s="44" t="s">
        <v>557</v>
      </c>
      <c r="B117" s="48" t="n">
        <f aca="false">COUNTIFS(v_cliente,A117)</f>
        <v>2</v>
      </c>
      <c r="C117" s="46" t="n">
        <f aca="false">SUMIFS(v_valor,v_cliente,A117)</f>
        <v>45.32</v>
      </c>
      <c r="D117" s="45" t="n">
        <f aca="false">_xlfn.MAXIFS(v_data,v_cliente,A117)</f>
        <v>45541</v>
      </c>
      <c r="E117" s="48" t="n">
        <f aca="false">rfv_ref-D117</f>
        <v>117</v>
      </c>
      <c r="F117" s="49" t="n">
        <f aca="false">C117+ROW()/10000000</f>
        <v>45.3200117</v>
      </c>
      <c r="G117" s="48" t="n">
        <f aca="false">IF(E117&lt;=QUARTILE($E$2:$E$246,1),4,IF(E117&lt;=QUARTILE($E$2:$E$246,2),3,IF(E117&lt;=QUARTILE($E$2:$E$246,3),2,1)))</f>
        <v>2</v>
      </c>
      <c r="H117" s="48" t="n">
        <f aca="false">IF(B117&gt;QUARTILE($B$2:$B$246,3),4,IF(B117&gt;QUARTILE($B$2:$B$246,2),3,IF(B117&gt;QUARTILE($B$2:$B$246,1),2,1)))</f>
        <v>1</v>
      </c>
      <c r="I117" s="48" t="n">
        <f aca="false">IF(C117&gt;QUARTILE($C$2:$C$246,3),4,IF(C117&gt;QUARTILE($C$2:$C$246,2),3,IF(C117&gt;QUARTILE($C$2:$C$246,1),2,1)))</f>
        <v>1</v>
      </c>
      <c r="J117" s="48" t="n">
        <f aca="false">G117+H117+I117</f>
        <v>4</v>
      </c>
      <c r="K117" s="44" t="str">
        <f aca="false">IF(J117&gt;=rfv_campeoes,"Campeões",IF(J117&gt;=rfv_leais,"Leais",IF(J117&gt;=rfv_atencao,"Atenção","Em risco")))</f>
        <v>Em risco</v>
      </c>
    </row>
    <row r="118" customFormat="false" ht="15" hidden="false" customHeight="false" outlineLevel="0" collapsed="false">
      <c r="A118" s="44" t="s">
        <v>453</v>
      </c>
      <c r="B118" s="48" t="n">
        <f aca="false">COUNTIFS(v_cliente,A118)</f>
        <v>3</v>
      </c>
      <c r="C118" s="46" t="n">
        <f aca="false">SUMIFS(v_valor,v_cliente,A118)</f>
        <v>470.84</v>
      </c>
      <c r="D118" s="45" t="n">
        <f aca="false">_xlfn.MAXIFS(v_data,v_cliente,A118)</f>
        <v>45519</v>
      </c>
      <c r="E118" s="48" t="n">
        <f aca="false">rfv_ref-D118</f>
        <v>139</v>
      </c>
      <c r="F118" s="49" t="n">
        <f aca="false">C118+ROW()/10000000</f>
        <v>470.8400118</v>
      </c>
      <c r="G118" s="48" t="n">
        <f aca="false">IF(E118&lt;=QUARTILE($E$2:$E$246,1),4,IF(E118&lt;=QUARTILE($E$2:$E$246,2),3,IF(E118&lt;=QUARTILE($E$2:$E$246,3),2,1)))</f>
        <v>1</v>
      </c>
      <c r="H118" s="48" t="n">
        <f aca="false">IF(B118&gt;QUARTILE($B$2:$B$246,3),4,IF(B118&gt;QUARTILE($B$2:$B$246,2),3,IF(B118&gt;QUARTILE($B$2:$B$246,1),2,1)))</f>
        <v>1</v>
      </c>
      <c r="I118" s="48" t="n">
        <f aca="false">IF(C118&gt;QUARTILE($C$2:$C$246,3),4,IF(C118&gt;QUARTILE($C$2:$C$246,2),3,IF(C118&gt;QUARTILE($C$2:$C$246,1),2,1)))</f>
        <v>3</v>
      </c>
      <c r="J118" s="48" t="n">
        <f aca="false">G118+H118+I118</f>
        <v>5</v>
      </c>
      <c r="K118" s="44" t="str">
        <f aca="false">IF(J118&gt;=rfv_campeoes,"Campeões",IF(J118&gt;=rfv_leais,"Leais",IF(J118&gt;=rfv_atencao,"Atenção","Em risco")))</f>
        <v>Atenção</v>
      </c>
    </row>
    <row r="119" customFormat="false" ht="15" hidden="false" customHeight="false" outlineLevel="0" collapsed="false">
      <c r="A119" s="44" t="s">
        <v>401</v>
      </c>
      <c r="B119" s="48" t="n">
        <f aca="false">COUNTIFS(v_cliente,A119)</f>
        <v>6</v>
      </c>
      <c r="C119" s="46" t="n">
        <f aca="false">SUMIFS(v_valor,v_cliente,A119)</f>
        <v>138.53</v>
      </c>
      <c r="D119" s="45" t="n">
        <f aca="false">_xlfn.MAXIFS(v_data,v_cliente,A119)</f>
        <v>45632</v>
      </c>
      <c r="E119" s="48" t="n">
        <f aca="false">rfv_ref-D119</f>
        <v>26</v>
      </c>
      <c r="F119" s="49" t="n">
        <f aca="false">C119+ROW()/10000000</f>
        <v>138.5300119</v>
      </c>
      <c r="G119" s="48" t="n">
        <f aca="false">IF(E119&lt;=QUARTILE($E$2:$E$246,1),4,IF(E119&lt;=QUARTILE($E$2:$E$246,2),3,IF(E119&lt;=QUARTILE($E$2:$E$246,3),2,1)))</f>
        <v>3</v>
      </c>
      <c r="H119" s="48" t="n">
        <f aca="false">IF(B119&gt;QUARTILE($B$2:$B$246,3),4,IF(B119&gt;QUARTILE($B$2:$B$246,2),3,IF(B119&gt;QUARTILE($B$2:$B$246,1),2,1)))</f>
        <v>4</v>
      </c>
      <c r="I119" s="48" t="n">
        <f aca="false">IF(C119&gt;QUARTILE($C$2:$C$246,3),4,IF(C119&gt;QUARTILE($C$2:$C$246,2),3,IF(C119&gt;QUARTILE($C$2:$C$246,1),2,1)))</f>
        <v>1</v>
      </c>
      <c r="J119" s="48" t="n">
        <f aca="false">G119+H119+I119</f>
        <v>8</v>
      </c>
      <c r="K119" s="44" t="str">
        <f aca="false">IF(J119&gt;=rfv_campeoes,"Campeões",IF(J119&gt;=rfv_leais,"Leais",IF(J119&gt;=rfv_atencao,"Atenção","Em risco")))</f>
        <v>Leais</v>
      </c>
    </row>
    <row r="120" customFormat="false" ht="15" hidden="false" customHeight="false" outlineLevel="0" collapsed="false">
      <c r="A120" s="44" t="s">
        <v>357</v>
      </c>
      <c r="B120" s="48" t="n">
        <f aca="false">COUNTIFS(v_cliente,A120)</f>
        <v>4</v>
      </c>
      <c r="C120" s="46" t="n">
        <f aca="false">SUMIFS(v_valor,v_cliente,A120)</f>
        <v>60.62</v>
      </c>
      <c r="D120" s="45" t="n">
        <f aca="false">_xlfn.MAXIFS(v_data,v_cliente,A120)</f>
        <v>45628</v>
      </c>
      <c r="E120" s="48" t="n">
        <f aca="false">rfv_ref-D120</f>
        <v>30</v>
      </c>
      <c r="F120" s="49" t="n">
        <f aca="false">C120+ROW()/10000000</f>
        <v>60.620012</v>
      </c>
      <c r="G120" s="48" t="n">
        <f aca="false">IF(E120&lt;=QUARTILE($E$2:$E$246,1),4,IF(E120&lt;=QUARTILE($E$2:$E$246,2),3,IF(E120&lt;=QUARTILE($E$2:$E$246,3),2,1)))</f>
        <v>3</v>
      </c>
      <c r="H120" s="48" t="n">
        <f aca="false">IF(B120&gt;QUARTILE($B$2:$B$246,3),4,IF(B120&gt;QUARTILE($B$2:$B$246,2),3,IF(B120&gt;QUARTILE($B$2:$B$246,1),2,1)))</f>
        <v>2</v>
      </c>
      <c r="I120" s="48" t="n">
        <f aca="false">IF(C120&gt;QUARTILE($C$2:$C$246,3),4,IF(C120&gt;QUARTILE($C$2:$C$246,2),3,IF(C120&gt;QUARTILE($C$2:$C$246,1),2,1)))</f>
        <v>1</v>
      </c>
      <c r="J120" s="48" t="n">
        <f aca="false">G120+H120+I120</f>
        <v>6</v>
      </c>
      <c r="K120" s="44" t="str">
        <f aca="false">IF(J120&gt;=rfv_campeoes,"Campeões",IF(J120&gt;=rfv_leais,"Leais",IF(J120&gt;=rfv_atencao,"Atenção","Em risco")))</f>
        <v>Atenção</v>
      </c>
    </row>
    <row r="121" customFormat="false" ht="15" hidden="false" customHeight="false" outlineLevel="0" collapsed="false">
      <c r="A121" s="44" t="s">
        <v>441</v>
      </c>
      <c r="B121" s="48" t="n">
        <f aca="false">COUNTIFS(v_cliente,A121)</f>
        <v>2</v>
      </c>
      <c r="C121" s="46" t="n">
        <f aca="false">SUMIFS(v_valor,v_cliente,A121)</f>
        <v>11.84</v>
      </c>
      <c r="D121" s="45" t="n">
        <f aca="false">_xlfn.MAXIFS(v_data,v_cliente,A121)</f>
        <v>45639</v>
      </c>
      <c r="E121" s="48" t="n">
        <f aca="false">rfv_ref-D121</f>
        <v>19</v>
      </c>
      <c r="F121" s="49" t="n">
        <f aca="false">C121+ROW()/10000000</f>
        <v>11.8400121</v>
      </c>
      <c r="G121" s="48" t="n">
        <f aca="false">IF(E121&lt;=QUARTILE($E$2:$E$246,1),4,IF(E121&lt;=QUARTILE($E$2:$E$246,2),3,IF(E121&lt;=QUARTILE($E$2:$E$246,3),2,1)))</f>
        <v>4</v>
      </c>
      <c r="H121" s="48" t="n">
        <f aca="false">IF(B121&gt;QUARTILE($B$2:$B$246,3),4,IF(B121&gt;QUARTILE($B$2:$B$246,2),3,IF(B121&gt;QUARTILE($B$2:$B$246,1),2,1)))</f>
        <v>1</v>
      </c>
      <c r="I121" s="48" t="n">
        <f aca="false">IF(C121&gt;QUARTILE($C$2:$C$246,3),4,IF(C121&gt;QUARTILE($C$2:$C$246,2),3,IF(C121&gt;QUARTILE($C$2:$C$246,1),2,1)))</f>
        <v>1</v>
      </c>
      <c r="J121" s="48" t="n">
        <f aca="false">G121+H121+I121</f>
        <v>6</v>
      </c>
      <c r="K121" s="44" t="str">
        <f aca="false">IF(J121&gt;=rfv_campeoes,"Campeões",IF(J121&gt;=rfv_leais,"Leais",IF(J121&gt;=rfv_atencao,"Atenção","Em risco")))</f>
        <v>Atenção</v>
      </c>
    </row>
    <row r="122" customFormat="false" ht="15" hidden="false" customHeight="false" outlineLevel="0" collapsed="false">
      <c r="A122" s="44" t="s">
        <v>436</v>
      </c>
      <c r="B122" s="48" t="n">
        <f aca="false">COUNTIFS(v_cliente,A122)</f>
        <v>3</v>
      </c>
      <c r="C122" s="46" t="n">
        <f aca="false">SUMIFS(v_valor,v_cliente,A122)</f>
        <v>156.82</v>
      </c>
      <c r="D122" s="45" t="n">
        <f aca="false">_xlfn.MAXIFS(v_data,v_cliente,A122)</f>
        <v>45655</v>
      </c>
      <c r="E122" s="48" t="n">
        <f aca="false">rfv_ref-D122</f>
        <v>3</v>
      </c>
      <c r="F122" s="49" t="n">
        <f aca="false">C122+ROW()/10000000</f>
        <v>156.8200122</v>
      </c>
      <c r="G122" s="48" t="n">
        <f aca="false">IF(E122&lt;=QUARTILE($E$2:$E$246,1),4,IF(E122&lt;=QUARTILE($E$2:$E$246,2),3,IF(E122&lt;=QUARTILE($E$2:$E$246,3),2,1)))</f>
        <v>4</v>
      </c>
      <c r="H122" s="48" t="n">
        <f aca="false">IF(B122&gt;QUARTILE($B$2:$B$246,3),4,IF(B122&gt;QUARTILE($B$2:$B$246,2),3,IF(B122&gt;QUARTILE($B$2:$B$246,1),2,1)))</f>
        <v>1</v>
      </c>
      <c r="I122" s="48" t="n">
        <f aca="false">IF(C122&gt;QUARTILE($C$2:$C$246,3),4,IF(C122&gt;QUARTILE($C$2:$C$246,2),3,IF(C122&gt;QUARTILE($C$2:$C$246,1),2,1)))</f>
        <v>1</v>
      </c>
      <c r="J122" s="48" t="n">
        <f aca="false">G122+H122+I122</f>
        <v>6</v>
      </c>
      <c r="K122" s="44" t="str">
        <f aca="false">IF(J122&gt;=rfv_campeoes,"Campeões",IF(J122&gt;=rfv_leais,"Leais",IF(J122&gt;=rfv_atencao,"Atenção","Em risco")))</f>
        <v>Atenção</v>
      </c>
    </row>
    <row r="123" customFormat="false" ht="15" hidden="false" customHeight="false" outlineLevel="0" collapsed="false">
      <c r="A123" s="44" t="s">
        <v>373</v>
      </c>
      <c r="B123" s="48" t="n">
        <f aca="false">COUNTIFS(v_cliente,A123)</f>
        <v>5</v>
      </c>
      <c r="C123" s="46" t="n">
        <f aca="false">SUMIFS(v_valor,v_cliente,A123)</f>
        <v>476.23</v>
      </c>
      <c r="D123" s="45" t="n">
        <f aca="false">_xlfn.MAXIFS(v_data,v_cliente,A123)</f>
        <v>45432</v>
      </c>
      <c r="E123" s="48" t="n">
        <f aca="false">rfv_ref-D123</f>
        <v>226</v>
      </c>
      <c r="F123" s="49" t="n">
        <f aca="false">C123+ROW()/10000000</f>
        <v>476.2300123</v>
      </c>
      <c r="G123" s="48" t="n">
        <f aca="false">IF(E123&lt;=QUARTILE($E$2:$E$246,1),4,IF(E123&lt;=QUARTILE($E$2:$E$246,2),3,IF(E123&lt;=QUARTILE($E$2:$E$246,3),2,1)))</f>
        <v>1</v>
      </c>
      <c r="H123" s="48" t="n">
        <f aca="false">IF(B123&gt;QUARTILE($B$2:$B$246,3),4,IF(B123&gt;QUARTILE($B$2:$B$246,2),3,IF(B123&gt;QUARTILE($B$2:$B$246,1),2,1)))</f>
        <v>3</v>
      </c>
      <c r="I123" s="48" t="n">
        <f aca="false">IF(C123&gt;QUARTILE($C$2:$C$246,3),4,IF(C123&gt;QUARTILE($C$2:$C$246,2),3,IF(C123&gt;QUARTILE($C$2:$C$246,1),2,1)))</f>
        <v>3</v>
      </c>
      <c r="J123" s="48" t="n">
        <f aca="false">G123+H123+I123</f>
        <v>7</v>
      </c>
      <c r="K123" s="44" t="str">
        <f aca="false">IF(J123&gt;=rfv_campeoes,"Campeões",IF(J123&gt;=rfv_leais,"Leais",IF(J123&gt;=rfv_atencao,"Atenção","Em risco")))</f>
        <v>Leais</v>
      </c>
    </row>
    <row r="124" customFormat="false" ht="15" hidden="false" customHeight="false" outlineLevel="0" collapsed="false">
      <c r="A124" s="44" t="s">
        <v>520</v>
      </c>
      <c r="B124" s="48" t="n">
        <f aca="false">COUNTIFS(v_cliente,A124)</f>
        <v>5</v>
      </c>
      <c r="C124" s="46" t="n">
        <f aca="false">SUMIFS(v_valor,v_cliente,A124)</f>
        <v>333.2</v>
      </c>
      <c r="D124" s="45" t="n">
        <f aca="false">_xlfn.MAXIFS(v_data,v_cliente,A124)</f>
        <v>45519</v>
      </c>
      <c r="E124" s="48" t="n">
        <f aca="false">rfv_ref-D124</f>
        <v>139</v>
      </c>
      <c r="F124" s="49" t="n">
        <f aca="false">C124+ROW()/10000000</f>
        <v>333.2000124</v>
      </c>
      <c r="G124" s="48" t="n">
        <f aca="false">IF(E124&lt;=QUARTILE($E$2:$E$246,1),4,IF(E124&lt;=QUARTILE($E$2:$E$246,2),3,IF(E124&lt;=QUARTILE($E$2:$E$246,3),2,1)))</f>
        <v>1</v>
      </c>
      <c r="H124" s="48" t="n">
        <f aca="false">IF(B124&gt;QUARTILE($B$2:$B$246,3),4,IF(B124&gt;QUARTILE($B$2:$B$246,2),3,IF(B124&gt;QUARTILE($B$2:$B$246,1),2,1)))</f>
        <v>3</v>
      </c>
      <c r="I124" s="48" t="n">
        <f aca="false">IF(C124&gt;QUARTILE($C$2:$C$246,3),4,IF(C124&gt;QUARTILE($C$2:$C$246,2),3,IF(C124&gt;QUARTILE($C$2:$C$246,1),2,1)))</f>
        <v>2</v>
      </c>
      <c r="J124" s="48" t="n">
        <f aca="false">G124+H124+I124</f>
        <v>6</v>
      </c>
      <c r="K124" s="44" t="str">
        <f aca="false">IF(J124&gt;=rfv_campeoes,"Campeões",IF(J124&gt;=rfv_leais,"Leais",IF(J124&gt;=rfv_atencao,"Atenção","Em risco")))</f>
        <v>Atenção</v>
      </c>
    </row>
    <row r="125" customFormat="false" ht="15" hidden="false" customHeight="false" outlineLevel="0" collapsed="false">
      <c r="A125" s="44" t="s">
        <v>319</v>
      </c>
      <c r="B125" s="48" t="n">
        <f aca="false">COUNTIFS(v_cliente,A125)</f>
        <v>7</v>
      </c>
      <c r="C125" s="46" t="n">
        <f aca="false">SUMIFS(v_valor,v_cliente,A125)</f>
        <v>601.59</v>
      </c>
      <c r="D125" s="45" t="n">
        <f aca="false">_xlfn.MAXIFS(v_data,v_cliente,A125)</f>
        <v>45514</v>
      </c>
      <c r="E125" s="48" t="n">
        <f aca="false">rfv_ref-D125</f>
        <v>144</v>
      </c>
      <c r="F125" s="49" t="n">
        <f aca="false">C125+ROW()/10000000</f>
        <v>601.5900125</v>
      </c>
      <c r="G125" s="48" t="n">
        <f aca="false">IF(E125&lt;=QUARTILE($E$2:$E$246,1),4,IF(E125&lt;=QUARTILE($E$2:$E$246,2),3,IF(E125&lt;=QUARTILE($E$2:$E$246,3),2,1)))</f>
        <v>1</v>
      </c>
      <c r="H125" s="48" t="n">
        <f aca="false">IF(B125&gt;QUARTILE($B$2:$B$246,3),4,IF(B125&gt;QUARTILE($B$2:$B$246,2),3,IF(B125&gt;QUARTILE($B$2:$B$246,1),2,1)))</f>
        <v>4</v>
      </c>
      <c r="I125" s="48" t="n">
        <f aca="false">IF(C125&gt;QUARTILE($C$2:$C$246,3),4,IF(C125&gt;QUARTILE($C$2:$C$246,2),3,IF(C125&gt;QUARTILE($C$2:$C$246,1),2,1)))</f>
        <v>3</v>
      </c>
      <c r="J125" s="48" t="n">
        <f aca="false">G125+H125+I125</f>
        <v>8</v>
      </c>
      <c r="K125" s="44" t="str">
        <f aca="false">IF(J125&gt;=rfv_campeoes,"Campeões",IF(J125&gt;=rfv_leais,"Leais",IF(J125&gt;=rfv_atencao,"Atenção","Em risco")))</f>
        <v>Leais</v>
      </c>
    </row>
    <row r="126" customFormat="false" ht="15" hidden="false" customHeight="false" outlineLevel="0" collapsed="false">
      <c r="A126" s="44" t="s">
        <v>477</v>
      </c>
      <c r="B126" s="48" t="n">
        <f aca="false">COUNTIFS(v_cliente,A126)</f>
        <v>4</v>
      </c>
      <c r="C126" s="46" t="n">
        <f aca="false">SUMIFS(v_valor,v_cliente,A126)</f>
        <v>384.11</v>
      </c>
      <c r="D126" s="45" t="n">
        <f aca="false">_xlfn.MAXIFS(v_data,v_cliente,A126)</f>
        <v>45592</v>
      </c>
      <c r="E126" s="48" t="n">
        <f aca="false">rfv_ref-D126</f>
        <v>66</v>
      </c>
      <c r="F126" s="49" t="n">
        <f aca="false">C126+ROW()/10000000</f>
        <v>384.1100126</v>
      </c>
      <c r="G126" s="48" t="n">
        <f aca="false">IF(E126&lt;=QUARTILE($E$2:$E$246,1),4,IF(E126&lt;=QUARTILE($E$2:$E$246,2),3,IF(E126&lt;=QUARTILE($E$2:$E$246,3),2,1)))</f>
        <v>2</v>
      </c>
      <c r="H126" s="48" t="n">
        <f aca="false">IF(B126&gt;QUARTILE($B$2:$B$246,3),4,IF(B126&gt;QUARTILE($B$2:$B$246,2),3,IF(B126&gt;QUARTILE($B$2:$B$246,1),2,1)))</f>
        <v>2</v>
      </c>
      <c r="I126" s="48" t="n">
        <f aca="false">IF(C126&gt;QUARTILE($C$2:$C$246,3),4,IF(C126&gt;QUARTILE($C$2:$C$246,2),3,IF(C126&gt;QUARTILE($C$2:$C$246,1),2,1)))</f>
        <v>3</v>
      </c>
      <c r="J126" s="48" t="n">
        <f aca="false">G126+H126+I126</f>
        <v>7</v>
      </c>
      <c r="K126" s="44" t="str">
        <f aca="false">IF(J126&gt;=rfv_campeoes,"Campeões",IF(J126&gt;=rfv_leais,"Leais",IF(J126&gt;=rfv_atencao,"Atenção","Em risco")))</f>
        <v>Leais</v>
      </c>
    </row>
    <row r="127" customFormat="false" ht="15" hidden="false" customHeight="false" outlineLevel="0" collapsed="false">
      <c r="A127" s="44" t="s">
        <v>503</v>
      </c>
      <c r="B127" s="48" t="n">
        <f aca="false">COUNTIFS(v_cliente,A127)</f>
        <v>1</v>
      </c>
      <c r="C127" s="46" t="n">
        <f aca="false">SUMIFS(v_valor,v_cliente,A127)</f>
        <v>214.42</v>
      </c>
      <c r="D127" s="45" t="n">
        <f aca="false">_xlfn.MAXIFS(v_data,v_cliente,A127)</f>
        <v>45638</v>
      </c>
      <c r="E127" s="48" t="n">
        <f aca="false">rfv_ref-D127</f>
        <v>20</v>
      </c>
      <c r="F127" s="49" t="n">
        <f aca="false">C127+ROW()/10000000</f>
        <v>214.4200127</v>
      </c>
      <c r="G127" s="48" t="n">
        <f aca="false">IF(E127&lt;=QUARTILE($E$2:$E$246,1),4,IF(E127&lt;=QUARTILE($E$2:$E$246,2),3,IF(E127&lt;=QUARTILE($E$2:$E$246,3),2,1)))</f>
        <v>4</v>
      </c>
      <c r="H127" s="48" t="n">
        <f aca="false">IF(B127&gt;QUARTILE($B$2:$B$246,3),4,IF(B127&gt;QUARTILE($B$2:$B$246,2),3,IF(B127&gt;QUARTILE($B$2:$B$246,1),2,1)))</f>
        <v>1</v>
      </c>
      <c r="I127" s="48" t="n">
        <f aca="false">IF(C127&gt;QUARTILE($C$2:$C$246,3),4,IF(C127&gt;QUARTILE($C$2:$C$246,2),3,IF(C127&gt;QUARTILE($C$2:$C$246,1),2,1)))</f>
        <v>2</v>
      </c>
      <c r="J127" s="48" t="n">
        <f aca="false">G127+H127+I127</f>
        <v>7</v>
      </c>
      <c r="K127" s="44" t="str">
        <f aca="false">IF(J127&gt;=rfv_campeoes,"Campeões",IF(J127&gt;=rfv_leais,"Leais",IF(J127&gt;=rfv_atencao,"Atenção","Em risco")))</f>
        <v>Leais</v>
      </c>
    </row>
    <row r="128" customFormat="false" ht="15" hidden="false" customHeight="false" outlineLevel="0" collapsed="false">
      <c r="A128" s="44" t="s">
        <v>547</v>
      </c>
      <c r="B128" s="48" t="n">
        <f aca="false">COUNTIFS(v_cliente,A128)</f>
        <v>1</v>
      </c>
      <c r="C128" s="46" t="n">
        <f aca="false">SUMIFS(v_valor,v_cliente,A128)</f>
        <v>37.07</v>
      </c>
      <c r="D128" s="45" t="n">
        <f aca="false">_xlfn.MAXIFS(v_data,v_cliente,A128)</f>
        <v>45521</v>
      </c>
      <c r="E128" s="48" t="n">
        <f aca="false">rfv_ref-D128</f>
        <v>137</v>
      </c>
      <c r="F128" s="49" t="n">
        <f aca="false">C128+ROW()/10000000</f>
        <v>37.0700128</v>
      </c>
      <c r="G128" s="48" t="n">
        <f aca="false">IF(E128&lt;=QUARTILE($E$2:$E$246,1),4,IF(E128&lt;=QUARTILE($E$2:$E$246,2),3,IF(E128&lt;=QUARTILE($E$2:$E$246,3),2,1)))</f>
        <v>1</v>
      </c>
      <c r="H128" s="48" t="n">
        <f aca="false">IF(B128&gt;QUARTILE($B$2:$B$246,3),4,IF(B128&gt;QUARTILE($B$2:$B$246,2),3,IF(B128&gt;QUARTILE($B$2:$B$246,1),2,1)))</f>
        <v>1</v>
      </c>
      <c r="I128" s="48" t="n">
        <f aca="false">IF(C128&gt;QUARTILE($C$2:$C$246,3),4,IF(C128&gt;QUARTILE($C$2:$C$246,2),3,IF(C128&gt;QUARTILE($C$2:$C$246,1),2,1)))</f>
        <v>1</v>
      </c>
      <c r="J128" s="48" t="n">
        <f aca="false">G128+H128+I128</f>
        <v>3</v>
      </c>
      <c r="K128" s="44" t="str">
        <f aca="false">IF(J128&gt;=rfv_campeoes,"Campeões",IF(J128&gt;=rfv_leais,"Leais",IF(J128&gt;=rfv_atencao,"Atenção","Em risco")))</f>
        <v>Em risco</v>
      </c>
    </row>
    <row r="129" customFormat="false" ht="15" hidden="false" customHeight="false" outlineLevel="0" collapsed="false">
      <c r="A129" s="44" t="s">
        <v>425</v>
      </c>
      <c r="B129" s="48" t="n">
        <f aca="false">COUNTIFS(v_cliente,A129)</f>
        <v>5</v>
      </c>
      <c r="C129" s="46" t="n">
        <f aca="false">SUMIFS(v_valor,v_cliente,A129)</f>
        <v>54.62</v>
      </c>
      <c r="D129" s="45" t="n">
        <f aca="false">_xlfn.MAXIFS(v_data,v_cliente,A129)</f>
        <v>45616</v>
      </c>
      <c r="E129" s="48" t="n">
        <f aca="false">rfv_ref-D129</f>
        <v>42</v>
      </c>
      <c r="F129" s="49" t="n">
        <f aca="false">C129+ROW()/10000000</f>
        <v>54.6200129</v>
      </c>
      <c r="G129" s="48" t="n">
        <f aca="false">IF(E129&lt;=QUARTILE($E$2:$E$246,1),4,IF(E129&lt;=QUARTILE($E$2:$E$246,2),3,IF(E129&lt;=QUARTILE($E$2:$E$246,3),2,1)))</f>
        <v>3</v>
      </c>
      <c r="H129" s="48" t="n">
        <f aca="false">IF(B129&gt;QUARTILE($B$2:$B$246,3),4,IF(B129&gt;QUARTILE($B$2:$B$246,2),3,IF(B129&gt;QUARTILE($B$2:$B$246,1),2,1)))</f>
        <v>3</v>
      </c>
      <c r="I129" s="48" t="n">
        <f aca="false">IF(C129&gt;QUARTILE($C$2:$C$246,3),4,IF(C129&gt;QUARTILE($C$2:$C$246,2),3,IF(C129&gt;QUARTILE($C$2:$C$246,1),2,1)))</f>
        <v>1</v>
      </c>
      <c r="J129" s="48" t="n">
        <f aca="false">G129+H129+I129</f>
        <v>7</v>
      </c>
      <c r="K129" s="44" t="str">
        <f aca="false">IF(J129&gt;=rfv_campeoes,"Campeões",IF(J129&gt;=rfv_leais,"Leais",IF(J129&gt;=rfv_atencao,"Atenção","Em risco")))</f>
        <v>Leais</v>
      </c>
    </row>
    <row r="130" customFormat="false" ht="15" hidden="false" customHeight="false" outlineLevel="0" collapsed="false">
      <c r="A130" s="44" t="s">
        <v>397</v>
      </c>
      <c r="B130" s="48" t="n">
        <f aca="false">COUNTIFS(v_cliente,A130)</f>
        <v>5</v>
      </c>
      <c r="C130" s="46" t="n">
        <f aca="false">SUMIFS(v_valor,v_cliente,A130)</f>
        <v>666.79</v>
      </c>
      <c r="D130" s="45" t="n">
        <f aca="false">_xlfn.MAXIFS(v_data,v_cliente,A130)</f>
        <v>45529</v>
      </c>
      <c r="E130" s="48" t="n">
        <f aca="false">rfv_ref-D130</f>
        <v>129</v>
      </c>
      <c r="F130" s="49" t="n">
        <f aca="false">C130+ROW()/10000000</f>
        <v>666.790013</v>
      </c>
      <c r="G130" s="48" t="n">
        <f aca="false">IF(E130&lt;=QUARTILE($E$2:$E$246,1),4,IF(E130&lt;=QUARTILE($E$2:$E$246,2),3,IF(E130&lt;=QUARTILE($E$2:$E$246,3),2,1)))</f>
        <v>2</v>
      </c>
      <c r="H130" s="48" t="n">
        <f aca="false">IF(B130&gt;QUARTILE($B$2:$B$246,3),4,IF(B130&gt;QUARTILE($B$2:$B$246,2),3,IF(B130&gt;QUARTILE($B$2:$B$246,1),2,1)))</f>
        <v>3</v>
      </c>
      <c r="I130" s="48" t="n">
        <f aca="false">IF(C130&gt;QUARTILE($C$2:$C$246,3),4,IF(C130&gt;QUARTILE($C$2:$C$246,2),3,IF(C130&gt;QUARTILE($C$2:$C$246,1),2,1)))</f>
        <v>4</v>
      </c>
      <c r="J130" s="48" t="n">
        <f aca="false">G130+H130+I130</f>
        <v>9</v>
      </c>
      <c r="K130" s="44" t="str">
        <f aca="false">IF(J130&gt;=rfv_campeoes,"Campeões",IF(J130&gt;=rfv_leais,"Leais",IF(J130&gt;=rfv_atencao,"Atenção","Em risco")))</f>
        <v>Leais</v>
      </c>
    </row>
    <row r="131" customFormat="false" ht="15" hidden="false" customHeight="false" outlineLevel="0" collapsed="false">
      <c r="A131" s="44" t="s">
        <v>347</v>
      </c>
      <c r="B131" s="48" t="n">
        <f aca="false">COUNTIFS(v_cliente,A131)</f>
        <v>4</v>
      </c>
      <c r="C131" s="46" t="n">
        <f aca="false">SUMIFS(v_valor,v_cliente,A131)</f>
        <v>1066.6</v>
      </c>
      <c r="D131" s="45" t="n">
        <f aca="false">_xlfn.MAXIFS(v_data,v_cliente,A131)</f>
        <v>45645</v>
      </c>
      <c r="E131" s="48" t="n">
        <f aca="false">rfv_ref-D131</f>
        <v>13</v>
      </c>
      <c r="F131" s="49" t="n">
        <f aca="false">C131+ROW()/10000000</f>
        <v>1066.6000131</v>
      </c>
      <c r="G131" s="48" t="n">
        <f aca="false">IF(E131&lt;=QUARTILE($E$2:$E$246,1),4,IF(E131&lt;=QUARTILE($E$2:$E$246,2),3,IF(E131&lt;=QUARTILE($E$2:$E$246,3),2,1)))</f>
        <v>4</v>
      </c>
      <c r="H131" s="48" t="n">
        <f aca="false">IF(B131&gt;QUARTILE($B$2:$B$246,3),4,IF(B131&gt;QUARTILE($B$2:$B$246,2),3,IF(B131&gt;QUARTILE($B$2:$B$246,1),2,1)))</f>
        <v>2</v>
      </c>
      <c r="I131" s="48" t="n">
        <f aca="false">IF(C131&gt;QUARTILE($C$2:$C$246,3),4,IF(C131&gt;QUARTILE($C$2:$C$246,2),3,IF(C131&gt;QUARTILE($C$2:$C$246,1),2,1)))</f>
        <v>4</v>
      </c>
      <c r="J131" s="48" t="n">
        <f aca="false">G131+H131+I131</f>
        <v>10</v>
      </c>
      <c r="K131" s="44" t="str">
        <f aca="false">IF(J131&gt;=rfv_campeoes,"Campeões",IF(J131&gt;=rfv_leais,"Leais",IF(J131&gt;=rfv_atencao,"Atenção","Em risco")))</f>
        <v>Campeões</v>
      </c>
    </row>
    <row r="132" customFormat="false" ht="15" hidden="false" customHeight="false" outlineLevel="0" collapsed="false">
      <c r="A132" s="44" t="s">
        <v>356</v>
      </c>
      <c r="B132" s="48" t="n">
        <f aca="false">COUNTIFS(v_cliente,A132)</f>
        <v>5</v>
      </c>
      <c r="C132" s="46" t="n">
        <f aca="false">SUMIFS(v_valor,v_cliente,A132)</f>
        <v>452.9</v>
      </c>
      <c r="D132" s="45" t="n">
        <f aca="false">_xlfn.MAXIFS(v_data,v_cliente,A132)</f>
        <v>45518</v>
      </c>
      <c r="E132" s="48" t="n">
        <f aca="false">rfv_ref-D132</f>
        <v>140</v>
      </c>
      <c r="F132" s="49" t="n">
        <f aca="false">C132+ROW()/10000000</f>
        <v>452.9000132</v>
      </c>
      <c r="G132" s="48" t="n">
        <f aca="false">IF(E132&lt;=QUARTILE($E$2:$E$246,1),4,IF(E132&lt;=QUARTILE($E$2:$E$246,2),3,IF(E132&lt;=QUARTILE($E$2:$E$246,3),2,1)))</f>
        <v>1</v>
      </c>
      <c r="H132" s="48" t="n">
        <f aca="false">IF(B132&gt;QUARTILE($B$2:$B$246,3),4,IF(B132&gt;QUARTILE($B$2:$B$246,2),3,IF(B132&gt;QUARTILE($B$2:$B$246,1),2,1)))</f>
        <v>3</v>
      </c>
      <c r="I132" s="48" t="n">
        <f aca="false">IF(C132&gt;QUARTILE($C$2:$C$246,3),4,IF(C132&gt;QUARTILE($C$2:$C$246,2),3,IF(C132&gt;QUARTILE($C$2:$C$246,1),2,1)))</f>
        <v>3</v>
      </c>
      <c r="J132" s="48" t="n">
        <f aca="false">G132+H132+I132</f>
        <v>7</v>
      </c>
      <c r="K132" s="44" t="str">
        <f aca="false">IF(J132&gt;=rfv_campeoes,"Campeões",IF(J132&gt;=rfv_leais,"Leais",IF(J132&gt;=rfv_atencao,"Atenção","Em risco")))</f>
        <v>Leais</v>
      </c>
    </row>
    <row r="133" customFormat="false" ht="15" hidden="false" customHeight="false" outlineLevel="0" collapsed="false">
      <c r="A133" s="44" t="s">
        <v>398</v>
      </c>
      <c r="B133" s="48" t="n">
        <f aca="false">COUNTIFS(v_cliente,A133)</f>
        <v>2</v>
      </c>
      <c r="C133" s="46" t="n">
        <f aca="false">SUMIFS(v_valor,v_cliente,A133)</f>
        <v>285.49</v>
      </c>
      <c r="D133" s="45" t="n">
        <f aca="false">_xlfn.MAXIFS(v_data,v_cliente,A133)</f>
        <v>45615</v>
      </c>
      <c r="E133" s="48" t="n">
        <f aca="false">rfv_ref-D133</f>
        <v>43</v>
      </c>
      <c r="F133" s="49" t="n">
        <f aca="false">C133+ROW()/10000000</f>
        <v>285.4900133</v>
      </c>
      <c r="G133" s="48" t="n">
        <f aca="false">IF(E133&lt;=QUARTILE($E$2:$E$246,1),4,IF(E133&lt;=QUARTILE($E$2:$E$246,2),3,IF(E133&lt;=QUARTILE($E$2:$E$246,3),2,1)))</f>
        <v>3</v>
      </c>
      <c r="H133" s="48" t="n">
        <f aca="false">IF(B133&gt;QUARTILE($B$2:$B$246,3),4,IF(B133&gt;QUARTILE($B$2:$B$246,2),3,IF(B133&gt;QUARTILE($B$2:$B$246,1),2,1)))</f>
        <v>1</v>
      </c>
      <c r="I133" s="48" t="n">
        <f aca="false">IF(C133&gt;QUARTILE($C$2:$C$246,3),4,IF(C133&gt;QUARTILE($C$2:$C$246,2),3,IF(C133&gt;QUARTILE($C$2:$C$246,1),2,1)))</f>
        <v>2</v>
      </c>
      <c r="J133" s="48" t="n">
        <f aca="false">G133+H133+I133</f>
        <v>6</v>
      </c>
      <c r="K133" s="44" t="str">
        <f aca="false">IF(J133&gt;=rfv_campeoes,"Campeões",IF(J133&gt;=rfv_leais,"Leais",IF(J133&gt;=rfv_atencao,"Atenção","Em risco")))</f>
        <v>Atenção</v>
      </c>
    </row>
    <row r="134" customFormat="false" ht="15" hidden="false" customHeight="false" outlineLevel="0" collapsed="false">
      <c r="A134" s="44" t="s">
        <v>407</v>
      </c>
      <c r="B134" s="48" t="n">
        <f aca="false">COUNTIFS(v_cliente,A134)</f>
        <v>8</v>
      </c>
      <c r="C134" s="46" t="n">
        <f aca="false">SUMIFS(v_valor,v_cliente,A134)</f>
        <v>529.47</v>
      </c>
      <c r="D134" s="45" t="n">
        <f aca="false">_xlfn.MAXIFS(v_data,v_cliente,A134)</f>
        <v>45633</v>
      </c>
      <c r="E134" s="48" t="n">
        <f aca="false">rfv_ref-D134</f>
        <v>25</v>
      </c>
      <c r="F134" s="49" t="n">
        <f aca="false">C134+ROW()/10000000</f>
        <v>529.4700134</v>
      </c>
      <c r="G134" s="48" t="n">
        <f aca="false">IF(E134&lt;=QUARTILE($E$2:$E$246,1),4,IF(E134&lt;=QUARTILE($E$2:$E$246,2),3,IF(E134&lt;=QUARTILE($E$2:$E$246,3),2,1)))</f>
        <v>3</v>
      </c>
      <c r="H134" s="48" t="n">
        <f aca="false">IF(B134&gt;QUARTILE($B$2:$B$246,3),4,IF(B134&gt;QUARTILE($B$2:$B$246,2),3,IF(B134&gt;QUARTILE($B$2:$B$246,1),2,1)))</f>
        <v>4</v>
      </c>
      <c r="I134" s="48" t="n">
        <f aca="false">IF(C134&gt;QUARTILE($C$2:$C$246,3),4,IF(C134&gt;QUARTILE($C$2:$C$246,2),3,IF(C134&gt;QUARTILE($C$2:$C$246,1),2,1)))</f>
        <v>3</v>
      </c>
      <c r="J134" s="48" t="n">
        <f aca="false">G134+H134+I134</f>
        <v>10</v>
      </c>
      <c r="K134" s="44" t="str">
        <f aca="false">IF(J134&gt;=rfv_campeoes,"Campeões",IF(J134&gt;=rfv_leais,"Leais",IF(J134&gt;=rfv_atencao,"Atenção","Em risco")))</f>
        <v>Campeões</v>
      </c>
    </row>
    <row r="135" customFormat="false" ht="15" hidden="false" customHeight="false" outlineLevel="0" collapsed="false">
      <c r="A135" s="44" t="s">
        <v>465</v>
      </c>
      <c r="B135" s="48" t="n">
        <f aca="false">COUNTIFS(v_cliente,A135)</f>
        <v>6</v>
      </c>
      <c r="C135" s="46" t="n">
        <f aca="false">SUMIFS(v_valor,v_cliente,A135)</f>
        <v>1576.78</v>
      </c>
      <c r="D135" s="45" t="n">
        <f aca="false">_xlfn.MAXIFS(v_data,v_cliente,A135)</f>
        <v>45553</v>
      </c>
      <c r="E135" s="48" t="n">
        <f aca="false">rfv_ref-D135</f>
        <v>105</v>
      </c>
      <c r="F135" s="49" t="n">
        <f aca="false">C135+ROW()/10000000</f>
        <v>1576.7800135</v>
      </c>
      <c r="G135" s="48" t="n">
        <f aca="false">IF(E135&lt;=QUARTILE($E$2:$E$246,1),4,IF(E135&lt;=QUARTILE($E$2:$E$246,2),3,IF(E135&lt;=QUARTILE($E$2:$E$246,3),2,1)))</f>
        <v>2</v>
      </c>
      <c r="H135" s="48" t="n">
        <f aca="false">IF(B135&gt;QUARTILE($B$2:$B$246,3),4,IF(B135&gt;QUARTILE($B$2:$B$246,2),3,IF(B135&gt;QUARTILE($B$2:$B$246,1),2,1)))</f>
        <v>4</v>
      </c>
      <c r="I135" s="48" t="n">
        <f aca="false">IF(C135&gt;QUARTILE($C$2:$C$246,3),4,IF(C135&gt;QUARTILE($C$2:$C$246,2),3,IF(C135&gt;QUARTILE($C$2:$C$246,1),2,1)))</f>
        <v>4</v>
      </c>
      <c r="J135" s="48" t="n">
        <f aca="false">G135+H135+I135</f>
        <v>10</v>
      </c>
      <c r="K135" s="44" t="str">
        <f aca="false">IF(J135&gt;=rfv_campeoes,"Campeões",IF(J135&gt;=rfv_leais,"Leais",IF(J135&gt;=rfv_atencao,"Atenção","Em risco")))</f>
        <v>Campeões</v>
      </c>
    </row>
    <row r="136" customFormat="false" ht="15" hidden="false" customHeight="false" outlineLevel="0" collapsed="false">
      <c r="A136" s="44" t="s">
        <v>350</v>
      </c>
      <c r="B136" s="48" t="n">
        <f aca="false">COUNTIFS(v_cliente,A136)</f>
        <v>5</v>
      </c>
      <c r="C136" s="46" t="n">
        <f aca="false">SUMIFS(v_valor,v_cliente,A136)</f>
        <v>585</v>
      </c>
      <c r="D136" s="45" t="n">
        <f aca="false">_xlfn.MAXIFS(v_data,v_cliente,A136)</f>
        <v>45623</v>
      </c>
      <c r="E136" s="48" t="n">
        <f aca="false">rfv_ref-D136</f>
        <v>35</v>
      </c>
      <c r="F136" s="49" t="n">
        <f aca="false">C136+ROW()/10000000</f>
        <v>585.0000136</v>
      </c>
      <c r="G136" s="48" t="n">
        <f aca="false">IF(E136&lt;=QUARTILE($E$2:$E$246,1),4,IF(E136&lt;=QUARTILE($E$2:$E$246,2),3,IF(E136&lt;=QUARTILE($E$2:$E$246,3),2,1)))</f>
        <v>3</v>
      </c>
      <c r="H136" s="48" t="n">
        <f aca="false">IF(B136&gt;QUARTILE($B$2:$B$246,3),4,IF(B136&gt;QUARTILE($B$2:$B$246,2),3,IF(B136&gt;QUARTILE($B$2:$B$246,1),2,1)))</f>
        <v>3</v>
      </c>
      <c r="I136" s="48" t="n">
        <f aca="false">IF(C136&gt;QUARTILE($C$2:$C$246,3),4,IF(C136&gt;QUARTILE($C$2:$C$246,2),3,IF(C136&gt;QUARTILE($C$2:$C$246,1),2,1)))</f>
        <v>3</v>
      </c>
      <c r="J136" s="48" t="n">
        <f aca="false">G136+H136+I136</f>
        <v>9</v>
      </c>
      <c r="K136" s="44" t="str">
        <f aca="false">IF(J136&gt;=rfv_campeoes,"Campeões",IF(J136&gt;=rfv_leais,"Leais",IF(J136&gt;=rfv_atencao,"Atenção","Em risco")))</f>
        <v>Leais</v>
      </c>
    </row>
    <row r="137" customFormat="false" ht="15" hidden="false" customHeight="false" outlineLevel="0" collapsed="false">
      <c r="A137" s="44" t="s">
        <v>367</v>
      </c>
      <c r="B137" s="48" t="n">
        <f aca="false">COUNTIFS(v_cliente,A137)</f>
        <v>4</v>
      </c>
      <c r="C137" s="46" t="n">
        <f aca="false">SUMIFS(v_valor,v_cliente,A137)</f>
        <v>417.25</v>
      </c>
      <c r="D137" s="45" t="n">
        <f aca="false">_xlfn.MAXIFS(v_data,v_cliente,A137)</f>
        <v>45649</v>
      </c>
      <c r="E137" s="48" t="n">
        <f aca="false">rfv_ref-D137</f>
        <v>9</v>
      </c>
      <c r="F137" s="49" t="n">
        <f aca="false">C137+ROW()/10000000</f>
        <v>417.2500137</v>
      </c>
      <c r="G137" s="48" t="n">
        <f aca="false">IF(E137&lt;=QUARTILE($E$2:$E$246,1),4,IF(E137&lt;=QUARTILE($E$2:$E$246,2),3,IF(E137&lt;=QUARTILE($E$2:$E$246,3),2,1)))</f>
        <v>4</v>
      </c>
      <c r="H137" s="48" t="n">
        <f aca="false">IF(B137&gt;QUARTILE($B$2:$B$246,3),4,IF(B137&gt;QUARTILE($B$2:$B$246,2),3,IF(B137&gt;QUARTILE($B$2:$B$246,1),2,1)))</f>
        <v>2</v>
      </c>
      <c r="I137" s="48" t="n">
        <f aca="false">IF(C137&gt;QUARTILE($C$2:$C$246,3),4,IF(C137&gt;QUARTILE($C$2:$C$246,2),3,IF(C137&gt;QUARTILE($C$2:$C$246,1),2,1)))</f>
        <v>3</v>
      </c>
      <c r="J137" s="48" t="n">
        <f aca="false">G137+H137+I137</f>
        <v>9</v>
      </c>
      <c r="K137" s="44" t="str">
        <f aca="false">IF(J137&gt;=rfv_campeoes,"Campeões",IF(J137&gt;=rfv_leais,"Leais",IF(J137&gt;=rfv_atencao,"Atenção","Em risco")))</f>
        <v>Leais</v>
      </c>
    </row>
    <row r="138" customFormat="false" ht="15" hidden="false" customHeight="false" outlineLevel="0" collapsed="false">
      <c r="A138" s="44" t="s">
        <v>316</v>
      </c>
      <c r="B138" s="48" t="n">
        <f aca="false">COUNTIFS(v_cliente,A138)</f>
        <v>3</v>
      </c>
      <c r="C138" s="46" t="n">
        <f aca="false">SUMIFS(v_valor,v_cliente,A138)</f>
        <v>289.38</v>
      </c>
      <c r="D138" s="45" t="n">
        <f aca="false">_xlfn.MAXIFS(v_data,v_cliente,A138)</f>
        <v>45504</v>
      </c>
      <c r="E138" s="48" t="n">
        <f aca="false">rfv_ref-D138</f>
        <v>154</v>
      </c>
      <c r="F138" s="49" t="n">
        <f aca="false">C138+ROW()/10000000</f>
        <v>289.3800138</v>
      </c>
      <c r="G138" s="48" t="n">
        <f aca="false">IF(E138&lt;=QUARTILE($E$2:$E$246,1),4,IF(E138&lt;=QUARTILE($E$2:$E$246,2),3,IF(E138&lt;=QUARTILE($E$2:$E$246,3),2,1)))</f>
        <v>1</v>
      </c>
      <c r="H138" s="48" t="n">
        <f aca="false">IF(B138&gt;QUARTILE($B$2:$B$246,3),4,IF(B138&gt;QUARTILE($B$2:$B$246,2),3,IF(B138&gt;QUARTILE($B$2:$B$246,1),2,1)))</f>
        <v>1</v>
      </c>
      <c r="I138" s="48" t="n">
        <f aca="false">IF(C138&gt;QUARTILE($C$2:$C$246,3),4,IF(C138&gt;QUARTILE($C$2:$C$246,2),3,IF(C138&gt;QUARTILE($C$2:$C$246,1),2,1)))</f>
        <v>2</v>
      </c>
      <c r="J138" s="48" t="n">
        <f aca="false">G138+H138+I138</f>
        <v>4</v>
      </c>
      <c r="K138" s="44" t="str">
        <f aca="false">IF(J138&gt;=rfv_campeoes,"Campeões",IF(J138&gt;=rfv_leais,"Leais",IF(J138&gt;=rfv_atencao,"Atenção","Em risco")))</f>
        <v>Em risco</v>
      </c>
    </row>
    <row r="139" customFormat="false" ht="15" hidden="false" customHeight="false" outlineLevel="0" collapsed="false">
      <c r="A139" s="44" t="s">
        <v>334</v>
      </c>
      <c r="B139" s="48" t="n">
        <f aca="false">COUNTIFS(v_cliente,A139)</f>
        <v>9</v>
      </c>
      <c r="C139" s="46" t="n">
        <f aca="false">SUMIFS(v_valor,v_cliente,A139)</f>
        <v>736.11</v>
      </c>
      <c r="D139" s="45" t="n">
        <f aca="false">_xlfn.MAXIFS(v_data,v_cliente,A139)</f>
        <v>45617</v>
      </c>
      <c r="E139" s="48" t="n">
        <f aca="false">rfv_ref-D139</f>
        <v>41</v>
      </c>
      <c r="F139" s="49" t="n">
        <f aca="false">C139+ROW()/10000000</f>
        <v>736.1100139</v>
      </c>
      <c r="G139" s="48" t="n">
        <f aca="false">IF(E139&lt;=QUARTILE($E$2:$E$246,1),4,IF(E139&lt;=QUARTILE($E$2:$E$246,2),3,IF(E139&lt;=QUARTILE($E$2:$E$246,3),2,1)))</f>
        <v>3</v>
      </c>
      <c r="H139" s="48" t="n">
        <f aca="false">IF(B139&gt;QUARTILE($B$2:$B$246,3),4,IF(B139&gt;QUARTILE($B$2:$B$246,2),3,IF(B139&gt;QUARTILE($B$2:$B$246,1),2,1)))</f>
        <v>4</v>
      </c>
      <c r="I139" s="48" t="n">
        <f aca="false">IF(C139&gt;QUARTILE($C$2:$C$246,3),4,IF(C139&gt;QUARTILE($C$2:$C$246,2),3,IF(C139&gt;QUARTILE($C$2:$C$246,1),2,1)))</f>
        <v>4</v>
      </c>
      <c r="J139" s="48" t="n">
        <f aca="false">G139+H139+I139</f>
        <v>11</v>
      </c>
      <c r="K139" s="44" t="str">
        <f aca="false">IF(J139&gt;=rfv_campeoes,"Campeões",IF(J139&gt;=rfv_leais,"Leais",IF(J139&gt;=rfv_atencao,"Atenção","Em risco")))</f>
        <v>Campeões</v>
      </c>
    </row>
    <row r="140" customFormat="false" ht="15" hidden="false" customHeight="false" outlineLevel="0" collapsed="false">
      <c r="A140" s="44" t="s">
        <v>541</v>
      </c>
      <c r="B140" s="48" t="n">
        <f aca="false">COUNTIFS(v_cliente,A140)</f>
        <v>4</v>
      </c>
      <c r="C140" s="46" t="n">
        <f aca="false">SUMIFS(v_valor,v_cliente,A140)</f>
        <v>621.54</v>
      </c>
      <c r="D140" s="45" t="n">
        <f aca="false">_xlfn.MAXIFS(v_data,v_cliente,A140)</f>
        <v>45623</v>
      </c>
      <c r="E140" s="48" t="n">
        <f aca="false">rfv_ref-D140</f>
        <v>35</v>
      </c>
      <c r="F140" s="49" t="n">
        <f aca="false">C140+ROW()/10000000</f>
        <v>621.540014</v>
      </c>
      <c r="G140" s="48" t="n">
        <f aca="false">IF(E140&lt;=QUARTILE($E$2:$E$246,1),4,IF(E140&lt;=QUARTILE($E$2:$E$246,2),3,IF(E140&lt;=QUARTILE($E$2:$E$246,3),2,1)))</f>
        <v>3</v>
      </c>
      <c r="H140" s="48" t="n">
        <f aca="false">IF(B140&gt;QUARTILE($B$2:$B$246,3),4,IF(B140&gt;QUARTILE($B$2:$B$246,2),3,IF(B140&gt;QUARTILE($B$2:$B$246,1),2,1)))</f>
        <v>2</v>
      </c>
      <c r="I140" s="48" t="n">
        <f aca="false">IF(C140&gt;QUARTILE($C$2:$C$246,3),4,IF(C140&gt;QUARTILE($C$2:$C$246,2),3,IF(C140&gt;QUARTILE($C$2:$C$246,1),2,1)))</f>
        <v>3</v>
      </c>
      <c r="J140" s="48" t="n">
        <f aca="false">G140+H140+I140</f>
        <v>8</v>
      </c>
      <c r="K140" s="44" t="str">
        <f aca="false">IF(J140&gt;=rfv_campeoes,"Campeões",IF(J140&gt;=rfv_leais,"Leais",IF(J140&gt;=rfv_atencao,"Atenção","Em risco")))</f>
        <v>Leais</v>
      </c>
    </row>
    <row r="141" customFormat="false" ht="15" hidden="false" customHeight="false" outlineLevel="0" collapsed="false">
      <c r="A141" s="44" t="s">
        <v>345</v>
      </c>
      <c r="B141" s="48" t="n">
        <f aca="false">COUNTIFS(v_cliente,A141)</f>
        <v>4</v>
      </c>
      <c r="C141" s="46" t="n">
        <f aca="false">SUMIFS(v_valor,v_cliente,A141)</f>
        <v>295.8</v>
      </c>
      <c r="D141" s="45" t="n">
        <f aca="false">_xlfn.MAXIFS(v_data,v_cliente,A141)</f>
        <v>45479</v>
      </c>
      <c r="E141" s="48" t="n">
        <f aca="false">rfv_ref-D141</f>
        <v>179</v>
      </c>
      <c r="F141" s="49" t="n">
        <f aca="false">C141+ROW()/10000000</f>
        <v>295.8000141</v>
      </c>
      <c r="G141" s="48" t="n">
        <f aca="false">IF(E141&lt;=QUARTILE($E$2:$E$246,1),4,IF(E141&lt;=QUARTILE($E$2:$E$246,2),3,IF(E141&lt;=QUARTILE($E$2:$E$246,3),2,1)))</f>
        <v>1</v>
      </c>
      <c r="H141" s="48" t="n">
        <f aca="false">IF(B141&gt;QUARTILE($B$2:$B$246,3),4,IF(B141&gt;QUARTILE($B$2:$B$246,2),3,IF(B141&gt;QUARTILE($B$2:$B$246,1),2,1)))</f>
        <v>2</v>
      </c>
      <c r="I141" s="48" t="n">
        <f aca="false">IF(C141&gt;QUARTILE($C$2:$C$246,3),4,IF(C141&gt;QUARTILE($C$2:$C$246,2),3,IF(C141&gt;QUARTILE($C$2:$C$246,1),2,1)))</f>
        <v>2</v>
      </c>
      <c r="J141" s="48" t="n">
        <f aca="false">G141+H141+I141</f>
        <v>5</v>
      </c>
      <c r="K141" s="44" t="str">
        <f aca="false">IF(J141&gt;=rfv_campeoes,"Campeões",IF(J141&gt;=rfv_leais,"Leais",IF(J141&gt;=rfv_atencao,"Atenção","Em risco")))</f>
        <v>Atenção</v>
      </c>
    </row>
    <row r="142" customFormat="false" ht="15" hidden="false" customHeight="false" outlineLevel="0" collapsed="false">
      <c r="A142" s="44" t="s">
        <v>516</v>
      </c>
      <c r="B142" s="48" t="n">
        <f aca="false">COUNTIFS(v_cliente,A142)</f>
        <v>2</v>
      </c>
      <c r="C142" s="46" t="n">
        <f aca="false">SUMIFS(v_valor,v_cliente,A142)</f>
        <v>287.73</v>
      </c>
      <c r="D142" s="45" t="n">
        <f aca="false">_xlfn.MAXIFS(v_data,v_cliente,A142)</f>
        <v>45657</v>
      </c>
      <c r="E142" s="48" t="n">
        <f aca="false">rfv_ref-D142</f>
        <v>1</v>
      </c>
      <c r="F142" s="49" t="n">
        <f aca="false">C142+ROW()/10000000</f>
        <v>287.7300142</v>
      </c>
      <c r="G142" s="48" t="n">
        <f aca="false">IF(E142&lt;=QUARTILE($E$2:$E$246,1),4,IF(E142&lt;=QUARTILE($E$2:$E$246,2),3,IF(E142&lt;=QUARTILE($E$2:$E$246,3),2,1)))</f>
        <v>4</v>
      </c>
      <c r="H142" s="48" t="n">
        <f aca="false">IF(B142&gt;QUARTILE($B$2:$B$246,3),4,IF(B142&gt;QUARTILE($B$2:$B$246,2),3,IF(B142&gt;QUARTILE($B$2:$B$246,1),2,1)))</f>
        <v>1</v>
      </c>
      <c r="I142" s="48" t="n">
        <f aca="false">IF(C142&gt;QUARTILE($C$2:$C$246,3),4,IF(C142&gt;QUARTILE($C$2:$C$246,2),3,IF(C142&gt;QUARTILE($C$2:$C$246,1),2,1)))</f>
        <v>2</v>
      </c>
      <c r="J142" s="48" t="n">
        <f aca="false">G142+H142+I142</f>
        <v>7</v>
      </c>
      <c r="K142" s="44" t="str">
        <f aca="false">IF(J142&gt;=rfv_campeoes,"Campeões",IF(J142&gt;=rfv_leais,"Leais",IF(J142&gt;=rfv_atencao,"Atenção","Em risco")))</f>
        <v>Leais</v>
      </c>
    </row>
    <row r="143" customFormat="false" ht="15" hidden="false" customHeight="false" outlineLevel="0" collapsed="false">
      <c r="A143" s="44" t="s">
        <v>468</v>
      </c>
      <c r="B143" s="48" t="n">
        <f aca="false">COUNTIFS(v_cliente,A143)</f>
        <v>3</v>
      </c>
      <c r="C143" s="46" t="n">
        <f aca="false">SUMIFS(v_valor,v_cliente,A143)</f>
        <v>173.29</v>
      </c>
      <c r="D143" s="45" t="n">
        <f aca="false">_xlfn.MAXIFS(v_data,v_cliente,A143)</f>
        <v>45655</v>
      </c>
      <c r="E143" s="48" t="n">
        <f aca="false">rfv_ref-D143</f>
        <v>3</v>
      </c>
      <c r="F143" s="49" t="n">
        <f aca="false">C143+ROW()/10000000</f>
        <v>173.2900143</v>
      </c>
      <c r="G143" s="48" t="n">
        <f aca="false">IF(E143&lt;=QUARTILE($E$2:$E$246,1),4,IF(E143&lt;=QUARTILE($E$2:$E$246,2),3,IF(E143&lt;=QUARTILE($E$2:$E$246,3),2,1)))</f>
        <v>4</v>
      </c>
      <c r="H143" s="48" t="n">
        <f aca="false">IF(B143&gt;QUARTILE($B$2:$B$246,3),4,IF(B143&gt;QUARTILE($B$2:$B$246,2),3,IF(B143&gt;QUARTILE($B$2:$B$246,1),2,1)))</f>
        <v>1</v>
      </c>
      <c r="I143" s="48" t="n">
        <f aca="false">IF(C143&gt;QUARTILE($C$2:$C$246,3),4,IF(C143&gt;QUARTILE($C$2:$C$246,2),3,IF(C143&gt;QUARTILE($C$2:$C$246,1),2,1)))</f>
        <v>2</v>
      </c>
      <c r="J143" s="48" t="n">
        <f aca="false">G143+H143+I143</f>
        <v>7</v>
      </c>
      <c r="K143" s="44" t="str">
        <f aca="false">IF(J143&gt;=rfv_campeoes,"Campeões",IF(J143&gt;=rfv_leais,"Leais",IF(J143&gt;=rfv_atencao,"Atenção","Em risco")))</f>
        <v>Leais</v>
      </c>
    </row>
    <row r="144" customFormat="false" ht="15" hidden="false" customHeight="false" outlineLevel="0" collapsed="false">
      <c r="A144" s="44" t="s">
        <v>387</v>
      </c>
      <c r="B144" s="48" t="n">
        <f aca="false">COUNTIFS(v_cliente,A144)</f>
        <v>5</v>
      </c>
      <c r="C144" s="46" t="n">
        <f aca="false">SUMIFS(v_valor,v_cliente,A144)</f>
        <v>190.79</v>
      </c>
      <c r="D144" s="45" t="n">
        <f aca="false">_xlfn.MAXIFS(v_data,v_cliente,A144)</f>
        <v>45637</v>
      </c>
      <c r="E144" s="48" t="n">
        <f aca="false">rfv_ref-D144</f>
        <v>21</v>
      </c>
      <c r="F144" s="49" t="n">
        <f aca="false">C144+ROW()/10000000</f>
        <v>190.7900144</v>
      </c>
      <c r="G144" s="48" t="n">
        <f aca="false">IF(E144&lt;=QUARTILE($E$2:$E$246,1),4,IF(E144&lt;=QUARTILE($E$2:$E$246,2),3,IF(E144&lt;=QUARTILE($E$2:$E$246,3),2,1)))</f>
        <v>4</v>
      </c>
      <c r="H144" s="48" t="n">
        <f aca="false">IF(B144&gt;QUARTILE($B$2:$B$246,3),4,IF(B144&gt;QUARTILE($B$2:$B$246,2),3,IF(B144&gt;QUARTILE($B$2:$B$246,1),2,1)))</f>
        <v>3</v>
      </c>
      <c r="I144" s="48" t="n">
        <f aca="false">IF(C144&gt;QUARTILE($C$2:$C$246,3),4,IF(C144&gt;QUARTILE($C$2:$C$246,2),3,IF(C144&gt;QUARTILE($C$2:$C$246,1),2,1)))</f>
        <v>2</v>
      </c>
      <c r="J144" s="48" t="n">
        <f aca="false">G144+H144+I144</f>
        <v>9</v>
      </c>
      <c r="K144" s="44" t="str">
        <f aca="false">IF(J144&gt;=rfv_campeoes,"Campeões",IF(J144&gt;=rfv_leais,"Leais",IF(J144&gt;=rfv_atencao,"Atenção","Em risco")))</f>
        <v>Leais</v>
      </c>
    </row>
    <row r="145" customFormat="false" ht="15" hidden="false" customHeight="false" outlineLevel="0" collapsed="false">
      <c r="A145" s="44" t="s">
        <v>494</v>
      </c>
      <c r="B145" s="48" t="n">
        <f aca="false">COUNTIFS(v_cliente,A145)</f>
        <v>3</v>
      </c>
      <c r="C145" s="46" t="n">
        <f aca="false">SUMIFS(v_valor,v_cliente,A145)</f>
        <v>459.78</v>
      </c>
      <c r="D145" s="45" t="n">
        <f aca="false">_xlfn.MAXIFS(v_data,v_cliente,A145)</f>
        <v>45389</v>
      </c>
      <c r="E145" s="48" t="n">
        <f aca="false">rfv_ref-D145</f>
        <v>269</v>
      </c>
      <c r="F145" s="49" t="n">
        <f aca="false">C145+ROW()/10000000</f>
        <v>459.7800145</v>
      </c>
      <c r="G145" s="48" t="n">
        <f aca="false">IF(E145&lt;=QUARTILE($E$2:$E$246,1),4,IF(E145&lt;=QUARTILE($E$2:$E$246,2),3,IF(E145&lt;=QUARTILE($E$2:$E$246,3),2,1)))</f>
        <v>1</v>
      </c>
      <c r="H145" s="48" t="n">
        <f aca="false">IF(B145&gt;QUARTILE($B$2:$B$246,3),4,IF(B145&gt;QUARTILE($B$2:$B$246,2),3,IF(B145&gt;QUARTILE($B$2:$B$246,1),2,1)))</f>
        <v>1</v>
      </c>
      <c r="I145" s="48" t="n">
        <f aca="false">IF(C145&gt;QUARTILE($C$2:$C$246,3),4,IF(C145&gt;QUARTILE($C$2:$C$246,2),3,IF(C145&gt;QUARTILE($C$2:$C$246,1),2,1)))</f>
        <v>3</v>
      </c>
      <c r="J145" s="48" t="n">
        <f aca="false">G145+H145+I145</f>
        <v>5</v>
      </c>
      <c r="K145" s="44" t="str">
        <f aca="false">IF(J145&gt;=rfv_campeoes,"Campeões",IF(J145&gt;=rfv_leais,"Leais",IF(J145&gt;=rfv_atencao,"Atenção","Em risco")))</f>
        <v>Atenção</v>
      </c>
    </row>
    <row r="146" customFormat="false" ht="15" hidden="false" customHeight="false" outlineLevel="0" collapsed="false">
      <c r="A146" s="44" t="s">
        <v>383</v>
      </c>
      <c r="B146" s="48" t="n">
        <f aca="false">COUNTIFS(v_cliente,A146)</f>
        <v>3</v>
      </c>
      <c r="C146" s="46" t="n">
        <f aca="false">SUMIFS(v_valor,v_cliente,A146)</f>
        <v>249.57</v>
      </c>
      <c r="D146" s="45" t="n">
        <f aca="false">_xlfn.MAXIFS(v_data,v_cliente,A146)</f>
        <v>45654</v>
      </c>
      <c r="E146" s="48" t="n">
        <f aca="false">rfv_ref-D146</f>
        <v>4</v>
      </c>
      <c r="F146" s="49" t="n">
        <f aca="false">C146+ROW()/10000000</f>
        <v>249.5700146</v>
      </c>
      <c r="G146" s="48" t="n">
        <f aca="false">IF(E146&lt;=QUARTILE($E$2:$E$246,1),4,IF(E146&lt;=QUARTILE($E$2:$E$246,2),3,IF(E146&lt;=QUARTILE($E$2:$E$246,3),2,1)))</f>
        <v>4</v>
      </c>
      <c r="H146" s="48" t="n">
        <f aca="false">IF(B146&gt;QUARTILE($B$2:$B$246,3),4,IF(B146&gt;QUARTILE($B$2:$B$246,2),3,IF(B146&gt;QUARTILE($B$2:$B$246,1),2,1)))</f>
        <v>1</v>
      </c>
      <c r="I146" s="48" t="n">
        <f aca="false">IF(C146&gt;QUARTILE($C$2:$C$246,3),4,IF(C146&gt;QUARTILE($C$2:$C$246,2),3,IF(C146&gt;QUARTILE($C$2:$C$246,1),2,1)))</f>
        <v>2</v>
      </c>
      <c r="J146" s="48" t="n">
        <f aca="false">G146+H146+I146</f>
        <v>7</v>
      </c>
      <c r="K146" s="44" t="str">
        <f aca="false">IF(J146&gt;=rfv_campeoes,"Campeões",IF(J146&gt;=rfv_leais,"Leais",IF(J146&gt;=rfv_atencao,"Atenção","Em risco")))</f>
        <v>Leais</v>
      </c>
    </row>
    <row r="147" customFormat="false" ht="15" hidden="false" customHeight="false" outlineLevel="0" collapsed="false">
      <c r="A147" s="44" t="s">
        <v>313</v>
      </c>
      <c r="B147" s="48" t="n">
        <f aca="false">COUNTIFS(v_cliente,A147)</f>
        <v>7</v>
      </c>
      <c r="C147" s="46" t="n">
        <f aca="false">SUMIFS(v_valor,v_cliente,A147)</f>
        <v>1770.31</v>
      </c>
      <c r="D147" s="45" t="n">
        <f aca="false">_xlfn.MAXIFS(v_data,v_cliente,A147)</f>
        <v>45614</v>
      </c>
      <c r="E147" s="48" t="n">
        <f aca="false">rfv_ref-D147</f>
        <v>44</v>
      </c>
      <c r="F147" s="49" t="n">
        <f aca="false">C147+ROW()/10000000</f>
        <v>1770.3100147</v>
      </c>
      <c r="G147" s="48" t="n">
        <f aca="false">IF(E147&lt;=QUARTILE($E$2:$E$246,1),4,IF(E147&lt;=QUARTILE($E$2:$E$246,2),3,IF(E147&lt;=QUARTILE($E$2:$E$246,3),2,1)))</f>
        <v>3</v>
      </c>
      <c r="H147" s="48" t="n">
        <f aca="false">IF(B147&gt;QUARTILE($B$2:$B$246,3),4,IF(B147&gt;QUARTILE($B$2:$B$246,2),3,IF(B147&gt;QUARTILE($B$2:$B$246,1),2,1)))</f>
        <v>4</v>
      </c>
      <c r="I147" s="48" t="n">
        <f aca="false">IF(C147&gt;QUARTILE($C$2:$C$246,3),4,IF(C147&gt;QUARTILE($C$2:$C$246,2),3,IF(C147&gt;QUARTILE($C$2:$C$246,1),2,1)))</f>
        <v>4</v>
      </c>
      <c r="J147" s="48" t="n">
        <f aca="false">G147+H147+I147</f>
        <v>11</v>
      </c>
      <c r="K147" s="44" t="str">
        <f aca="false">IF(J147&gt;=rfv_campeoes,"Campeões",IF(J147&gt;=rfv_leais,"Leais",IF(J147&gt;=rfv_atencao,"Atenção","Em risco")))</f>
        <v>Campeões</v>
      </c>
    </row>
    <row r="148" customFormat="false" ht="15" hidden="false" customHeight="false" outlineLevel="0" collapsed="false">
      <c r="A148" s="44" t="s">
        <v>496</v>
      </c>
      <c r="B148" s="48" t="n">
        <f aca="false">COUNTIFS(v_cliente,A148)</f>
        <v>5</v>
      </c>
      <c r="C148" s="46" t="n">
        <f aca="false">SUMIFS(v_valor,v_cliente,A148)</f>
        <v>723.85</v>
      </c>
      <c r="D148" s="45" t="n">
        <f aca="false">_xlfn.MAXIFS(v_data,v_cliente,A148)</f>
        <v>45584</v>
      </c>
      <c r="E148" s="48" t="n">
        <f aca="false">rfv_ref-D148</f>
        <v>74</v>
      </c>
      <c r="F148" s="49" t="n">
        <f aca="false">C148+ROW()/10000000</f>
        <v>723.8500148</v>
      </c>
      <c r="G148" s="48" t="n">
        <f aca="false">IF(E148&lt;=QUARTILE($E$2:$E$246,1),4,IF(E148&lt;=QUARTILE($E$2:$E$246,2),3,IF(E148&lt;=QUARTILE($E$2:$E$246,3),2,1)))</f>
        <v>2</v>
      </c>
      <c r="H148" s="48" t="n">
        <f aca="false">IF(B148&gt;QUARTILE($B$2:$B$246,3),4,IF(B148&gt;QUARTILE($B$2:$B$246,2),3,IF(B148&gt;QUARTILE($B$2:$B$246,1),2,1)))</f>
        <v>3</v>
      </c>
      <c r="I148" s="48" t="n">
        <f aca="false">IF(C148&gt;QUARTILE($C$2:$C$246,3),4,IF(C148&gt;QUARTILE($C$2:$C$246,2),3,IF(C148&gt;QUARTILE($C$2:$C$246,1),2,1)))</f>
        <v>4</v>
      </c>
      <c r="J148" s="48" t="n">
        <f aca="false">G148+H148+I148</f>
        <v>9</v>
      </c>
      <c r="K148" s="44" t="str">
        <f aca="false">IF(J148&gt;=rfv_campeoes,"Campeões",IF(J148&gt;=rfv_leais,"Leais",IF(J148&gt;=rfv_atencao,"Atenção","Em risco")))</f>
        <v>Leais</v>
      </c>
    </row>
    <row r="149" customFormat="false" ht="15" hidden="false" customHeight="false" outlineLevel="0" collapsed="false">
      <c r="A149" s="44" t="s">
        <v>332</v>
      </c>
      <c r="B149" s="48" t="n">
        <f aca="false">COUNTIFS(v_cliente,A149)</f>
        <v>5</v>
      </c>
      <c r="C149" s="46" t="n">
        <f aca="false">SUMIFS(v_valor,v_cliente,A149)</f>
        <v>1357.39</v>
      </c>
      <c r="D149" s="45" t="n">
        <f aca="false">_xlfn.MAXIFS(v_data,v_cliente,A149)</f>
        <v>45570</v>
      </c>
      <c r="E149" s="48" t="n">
        <f aca="false">rfv_ref-D149</f>
        <v>88</v>
      </c>
      <c r="F149" s="49" t="n">
        <f aca="false">C149+ROW()/10000000</f>
        <v>1357.3900149</v>
      </c>
      <c r="G149" s="48" t="n">
        <f aca="false">IF(E149&lt;=QUARTILE($E$2:$E$246,1),4,IF(E149&lt;=QUARTILE($E$2:$E$246,2),3,IF(E149&lt;=QUARTILE($E$2:$E$246,3),2,1)))</f>
        <v>2</v>
      </c>
      <c r="H149" s="48" t="n">
        <f aca="false">IF(B149&gt;QUARTILE($B$2:$B$246,3),4,IF(B149&gt;QUARTILE($B$2:$B$246,2),3,IF(B149&gt;QUARTILE($B$2:$B$246,1),2,1)))</f>
        <v>3</v>
      </c>
      <c r="I149" s="48" t="n">
        <f aca="false">IF(C149&gt;QUARTILE($C$2:$C$246,3),4,IF(C149&gt;QUARTILE($C$2:$C$246,2),3,IF(C149&gt;QUARTILE($C$2:$C$246,1),2,1)))</f>
        <v>4</v>
      </c>
      <c r="J149" s="48" t="n">
        <f aca="false">G149+H149+I149</f>
        <v>9</v>
      </c>
      <c r="K149" s="44" t="str">
        <f aca="false">IF(J149&gt;=rfv_campeoes,"Campeões",IF(J149&gt;=rfv_leais,"Leais",IF(J149&gt;=rfv_atencao,"Atenção","Em risco")))</f>
        <v>Leais</v>
      </c>
    </row>
    <row r="150" customFormat="false" ht="15" hidden="false" customHeight="false" outlineLevel="0" collapsed="false">
      <c r="A150" s="44" t="s">
        <v>409</v>
      </c>
      <c r="B150" s="48" t="n">
        <f aca="false">COUNTIFS(v_cliente,A150)</f>
        <v>4</v>
      </c>
      <c r="C150" s="46" t="n">
        <f aca="false">SUMIFS(v_valor,v_cliente,A150)</f>
        <v>636.61</v>
      </c>
      <c r="D150" s="45" t="n">
        <f aca="false">_xlfn.MAXIFS(v_data,v_cliente,A150)</f>
        <v>45620</v>
      </c>
      <c r="E150" s="48" t="n">
        <f aca="false">rfv_ref-D150</f>
        <v>38</v>
      </c>
      <c r="F150" s="49" t="n">
        <f aca="false">C150+ROW()/10000000</f>
        <v>636.610015</v>
      </c>
      <c r="G150" s="48" t="n">
        <f aca="false">IF(E150&lt;=QUARTILE($E$2:$E$246,1),4,IF(E150&lt;=QUARTILE($E$2:$E$246,2),3,IF(E150&lt;=QUARTILE($E$2:$E$246,3),2,1)))</f>
        <v>3</v>
      </c>
      <c r="H150" s="48" t="n">
        <f aca="false">IF(B150&gt;QUARTILE($B$2:$B$246,3),4,IF(B150&gt;QUARTILE($B$2:$B$246,2),3,IF(B150&gt;QUARTILE($B$2:$B$246,1),2,1)))</f>
        <v>2</v>
      </c>
      <c r="I150" s="48" t="n">
        <f aca="false">IF(C150&gt;QUARTILE($C$2:$C$246,3),4,IF(C150&gt;QUARTILE($C$2:$C$246,2),3,IF(C150&gt;QUARTILE($C$2:$C$246,1),2,1)))</f>
        <v>4</v>
      </c>
      <c r="J150" s="48" t="n">
        <f aca="false">G150+H150+I150</f>
        <v>9</v>
      </c>
      <c r="K150" s="44" t="str">
        <f aca="false">IF(J150&gt;=rfv_campeoes,"Campeões",IF(J150&gt;=rfv_leais,"Leais",IF(J150&gt;=rfv_atencao,"Atenção","Em risco")))</f>
        <v>Leais</v>
      </c>
    </row>
    <row r="151" customFormat="false" ht="15" hidden="false" customHeight="false" outlineLevel="0" collapsed="false">
      <c r="A151" s="44" t="s">
        <v>482</v>
      </c>
      <c r="B151" s="48" t="n">
        <f aca="false">COUNTIFS(v_cliente,A151)</f>
        <v>3</v>
      </c>
      <c r="C151" s="46" t="n">
        <f aca="false">SUMIFS(v_valor,v_cliente,A151)</f>
        <v>30.4</v>
      </c>
      <c r="D151" s="45" t="n">
        <f aca="false">_xlfn.MAXIFS(v_data,v_cliente,A151)</f>
        <v>45441</v>
      </c>
      <c r="E151" s="48" t="n">
        <f aca="false">rfv_ref-D151</f>
        <v>217</v>
      </c>
      <c r="F151" s="49" t="n">
        <f aca="false">C151+ROW()/10000000</f>
        <v>30.4000151</v>
      </c>
      <c r="G151" s="48" t="n">
        <f aca="false">IF(E151&lt;=QUARTILE($E$2:$E$246,1),4,IF(E151&lt;=QUARTILE($E$2:$E$246,2),3,IF(E151&lt;=QUARTILE($E$2:$E$246,3),2,1)))</f>
        <v>1</v>
      </c>
      <c r="H151" s="48" t="n">
        <f aca="false">IF(B151&gt;QUARTILE($B$2:$B$246,3),4,IF(B151&gt;QUARTILE($B$2:$B$246,2),3,IF(B151&gt;QUARTILE($B$2:$B$246,1),2,1)))</f>
        <v>1</v>
      </c>
      <c r="I151" s="48" t="n">
        <f aca="false">IF(C151&gt;QUARTILE($C$2:$C$246,3),4,IF(C151&gt;QUARTILE($C$2:$C$246,2),3,IF(C151&gt;QUARTILE($C$2:$C$246,1),2,1)))</f>
        <v>1</v>
      </c>
      <c r="J151" s="48" t="n">
        <f aca="false">G151+H151+I151</f>
        <v>3</v>
      </c>
      <c r="K151" s="44" t="str">
        <f aca="false">IF(J151&gt;=rfv_campeoes,"Campeões",IF(J151&gt;=rfv_leais,"Leais",IF(J151&gt;=rfv_atencao,"Atenção","Em risco")))</f>
        <v>Em risco</v>
      </c>
    </row>
    <row r="152" customFormat="false" ht="15" hidden="false" customHeight="false" outlineLevel="0" collapsed="false">
      <c r="A152" s="44" t="s">
        <v>518</v>
      </c>
      <c r="B152" s="48" t="n">
        <f aca="false">COUNTIFS(v_cliente,A152)</f>
        <v>5</v>
      </c>
      <c r="C152" s="46" t="n">
        <f aca="false">SUMIFS(v_valor,v_cliente,A152)</f>
        <v>170.32</v>
      </c>
      <c r="D152" s="45" t="n">
        <f aca="false">_xlfn.MAXIFS(v_data,v_cliente,A152)</f>
        <v>45646</v>
      </c>
      <c r="E152" s="48" t="n">
        <f aca="false">rfv_ref-D152</f>
        <v>12</v>
      </c>
      <c r="F152" s="49" t="n">
        <f aca="false">C152+ROW()/10000000</f>
        <v>170.3200152</v>
      </c>
      <c r="G152" s="48" t="n">
        <f aca="false">IF(E152&lt;=QUARTILE($E$2:$E$246,1),4,IF(E152&lt;=QUARTILE($E$2:$E$246,2),3,IF(E152&lt;=QUARTILE($E$2:$E$246,3),2,1)))</f>
        <v>4</v>
      </c>
      <c r="H152" s="48" t="n">
        <f aca="false">IF(B152&gt;QUARTILE($B$2:$B$246,3),4,IF(B152&gt;QUARTILE($B$2:$B$246,2),3,IF(B152&gt;QUARTILE($B$2:$B$246,1),2,1)))</f>
        <v>3</v>
      </c>
      <c r="I152" s="48" t="n">
        <f aca="false">IF(C152&gt;QUARTILE($C$2:$C$246,3),4,IF(C152&gt;QUARTILE($C$2:$C$246,2),3,IF(C152&gt;QUARTILE($C$2:$C$246,1),2,1)))</f>
        <v>2</v>
      </c>
      <c r="J152" s="48" t="n">
        <f aca="false">G152+H152+I152</f>
        <v>9</v>
      </c>
      <c r="K152" s="44" t="str">
        <f aca="false">IF(J152&gt;=rfv_campeoes,"Campeões",IF(J152&gt;=rfv_leais,"Leais",IF(J152&gt;=rfv_atencao,"Atenção","Em risco")))</f>
        <v>Leais</v>
      </c>
    </row>
    <row r="153" customFormat="false" ht="15" hidden="false" customHeight="false" outlineLevel="0" collapsed="false">
      <c r="A153" s="44" t="s">
        <v>423</v>
      </c>
      <c r="B153" s="48" t="n">
        <f aca="false">COUNTIFS(v_cliente,A153)</f>
        <v>6</v>
      </c>
      <c r="C153" s="46" t="n">
        <f aca="false">SUMIFS(v_valor,v_cliente,A153)</f>
        <v>358.02</v>
      </c>
      <c r="D153" s="45" t="n">
        <f aca="false">_xlfn.MAXIFS(v_data,v_cliente,A153)</f>
        <v>45554</v>
      </c>
      <c r="E153" s="48" t="n">
        <f aca="false">rfv_ref-D153</f>
        <v>104</v>
      </c>
      <c r="F153" s="49" t="n">
        <f aca="false">C153+ROW()/10000000</f>
        <v>358.0200153</v>
      </c>
      <c r="G153" s="48" t="n">
        <f aca="false">IF(E153&lt;=QUARTILE($E$2:$E$246,1),4,IF(E153&lt;=QUARTILE($E$2:$E$246,2),3,IF(E153&lt;=QUARTILE($E$2:$E$246,3),2,1)))</f>
        <v>2</v>
      </c>
      <c r="H153" s="48" t="n">
        <f aca="false">IF(B153&gt;QUARTILE($B$2:$B$246,3),4,IF(B153&gt;QUARTILE($B$2:$B$246,2),3,IF(B153&gt;QUARTILE($B$2:$B$246,1),2,1)))</f>
        <v>4</v>
      </c>
      <c r="I153" s="48" t="n">
        <f aca="false">IF(C153&gt;QUARTILE($C$2:$C$246,3),4,IF(C153&gt;QUARTILE($C$2:$C$246,2),3,IF(C153&gt;QUARTILE($C$2:$C$246,1),2,1)))</f>
        <v>3</v>
      </c>
      <c r="J153" s="48" t="n">
        <f aca="false">G153+H153+I153</f>
        <v>9</v>
      </c>
      <c r="K153" s="44" t="str">
        <f aca="false">IF(J153&gt;=rfv_campeoes,"Campeões",IF(J153&gt;=rfv_leais,"Leais",IF(J153&gt;=rfv_atencao,"Atenção","Em risco")))</f>
        <v>Leais</v>
      </c>
    </row>
    <row r="154" customFormat="false" ht="15" hidden="false" customHeight="false" outlineLevel="0" collapsed="false">
      <c r="A154" s="44" t="s">
        <v>426</v>
      </c>
      <c r="B154" s="48" t="n">
        <f aca="false">COUNTIFS(v_cliente,A154)</f>
        <v>5</v>
      </c>
      <c r="C154" s="46" t="n">
        <f aca="false">SUMIFS(v_valor,v_cliente,A154)</f>
        <v>992.61</v>
      </c>
      <c r="D154" s="45" t="n">
        <f aca="false">_xlfn.MAXIFS(v_data,v_cliente,A154)</f>
        <v>45645</v>
      </c>
      <c r="E154" s="48" t="n">
        <f aca="false">rfv_ref-D154</f>
        <v>13</v>
      </c>
      <c r="F154" s="49" t="n">
        <f aca="false">C154+ROW()/10000000</f>
        <v>992.6100154</v>
      </c>
      <c r="G154" s="48" t="n">
        <f aca="false">IF(E154&lt;=QUARTILE($E$2:$E$246,1),4,IF(E154&lt;=QUARTILE($E$2:$E$246,2),3,IF(E154&lt;=QUARTILE($E$2:$E$246,3),2,1)))</f>
        <v>4</v>
      </c>
      <c r="H154" s="48" t="n">
        <f aca="false">IF(B154&gt;QUARTILE($B$2:$B$246,3),4,IF(B154&gt;QUARTILE($B$2:$B$246,2),3,IF(B154&gt;QUARTILE($B$2:$B$246,1),2,1)))</f>
        <v>3</v>
      </c>
      <c r="I154" s="48" t="n">
        <f aca="false">IF(C154&gt;QUARTILE($C$2:$C$246,3),4,IF(C154&gt;QUARTILE($C$2:$C$246,2),3,IF(C154&gt;QUARTILE($C$2:$C$246,1),2,1)))</f>
        <v>4</v>
      </c>
      <c r="J154" s="48" t="n">
        <f aca="false">G154+H154+I154</f>
        <v>11</v>
      </c>
      <c r="K154" s="44" t="str">
        <f aca="false">IF(J154&gt;=rfv_campeoes,"Campeões",IF(J154&gt;=rfv_leais,"Leais",IF(J154&gt;=rfv_atencao,"Atenção","Em risco")))</f>
        <v>Campeões</v>
      </c>
    </row>
    <row r="155" customFormat="false" ht="15" hidden="false" customHeight="false" outlineLevel="0" collapsed="false">
      <c r="A155" s="44" t="s">
        <v>561</v>
      </c>
      <c r="B155" s="48" t="n">
        <f aca="false">COUNTIFS(v_cliente,A155)</f>
        <v>1</v>
      </c>
      <c r="C155" s="46" t="n">
        <f aca="false">SUMIFS(v_valor,v_cliente,A155)</f>
        <v>581.12</v>
      </c>
      <c r="D155" s="45" t="n">
        <f aca="false">_xlfn.MAXIFS(v_data,v_cliente,A155)</f>
        <v>45467</v>
      </c>
      <c r="E155" s="48" t="n">
        <f aca="false">rfv_ref-D155</f>
        <v>191</v>
      </c>
      <c r="F155" s="49" t="n">
        <f aca="false">C155+ROW()/10000000</f>
        <v>581.1200155</v>
      </c>
      <c r="G155" s="48" t="n">
        <f aca="false">IF(E155&lt;=QUARTILE($E$2:$E$246,1),4,IF(E155&lt;=QUARTILE($E$2:$E$246,2),3,IF(E155&lt;=QUARTILE($E$2:$E$246,3),2,1)))</f>
        <v>1</v>
      </c>
      <c r="H155" s="48" t="n">
        <f aca="false">IF(B155&gt;QUARTILE($B$2:$B$246,3),4,IF(B155&gt;QUARTILE($B$2:$B$246,2),3,IF(B155&gt;QUARTILE($B$2:$B$246,1),2,1)))</f>
        <v>1</v>
      </c>
      <c r="I155" s="48" t="n">
        <f aca="false">IF(C155&gt;QUARTILE($C$2:$C$246,3),4,IF(C155&gt;QUARTILE($C$2:$C$246,2),3,IF(C155&gt;QUARTILE($C$2:$C$246,1),2,1)))</f>
        <v>3</v>
      </c>
      <c r="J155" s="48" t="n">
        <f aca="false">G155+H155+I155</f>
        <v>5</v>
      </c>
      <c r="K155" s="44" t="str">
        <f aca="false">IF(J155&gt;=rfv_campeoes,"Campeões",IF(J155&gt;=rfv_leais,"Leais",IF(J155&gt;=rfv_atencao,"Atenção","Em risco")))</f>
        <v>Atenção</v>
      </c>
    </row>
    <row r="156" customFormat="false" ht="15" hidden="false" customHeight="false" outlineLevel="0" collapsed="false">
      <c r="A156" s="44" t="s">
        <v>384</v>
      </c>
      <c r="B156" s="48" t="n">
        <f aca="false">COUNTIFS(v_cliente,A156)</f>
        <v>4</v>
      </c>
      <c r="C156" s="46" t="n">
        <f aca="false">SUMIFS(v_valor,v_cliente,A156)</f>
        <v>892.18</v>
      </c>
      <c r="D156" s="45" t="n">
        <f aca="false">_xlfn.MAXIFS(v_data,v_cliente,A156)</f>
        <v>45649</v>
      </c>
      <c r="E156" s="48" t="n">
        <f aca="false">rfv_ref-D156</f>
        <v>9</v>
      </c>
      <c r="F156" s="49" t="n">
        <f aca="false">C156+ROW()/10000000</f>
        <v>892.1800156</v>
      </c>
      <c r="G156" s="48" t="n">
        <f aca="false">IF(E156&lt;=QUARTILE($E$2:$E$246,1),4,IF(E156&lt;=QUARTILE($E$2:$E$246,2),3,IF(E156&lt;=QUARTILE($E$2:$E$246,3),2,1)))</f>
        <v>4</v>
      </c>
      <c r="H156" s="48" t="n">
        <f aca="false">IF(B156&gt;QUARTILE($B$2:$B$246,3),4,IF(B156&gt;QUARTILE($B$2:$B$246,2),3,IF(B156&gt;QUARTILE($B$2:$B$246,1),2,1)))</f>
        <v>2</v>
      </c>
      <c r="I156" s="48" t="n">
        <f aca="false">IF(C156&gt;QUARTILE($C$2:$C$246,3),4,IF(C156&gt;QUARTILE($C$2:$C$246,2),3,IF(C156&gt;QUARTILE($C$2:$C$246,1),2,1)))</f>
        <v>4</v>
      </c>
      <c r="J156" s="48" t="n">
        <f aca="false">G156+H156+I156</f>
        <v>10</v>
      </c>
      <c r="K156" s="44" t="str">
        <f aca="false">IF(J156&gt;=rfv_campeoes,"Campeões",IF(J156&gt;=rfv_leais,"Leais",IF(J156&gt;=rfv_atencao,"Atenção","Em risco")))</f>
        <v>Campeões</v>
      </c>
    </row>
    <row r="157" customFormat="false" ht="15" hidden="false" customHeight="false" outlineLevel="0" collapsed="false">
      <c r="A157" s="44" t="s">
        <v>429</v>
      </c>
      <c r="B157" s="48" t="n">
        <f aca="false">COUNTIFS(v_cliente,A157)</f>
        <v>3</v>
      </c>
      <c r="C157" s="46" t="n">
        <f aca="false">SUMIFS(v_valor,v_cliente,A157)</f>
        <v>41.95</v>
      </c>
      <c r="D157" s="45" t="n">
        <f aca="false">_xlfn.MAXIFS(v_data,v_cliente,A157)</f>
        <v>45649</v>
      </c>
      <c r="E157" s="48" t="n">
        <f aca="false">rfv_ref-D157</f>
        <v>9</v>
      </c>
      <c r="F157" s="49" t="n">
        <f aca="false">C157+ROW()/10000000</f>
        <v>41.9500157</v>
      </c>
      <c r="G157" s="48" t="n">
        <f aca="false">IF(E157&lt;=QUARTILE($E$2:$E$246,1),4,IF(E157&lt;=QUARTILE($E$2:$E$246,2),3,IF(E157&lt;=QUARTILE($E$2:$E$246,3),2,1)))</f>
        <v>4</v>
      </c>
      <c r="H157" s="48" t="n">
        <f aca="false">IF(B157&gt;QUARTILE($B$2:$B$246,3),4,IF(B157&gt;QUARTILE($B$2:$B$246,2),3,IF(B157&gt;QUARTILE($B$2:$B$246,1),2,1)))</f>
        <v>1</v>
      </c>
      <c r="I157" s="48" t="n">
        <f aca="false">IF(C157&gt;QUARTILE($C$2:$C$246,3),4,IF(C157&gt;QUARTILE($C$2:$C$246,2),3,IF(C157&gt;QUARTILE($C$2:$C$246,1),2,1)))</f>
        <v>1</v>
      </c>
      <c r="J157" s="48" t="n">
        <f aca="false">G157+H157+I157</f>
        <v>6</v>
      </c>
      <c r="K157" s="44" t="str">
        <f aca="false">IF(J157&gt;=rfv_campeoes,"Campeões",IF(J157&gt;=rfv_leais,"Leais",IF(J157&gt;=rfv_atencao,"Atenção","Em risco")))</f>
        <v>Atenção</v>
      </c>
    </row>
    <row r="158" customFormat="false" ht="15" hidden="false" customHeight="false" outlineLevel="0" collapsed="false">
      <c r="A158" s="44" t="s">
        <v>508</v>
      </c>
      <c r="B158" s="48" t="n">
        <f aca="false">COUNTIFS(v_cliente,A158)</f>
        <v>2</v>
      </c>
      <c r="C158" s="46" t="n">
        <f aca="false">SUMIFS(v_valor,v_cliente,A158)</f>
        <v>391.76</v>
      </c>
      <c r="D158" s="45" t="n">
        <f aca="false">_xlfn.MAXIFS(v_data,v_cliente,A158)</f>
        <v>45649</v>
      </c>
      <c r="E158" s="48" t="n">
        <f aca="false">rfv_ref-D158</f>
        <v>9</v>
      </c>
      <c r="F158" s="49" t="n">
        <f aca="false">C158+ROW()/10000000</f>
        <v>391.7600158</v>
      </c>
      <c r="G158" s="48" t="n">
        <f aca="false">IF(E158&lt;=QUARTILE($E$2:$E$246,1),4,IF(E158&lt;=QUARTILE($E$2:$E$246,2),3,IF(E158&lt;=QUARTILE($E$2:$E$246,3),2,1)))</f>
        <v>4</v>
      </c>
      <c r="H158" s="48" t="n">
        <f aca="false">IF(B158&gt;QUARTILE($B$2:$B$246,3),4,IF(B158&gt;QUARTILE($B$2:$B$246,2),3,IF(B158&gt;QUARTILE($B$2:$B$246,1),2,1)))</f>
        <v>1</v>
      </c>
      <c r="I158" s="48" t="n">
        <f aca="false">IF(C158&gt;QUARTILE($C$2:$C$246,3),4,IF(C158&gt;QUARTILE($C$2:$C$246,2),3,IF(C158&gt;QUARTILE($C$2:$C$246,1),2,1)))</f>
        <v>3</v>
      </c>
      <c r="J158" s="48" t="n">
        <f aca="false">G158+H158+I158</f>
        <v>8</v>
      </c>
      <c r="K158" s="44" t="str">
        <f aca="false">IF(J158&gt;=rfv_campeoes,"Campeões",IF(J158&gt;=rfv_leais,"Leais",IF(J158&gt;=rfv_atencao,"Atenção","Em risco")))</f>
        <v>Leais</v>
      </c>
    </row>
    <row r="159" customFormat="false" ht="15" hidden="false" customHeight="false" outlineLevel="0" collapsed="false">
      <c r="A159" s="44" t="s">
        <v>413</v>
      </c>
      <c r="B159" s="48" t="n">
        <f aca="false">COUNTIFS(v_cliente,A159)</f>
        <v>4</v>
      </c>
      <c r="C159" s="46" t="n">
        <f aca="false">SUMIFS(v_valor,v_cliente,A159)</f>
        <v>850.48</v>
      </c>
      <c r="D159" s="45" t="n">
        <f aca="false">_xlfn.MAXIFS(v_data,v_cliente,A159)</f>
        <v>45601</v>
      </c>
      <c r="E159" s="48" t="n">
        <f aca="false">rfv_ref-D159</f>
        <v>57</v>
      </c>
      <c r="F159" s="49" t="n">
        <f aca="false">C159+ROW()/10000000</f>
        <v>850.4800159</v>
      </c>
      <c r="G159" s="48" t="n">
        <f aca="false">IF(E159&lt;=QUARTILE($E$2:$E$246,1),4,IF(E159&lt;=QUARTILE($E$2:$E$246,2),3,IF(E159&lt;=QUARTILE($E$2:$E$246,3),2,1)))</f>
        <v>3</v>
      </c>
      <c r="H159" s="48" t="n">
        <f aca="false">IF(B159&gt;QUARTILE($B$2:$B$246,3),4,IF(B159&gt;QUARTILE($B$2:$B$246,2),3,IF(B159&gt;QUARTILE($B$2:$B$246,1),2,1)))</f>
        <v>2</v>
      </c>
      <c r="I159" s="48" t="n">
        <f aca="false">IF(C159&gt;QUARTILE($C$2:$C$246,3),4,IF(C159&gt;QUARTILE($C$2:$C$246,2),3,IF(C159&gt;QUARTILE($C$2:$C$246,1),2,1)))</f>
        <v>4</v>
      </c>
      <c r="J159" s="48" t="n">
        <f aca="false">G159+H159+I159</f>
        <v>9</v>
      </c>
      <c r="K159" s="44" t="str">
        <f aca="false">IF(J159&gt;=rfv_campeoes,"Campeões",IF(J159&gt;=rfv_leais,"Leais",IF(J159&gt;=rfv_atencao,"Atenção","Em risco")))</f>
        <v>Leais</v>
      </c>
    </row>
    <row r="160" customFormat="false" ht="15" hidden="false" customHeight="false" outlineLevel="0" collapsed="false">
      <c r="A160" s="44" t="s">
        <v>549</v>
      </c>
      <c r="B160" s="48" t="n">
        <f aca="false">COUNTIFS(v_cliente,A160)</f>
        <v>4</v>
      </c>
      <c r="C160" s="46" t="n">
        <f aca="false">SUMIFS(v_valor,v_cliente,A160)</f>
        <v>106.7</v>
      </c>
      <c r="D160" s="45" t="n">
        <f aca="false">_xlfn.MAXIFS(v_data,v_cliente,A160)</f>
        <v>45489</v>
      </c>
      <c r="E160" s="48" t="n">
        <f aca="false">rfv_ref-D160</f>
        <v>169</v>
      </c>
      <c r="F160" s="49" t="n">
        <f aca="false">C160+ROW()/10000000</f>
        <v>106.700016</v>
      </c>
      <c r="G160" s="48" t="n">
        <f aca="false">IF(E160&lt;=QUARTILE($E$2:$E$246,1),4,IF(E160&lt;=QUARTILE($E$2:$E$246,2),3,IF(E160&lt;=QUARTILE($E$2:$E$246,3),2,1)))</f>
        <v>1</v>
      </c>
      <c r="H160" s="48" t="n">
        <f aca="false">IF(B160&gt;QUARTILE($B$2:$B$246,3),4,IF(B160&gt;QUARTILE($B$2:$B$246,2),3,IF(B160&gt;QUARTILE($B$2:$B$246,1),2,1)))</f>
        <v>2</v>
      </c>
      <c r="I160" s="48" t="n">
        <f aca="false">IF(C160&gt;QUARTILE($C$2:$C$246,3),4,IF(C160&gt;QUARTILE($C$2:$C$246,2),3,IF(C160&gt;QUARTILE($C$2:$C$246,1),2,1)))</f>
        <v>1</v>
      </c>
      <c r="J160" s="48" t="n">
        <f aca="false">G160+H160+I160</f>
        <v>4</v>
      </c>
      <c r="K160" s="44" t="str">
        <f aca="false">IF(J160&gt;=rfv_campeoes,"Campeões",IF(J160&gt;=rfv_leais,"Leais",IF(J160&gt;=rfv_atencao,"Atenção","Em risco")))</f>
        <v>Em risco</v>
      </c>
    </row>
    <row r="161" customFormat="false" ht="15" hidden="false" customHeight="false" outlineLevel="0" collapsed="false">
      <c r="A161" s="44" t="s">
        <v>504</v>
      </c>
      <c r="B161" s="48" t="n">
        <f aca="false">COUNTIFS(v_cliente,A161)</f>
        <v>4</v>
      </c>
      <c r="C161" s="46" t="n">
        <f aca="false">SUMIFS(v_valor,v_cliente,A161)</f>
        <v>469.72</v>
      </c>
      <c r="D161" s="45" t="n">
        <f aca="false">_xlfn.MAXIFS(v_data,v_cliente,A161)</f>
        <v>45573</v>
      </c>
      <c r="E161" s="48" t="n">
        <f aca="false">rfv_ref-D161</f>
        <v>85</v>
      </c>
      <c r="F161" s="49" t="n">
        <f aca="false">C161+ROW()/10000000</f>
        <v>469.7200161</v>
      </c>
      <c r="G161" s="48" t="n">
        <f aca="false">IF(E161&lt;=QUARTILE($E$2:$E$246,1),4,IF(E161&lt;=QUARTILE($E$2:$E$246,2),3,IF(E161&lt;=QUARTILE($E$2:$E$246,3),2,1)))</f>
        <v>2</v>
      </c>
      <c r="H161" s="48" t="n">
        <f aca="false">IF(B161&gt;QUARTILE($B$2:$B$246,3),4,IF(B161&gt;QUARTILE($B$2:$B$246,2),3,IF(B161&gt;QUARTILE($B$2:$B$246,1),2,1)))</f>
        <v>2</v>
      </c>
      <c r="I161" s="48" t="n">
        <f aca="false">IF(C161&gt;QUARTILE($C$2:$C$246,3),4,IF(C161&gt;QUARTILE($C$2:$C$246,2),3,IF(C161&gt;QUARTILE($C$2:$C$246,1),2,1)))</f>
        <v>3</v>
      </c>
      <c r="J161" s="48" t="n">
        <f aca="false">G161+H161+I161</f>
        <v>7</v>
      </c>
      <c r="K161" s="44" t="str">
        <f aca="false">IF(J161&gt;=rfv_campeoes,"Campeões",IF(J161&gt;=rfv_leais,"Leais",IF(J161&gt;=rfv_atencao,"Atenção","Em risco")))</f>
        <v>Leais</v>
      </c>
    </row>
    <row r="162" customFormat="false" ht="15" hidden="false" customHeight="false" outlineLevel="0" collapsed="false">
      <c r="A162" s="44" t="s">
        <v>452</v>
      </c>
      <c r="B162" s="48" t="n">
        <f aca="false">COUNTIFS(v_cliente,A162)</f>
        <v>4</v>
      </c>
      <c r="C162" s="46" t="n">
        <f aca="false">SUMIFS(v_valor,v_cliente,A162)</f>
        <v>126.58</v>
      </c>
      <c r="D162" s="45" t="n">
        <f aca="false">_xlfn.MAXIFS(v_data,v_cliente,A162)</f>
        <v>45547</v>
      </c>
      <c r="E162" s="48" t="n">
        <f aca="false">rfv_ref-D162</f>
        <v>111</v>
      </c>
      <c r="F162" s="49" t="n">
        <f aca="false">C162+ROW()/10000000</f>
        <v>126.5800162</v>
      </c>
      <c r="G162" s="48" t="n">
        <f aca="false">IF(E162&lt;=QUARTILE($E$2:$E$246,1),4,IF(E162&lt;=QUARTILE($E$2:$E$246,2),3,IF(E162&lt;=QUARTILE($E$2:$E$246,3),2,1)))</f>
        <v>2</v>
      </c>
      <c r="H162" s="48" t="n">
        <f aca="false">IF(B162&gt;QUARTILE($B$2:$B$246,3),4,IF(B162&gt;QUARTILE($B$2:$B$246,2),3,IF(B162&gt;QUARTILE($B$2:$B$246,1),2,1)))</f>
        <v>2</v>
      </c>
      <c r="I162" s="48" t="n">
        <f aca="false">IF(C162&gt;QUARTILE($C$2:$C$246,3),4,IF(C162&gt;QUARTILE($C$2:$C$246,2),3,IF(C162&gt;QUARTILE($C$2:$C$246,1),2,1)))</f>
        <v>1</v>
      </c>
      <c r="J162" s="48" t="n">
        <f aca="false">G162+H162+I162</f>
        <v>5</v>
      </c>
      <c r="K162" s="44" t="str">
        <f aca="false">IF(J162&gt;=rfv_campeoes,"Campeões",IF(J162&gt;=rfv_leais,"Leais",IF(J162&gt;=rfv_atencao,"Atenção","Em risco")))</f>
        <v>Atenção</v>
      </c>
    </row>
    <row r="163" customFormat="false" ht="15" hidden="false" customHeight="false" outlineLevel="0" collapsed="false">
      <c r="A163" s="44" t="s">
        <v>435</v>
      </c>
      <c r="B163" s="48" t="n">
        <f aca="false">COUNTIFS(v_cliente,A163)</f>
        <v>5</v>
      </c>
      <c r="C163" s="46" t="n">
        <f aca="false">SUMIFS(v_valor,v_cliente,A163)</f>
        <v>180.08</v>
      </c>
      <c r="D163" s="45" t="n">
        <f aca="false">_xlfn.MAXIFS(v_data,v_cliente,A163)</f>
        <v>45545</v>
      </c>
      <c r="E163" s="48" t="n">
        <f aca="false">rfv_ref-D163</f>
        <v>113</v>
      </c>
      <c r="F163" s="49" t="n">
        <f aca="false">C163+ROW()/10000000</f>
        <v>180.0800163</v>
      </c>
      <c r="G163" s="48" t="n">
        <f aca="false">IF(E163&lt;=QUARTILE($E$2:$E$246,1),4,IF(E163&lt;=QUARTILE($E$2:$E$246,2),3,IF(E163&lt;=QUARTILE($E$2:$E$246,3),2,1)))</f>
        <v>2</v>
      </c>
      <c r="H163" s="48" t="n">
        <f aca="false">IF(B163&gt;QUARTILE($B$2:$B$246,3),4,IF(B163&gt;QUARTILE($B$2:$B$246,2),3,IF(B163&gt;QUARTILE($B$2:$B$246,1),2,1)))</f>
        <v>3</v>
      </c>
      <c r="I163" s="48" t="n">
        <f aca="false">IF(C163&gt;QUARTILE($C$2:$C$246,3),4,IF(C163&gt;QUARTILE($C$2:$C$246,2),3,IF(C163&gt;QUARTILE($C$2:$C$246,1),2,1)))</f>
        <v>2</v>
      </c>
      <c r="J163" s="48" t="n">
        <f aca="false">G163+H163+I163</f>
        <v>7</v>
      </c>
      <c r="K163" s="44" t="str">
        <f aca="false">IF(J163&gt;=rfv_campeoes,"Campeões",IF(J163&gt;=rfv_leais,"Leais",IF(J163&gt;=rfv_atencao,"Atenção","Em risco")))</f>
        <v>Leais</v>
      </c>
    </row>
    <row r="164" customFormat="false" ht="15" hidden="false" customHeight="false" outlineLevel="0" collapsed="false">
      <c r="A164" s="44" t="s">
        <v>535</v>
      </c>
      <c r="B164" s="48" t="n">
        <f aca="false">COUNTIFS(v_cliente,A164)</f>
        <v>7</v>
      </c>
      <c r="C164" s="46" t="n">
        <f aca="false">SUMIFS(v_valor,v_cliente,A164)</f>
        <v>268.21</v>
      </c>
      <c r="D164" s="45" t="n">
        <f aca="false">_xlfn.MAXIFS(v_data,v_cliente,A164)</f>
        <v>45657</v>
      </c>
      <c r="E164" s="48" t="n">
        <f aca="false">rfv_ref-D164</f>
        <v>1</v>
      </c>
      <c r="F164" s="49" t="n">
        <f aca="false">C164+ROW()/10000000</f>
        <v>268.2100164</v>
      </c>
      <c r="G164" s="48" t="n">
        <f aca="false">IF(E164&lt;=QUARTILE($E$2:$E$246,1),4,IF(E164&lt;=QUARTILE($E$2:$E$246,2),3,IF(E164&lt;=QUARTILE($E$2:$E$246,3),2,1)))</f>
        <v>4</v>
      </c>
      <c r="H164" s="48" t="n">
        <f aca="false">IF(B164&gt;QUARTILE($B$2:$B$246,3),4,IF(B164&gt;QUARTILE($B$2:$B$246,2),3,IF(B164&gt;QUARTILE($B$2:$B$246,1),2,1)))</f>
        <v>4</v>
      </c>
      <c r="I164" s="48" t="n">
        <f aca="false">IF(C164&gt;QUARTILE($C$2:$C$246,3),4,IF(C164&gt;QUARTILE($C$2:$C$246,2),3,IF(C164&gt;QUARTILE($C$2:$C$246,1),2,1)))</f>
        <v>2</v>
      </c>
      <c r="J164" s="48" t="n">
        <f aca="false">G164+H164+I164</f>
        <v>10</v>
      </c>
      <c r="K164" s="44" t="str">
        <f aca="false">IF(J164&gt;=rfv_campeoes,"Campeões",IF(J164&gt;=rfv_leais,"Leais",IF(J164&gt;=rfv_atencao,"Atenção","Em risco")))</f>
        <v>Campeões</v>
      </c>
    </row>
    <row r="165" customFormat="false" ht="15" hidden="false" customHeight="false" outlineLevel="0" collapsed="false">
      <c r="A165" s="44" t="s">
        <v>355</v>
      </c>
      <c r="B165" s="48" t="n">
        <f aca="false">COUNTIFS(v_cliente,A165)</f>
        <v>8</v>
      </c>
      <c r="C165" s="46" t="n">
        <f aca="false">SUMIFS(v_valor,v_cliente,A165)</f>
        <v>1274.07</v>
      </c>
      <c r="D165" s="45" t="n">
        <f aca="false">_xlfn.MAXIFS(v_data,v_cliente,A165)</f>
        <v>45607</v>
      </c>
      <c r="E165" s="48" t="n">
        <f aca="false">rfv_ref-D165</f>
        <v>51</v>
      </c>
      <c r="F165" s="49" t="n">
        <f aca="false">C165+ROW()/10000000</f>
        <v>1274.0700165</v>
      </c>
      <c r="G165" s="48" t="n">
        <f aca="false">IF(E165&lt;=QUARTILE($E$2:$E$246,1),4,IF(E165&lt;=QUARTILE($E$2:$E$246,2),3,IF(E165&lt;=QUARTILE($E$2:$E$246,3),2,1)))</f>
        <v>3</v>
      </c>
      <c r="H165" s="48" t="n">
        <f aca="false">IF(B165&gt;QUARTILE($B$2:$B$246,3),4,IF(B165&gt;QUARTILE($B$2:$B$246,2),3,IF(B165&gt;QUARTILE($B$2:$B$246,1),2,1)))</f>
        <v>4</v>
      </c>
      <c r="I165" s="48" t="n">
        <f aca="false">IF(C165&gt;QUARTILE($C$2:$C$246,3),4,IF(C165&gt;QUARTILE($C$2:$C$246,2),3,IF(C165&gt;QUARTILE($C$2:$C$246,1),2,1)))</f>
        <v>4</v>
      </c>
      <c r="J165" s="48" t="n">
        <f aca="false">G165+H165+I165</f>
        <v>11</v>
      </c>
      <c r="K165" s="44" t="str">
        <f aca="false">IF(J165&gt;=rfv_campeoes,"Campeões",IF(J165&gt;=rfv_leais,"Leais",IF(J165&gt;=rfv_atencao,"Atenção","Em risco")))</f>
        <v>Campeões</v>
      </c>
    </row>
    <row r="166" customFormat="false" ht="15" hidden="false" customHeight="false" outlineLevel="0" collapsed="false">
      <c r="A166" s="44" t="s">
        <v>457</v>
      </c>
      <c r="B166" s="48" t="n">
        <f aca="false">COUNTIFS(v_cliente,A166)</f>
        <v>2</v>
      </c>
      <c r="C166" s="46" t="n">
        <f aca="false">SUMIFS(v_valor,v_cliente,A166)</f>
        <v>277.39</v>
      </c>
      <c r="D166" s="45" t="n">
        <f aca="false">_xlfn.MAXIFS(v_data,v_cliente,A166)</f>
        <v>45515</v>
      </c>
      <c r="E166" s="48" t="n">
        <f aca="false">rfv_ref-D166</f>
        <v>143</v>
      </c>
      <c r="F166" s="49" t="n">
        <f aca="false">C166+ROW()/10000000</f>
        <v>277.3900166</v>
      </c>
      <c r="G166" s="48" t="n">
        <f aca="false">IF(E166&lt;=QUARTILE($E$2:$E$246,1),4,IF(E166&lt;=QUARTILE($E$2:$E$246,2),3,IF(E166&lt;=QUARTILE($E$2:$E$246,3),2,1)))</f>
        <v>1</v>
      </c>
      <c r="H166" s="48" t="n">
        <f aca="false">IF(B166&gt;QUARTILE($B$2:$B$246,3),4,IF(B166&gt;QUARTILE($B$2:$B$246,2),3,IF(B166&gt;QUARTILE($B$2:$B$246,1),2,1)))</f>
        <v>1</v>
      </c>
      <c r="I166" s="48" t="n">
        <f aca="false">IF(C166&gt;QUARTILE($C$2:$C$246,3),4,IF(C166&gt;QUARTILE($C$2:$C$246,2),3,IF(C166&gt;QUARTILE($C$2:$C$246,1),2,1)))</f>
        <v>2</v>
      </c>
      <c r="J166" s="48" t="n">
        <f aca="false">G166+H166+I166</f>
        <v>4</v>
      </c>
      <c r="K166" s="44" t="str">
        <f aca="false">IF(J166&gt;=rfv_campeoes,"Campeões",IF(J166&gt;=rfv_leais,"Leais",IF(J166&gt;=rfv_atencao,"Atenção","Em risco")))</f>
        <v>Em risco</v>
      </c>
    </row>
    <row r="167" customFormat="false" ht="15" hidden="false" customHeight="false" outlineLevel="0" collapsed="false">
      <c r="A167" s="44" t="s">
        <v>351</v>
      </c>
      <c r="B167" s="48" t="n">
        <f aca="false">COUNTIFS(v_cliente,A167)</f>
        <v>3</v>
      </c>
      <c r="C167" s="46" t="n">
        <f aca="false">SUMIFS(v_valor,v_cliente,A167)</f>
        <v>208.66</v>
      </c>
      <c r="D167" s="45" t="n">
        <f aca="false">_xlfn.MAXIFS(v_data,v_cliente,A167)</f>
        <v>45613</v>
      </c>
      <c r="E167" s="48" t="n">
        <f aca="false">rfv_ref-D167</f>
        <v>45</v>
      </c>
      <c r="F167" s="49" t="n">
        <f aca="false">C167+ROW()/10000000</f>
        <v>208.6600167</v>
      </c>
      <c r="G167" s="48" t="n">
        <f aca="false">IF(E167&lt;=QUARTILE($E$2:$E$246,1),4,IF(E167&lt;=QUARTILE($E$2:$E$246,2),3,IF(E167&lt;=QUARTILE($E$2:$E$246,3),2,1)))</f>
        <v>3</v>
      </c>
      <c r="H167" s="48" t="n">
        <f aca="false">IF(B167&gt;QUARTILE($B$2:$B$246,3),4,IF(B167&gt;QUARTILE($B$2:$B$246,2),3,IF(B167&gt;QUARTILE($B$2:$B$246,1),2,1)))</f>
        <v>1</v>
      </c>
      <c r="I167" s="48" t="n">
        <f aca="false">IF(C167&gt;QUARTILE($C$2:$C$246,3),4,IF(C167&gt;QUARTILE($C$2:$C$246,2),3,IF(C167&gt;QUARTILE($C$2:$C$246,1),2,1)))</f>
        <v>2</v>
      </c>
      <c r="J167" s="48" t="n">
        <f aca="false">G167+H167+I167</f>
        <v>6</v>
      </c>
      <c r="K167" s="44" t="str">
        <f aca="false">IF(J167&gt;=rfv_campeoes,"Campeões",IF(J167&gt;=rfv_leais,"Leais",IF(J167&gt;=rfv_atencao,"Atenção","Em risco")))</f>
        <v>Atenção</v>
      </c>
    </row>
    <row r="168" customFormat="false" ht="15" hidden="false" customHeight="false" outlineLevel="0" collapsed="false">
      <c r="A168" s="44" t="s">
        <v>459</v>
      </c>
      <c r="B168" s="48" t="n">
        <f aca="false">COUNTIFS(v_cliente,A168)</f>
        <v>2</v>
      </c>
      <c r="C168" s="46" t="n">
        <f aca="false">SUMIFS(v_valor,v_cliente,A168)</f>
        <v>51.98</v>
      </c>
      <c r="D168" s="45" t="n">
        <f aca="false">_xlfn.MAXIFS(v_data,v_cliente,A168)</f>
        <v>45522</v>
      </c>
      <c r="E168" s="48" t="n">
        <f aca="false">rfv_ref-D168</f>
        <v>136</v>
      </c>
      <c r="F168" s="49" t="n">
        <f aca="false">C168+ROW()/10000000</f>
        <v>51.9800168</v>
      </c>
      <c r="G168" s="48" t="n">
        <f aca="false">IF(E168&lt;=QUARTILE($E$2:$E$246,1),4,IF(E168&lt;=QUARTILE($E$2:$E$246,2),3,IF(E168&lt;=QUARTILE($E$2:$E$246,3),2,1)))</f>
        <v>1</v>
      </c>
      <c r="H168" s="48" t="n">
        <f aca="false">IF(B168&gt;QUARTILE($B$2:$B$246,3),4,IF(B168&gt;QUARTILE($B$2:$B$246,2),3,IF(B168&gt;QUARTILE($B$2:$B$246,1),2,1)))</f>
        <v>1</v>
      </c>
      <c r="I168" s="48" t="n">
        <f aca="false">IF(C168&gt;QUARTILE($C$2:$C$246,3),4,IF(C168&gt;QUARTILE($C$2:$C$246,2),3,IF(C168&gt;QUARTILE($C$2:$C$246,1),2,1)))</f>
        <v>1</v>
      </c>
      <c r="J168" s="48" t="n">
        <f aca="false">G168+H168+I168</f>
        <v>3</v>
      </c>
      <c r="K168" s="44" t="str">
        <f aca="false">IF(J168&gt;=rfv_campeoes,"Campeões",IF(J168&gt;=rfv_leais,"Leais",IF(J168&gt;=rfv_atencao,"Atenção","Em risco")))</f>
        <v>Em risco</v>
      </c>
    </row>
    <row r="169" customFormat="false" ht="15" hidden="false" customHeight="false" outlineLevel="0" collapsed="false">
      <c r="A169" s="44" t="s">
        <v>458</v>
      </c>
      <c r="B169" s="48" t="n">
        <f aca="false">COUNTIFS(v_cliente,A169)</f>
        <v>3</v>
      </c>
      <c r="C169" s="46" t="n">
        <f aca="false">SUMIFS(v_valor,v_cliente,A169)</f>
        <v>250.75</v>
      </c>
      <c r="D169" s="45" t="n">
        <f aca="false">_xlfn.MAXIFS(v_data,v_cliente,A169)</f>
        <v>45588</v>
      </c>
      <c r="E169" s="48" t="n">
        <f aca="false">rfv_ref-D169</f>
        <v>70</v>
      </c>
      <c r="F169" s="49" t="n">
        <f aca="false">C169+ROW()/10000000</f>
        <v>250.7500169</v>
      </c>
      <c r="G169" s="48" t="n">
        <f aca="false">IF(E169&lt;=QUARTILE($E$2:$E$246,1),4,IF(E169&lt;=QUARTILE($E$2:$E$246,2),3,IF(E169&lt;=QUARTILE($E$2:$E$246,3),2,1)))</f>
        <v>2</v>
      </c>
      <c r="H169" s="48" t="n">
        <f aca="false">IF(B169&gt;QUARTILE($B$2:$B$246,3),4,IF(B169&gt;QUARTILE($B$2:$B$246,2),3,IF(B169&gt;QUARTILE($B$2:$B$246,1),2,1)))</f>
        <v>1</v>
      </c>
      <c r="I169" s="48" t="n">
        <f aca="false">IF(C169&gt;QUARTILE($C$2:$C$246,3),4,IF(C169&gt;QUARTILE($C$2:$C$246,2),3,IF(C169&gt;QUARTILE($C$2:$C$246,1),2,1)))</f>
        <v>2</v>
      </c>
      <c r="J169" s="48" t="n">
        <f aca="false">G169+H169+I169</f>
        <v>5</v>
      </c>
      <c r="K169" s="44" t="str">
        <f aca="false">IF(J169&gt;=rfv_campeoes,"Campeões",IF(J169&gt;=rfv_leais,"Leais",IF(J169&gt;=rfv_atencao,"Atenção","Em risco")))</f>
        <v>Atenção</v>
      </c>
    </row>
    <row r="170" customFormat="false" ht="15" hidden="false" customHeight="false" outlineLevel="0" collapsed="false">
      <c r="A170" s="44" t="s">
        <v>354</v>
      </c>
      <c r="B170" s="48" t="n">
        <f aca="false">COUNTIFS(v_cliente,A170)</f>
        <v>7</v>
      </c>
      <c r="C170" s="46" t="n">
        <f aca="false">SUMIFS(v_valor,v_cliente,A170)</f>
        <v>909.97</v>
      </c>
      <c r="D170" s="45" t="n">
        <f aca="false">_xlfn.MAXIFS(v_data,v_cliente,A170)</f>
        <v>45647</v>
      </c>
      <c r="E170" s="48" t="n">
        <f aca="false">rfv_ref-D170</f>
        <v>11</v>
      </c>
      <c r="F170" s="49" t="n">
        <f aca="false">C170+ROW()/10000000</f>
        <v>909.970017</v>
      </c>
      <c r="G170" s="48" t="n">
        <f aca="false">IF(E170&lt;=QUARTILE($E$2:$E$246,1),4,IF(E170&lt;=QUARTILE($E$2:$E$246,2),3,IF(E170&lt;=QUARTILE($E$2:$E$246,3),2,1)))</f>
        <v>4</v>
      </c>
      <c r="H170" s="48" t="n">
        <f aca="false">IF(B170&gt;QUARTILE($B$2:$B$246,3),4,IF(B170&gt;QUARTILE($B$2:$B$246,2),3,IF(B170&gt;QUARTILE($B$2:$B$246,1),2,1)))</f>
        <v>4</v>
      </c>
      <c r="I170" s="48" t="n">
        <f aca="false">IF(C170&gt;QUARTILE($C$2:$C$246,3),4,IF(C170&gt;QUARTILE($C$2:$C$246,2),3,IF(C170&gt;QUARTILE($C$2:$C$246,1),2,1)))</f>
        <v>4</v>
      </c>
      <c r="J170" s="48" t="n">
        <f aca="false">G170+H170+I170</f>
        <v>12</v>
      </c>
      <c r="K170" s="44" t="str">
        <f aca="false">IF(J170&gt;=rfv_campeoes,"Campeões",IF(J170&gt;=rfv_leais,"Leais",IF(J170&gt;=rfv_atencao,"Atenção","Em risco")))</f>
        <v>Campeões</v>
      </c>
    </row>
    <row r="171" customFormat="false" ht="15" hidden="false" customHeight="false" outlineLevel="0" collapsed="false">
      <c r="A171" s="44" t="s">
        <v>402</v>
      </c>
      <c r="B171" s="48" t="n">
        <f aca="false">COUNTIFS(v_cliente,A171)</f>
        <v>5</v>
      </c>
      <c r="C171" s="46" t="n">
        <f aca="false">SUMIFS(v_valor,v_cliente,A171)</f>
        <v>904.47</v>
      </c>
      <c r="D171" s="45" t="n">
        <f aca="false">_xlfn.MAXIFS(v_data,v_cliente,A171)</f>
        <v>45563</v>
      </c>
      <c r="E171" s="48" t="n">
        <f aca="false">rfv_ref-D171</f>
        <v>95</v>
      </c>
      <c r="F171" s="49" t="n">
        <f aca="false">C171+ROW()/10000000</f>
        <v>904.4700171</v>
      </c>
      <c r="G171" s="48" t="n">
        <f aca="false">IF(E171&lt;=QUARTILE($E$2:$E$246,1),4,IF(E171&lt;=QUARTILE($E$2:$E$246,2),3,IF(E171&lt;=QUARTILE($E$2:$E$246,3),2,1)))</f>
        <v>2</v>
      </c>
      <c r="H171" s="48" t="n">
        <f aca="false">IF(B171&gt;QUARTILE($B$2:$B$246,3),4,IF(B171&gt;QUARTILE($B$2:$B$246,2),3,IF(B171&gt;QUARTILE($B$2:$B$246,1),2,1)))</f>
        <v>3</v>
      </c>
      <c r="I171" s="48" t="n">
        <f aca="false">IF(C171&gt;QUARTILE($C$2:$C$246,3),4,IF(C171&gt;QUARTILE($C$2:$C$246,2),3,IF(C171&gt;QUARTILE($C$2:$C$246,1),2,1)))</f>
        <v>4</v>
      </c>
      <c r="J171" s="48" t="n">
        <f aca="false">G171+H171+I171</f>
        <v>9</v>
      </c>
      <c r="K171" s="44" t="str">
        <f aca="false">IF(J171&gt;=rfv_campeoes,"Campeões",IF(J171&gt;=rfv_leais,"Leais",IF(J171&gt;=rfv_atencao,"Atenção","Em risco")))</f>
        <v>Leais</v>
      </c>
    </row>
    <row r="172" customFormat="false" ht="15" hidden="false" customHeight="false" outlineLevel="0" collapsed="false">
      <c r="A172" s="44" t="s">
        <v>530</v>
      </c>
      <c r="B172" s="48" t="n">
        <f aca="false">COUNTIFS(v_cliente,A172)</f>
        <v>2</v>
      </c>
      <c r="C172" s="46" t="n">
        <f aca="false">SUMIFS(v_valor,v_cliente,A172)</f>
        <v>89.31</v>
      </c>
      <c r="D172" s="45" t="n">
        <f aca="false">_xlfn.MAXIFS(v_data,v_cliente,A172)</f>
        <v>45592</v>
      </c>
      <c r="E172" s="48" t="n">
        <f aca="false">rfv_ref-D172</f>
        <v>66</v>
      </c>
      <c r="F172" s="49" t="n">
        <f aca="false">C172+ROW()/10000000</f>
        <v>89.3100172</v>
      </c>
      <c r="G172" s="48" t="n">
        <f aca="false">IF(E172&lt;=QUARTILE($E$2:$E$246,1),4,IF(E172&lt;=QUARTILE($E$2:$E$246,2),3,IF(E172&lt;=QUARTILE($E$2:$E$246,3),2,1)))</f>
        <v>2</v>
      </c>
      <c r="H172" s="48" t="n">
        <f aca="false">IF(B172&gt;QUARTILE($B$2:$B$246,3),4,IF(B172&gt;QUARTILE($B$2:$B$246,2),3,IF(B172&gt;QUARTILE($B$2:$B$246,1),2,1)))</f>
        <v>1</v>
      </c>
      <c r="I172" s="48" t="n">
        <f aca="false">IF(C172&gt;QUARTILE($C$2:$C$246,3),4,IF(C172&gt;QUARTILE($C$2:$C$246,2),3,IF(C172&gt;QUARTILE($C$2:$C$246,1),2,1)))</f>
        <v>1</v>
      </c>
      <c r="J172" s="48" t="n">
        <f aca="false">G172+H172+I172</f>
        <v>4</v>
      </c>
      <c r="K172" s="44" t="str">
        <f aca="false">IF(J172&gt;=rfv_campeoes,"Campeões",IF(J172&gt;=rfv_leais,"Leais",IF(J172&gt;=rfv_atencao,"Atenção","Em risco")))</f>
        <v>Em risco</v>
      </c>
    </row>
    <row r="173" customFormat="false" ht="15" hidden="false" customHeight="false" outlineLevel="0" collapsed="false">
      <c r="A173" s="44" t="s">
        <v>327</v>
      </c>
      <c r="B173" s="48" t="n">
        <f aca="false">COUNTIFS(v_cliente,A173)</f>
        <v>6</v>
      </c>
      <c r="C173" s="46" t="n">
        <f aca="false">SUMIFS(v_valor,v_cliente,A173)</f>
        <v>1213.34</v>
      </c>
      <c r="D173" s="45" t="n">
        <f aca="false">_xlfn.MAXIFS(v_data,v_cliente,A173)</f>
        <v>45655</v>
      </c>
      <c r="E173" s="48" t="n">
        <f aca="false">rfv_ref-D173</f>
        <v>3</v>
      </c>
      <c r="F173" s="49" t="n">
        <f aca="false">C173+ROW()/10000000</f>
        <v>1213.3400173</v>
      </c>
      <c r="G173" s="48" t="n">
        <f aca="false">IF(E173&lt;=QUARTILE($E$2:$E$246,1),4,IF(E173&lt;=QUARTILE($E$2:$E$246,2),3,IF(E173&lt;=QUARTILE($E$2:$E$246,3),2,1)))</f>
        <v>4</v>
      </c>
      <c r="H173" s="48" t="n">
        <f aca="false">IF(B173&gt;QUARTILE($B$2:$B$246,3),4,IF(B173&gt;QUARTILE($B$2:$B$246,2),3,IF(B173&gt;QUARTILE($B$2:$B$246,1),2,1)))</f>
        <v>4</v>
      </c>
      <c r="I173" s="48" t="n">
        <f aca="false">IF(C173&gt;QUARTILE($C$2:$C$246,3),4,IF(C173&gt;QUARTILE($C$2:$C$246,2),3,IF(C173&gt;QUARTILE($C$2:$C$246,1),2,1)))</f>
        <v>4</v>
      </c>
      <c r="J173" s="48" t="n">
        <f aca="false">G173+H173+I173</f>
        <v>12</v>
      </c>
      <c r="K173" s="44" t="str">
        <f aca="false">IF(J173&gt;=rfv_campeoes,"Campeões",IF(J173&gt;=rfv_leais,"Leais",IF(J173&gt;=rfv_atencao,"Atenção","Em risco")))</f>
        <v>Campeões</v>
      </c>
    </row>
    <row r="174" customFormat="false" ht="15" hidden="false" customHeight="false" outlineLevel="0" collapsed="false">
      <c r="A174" s="44" t="s">
        <v>538</v>
      </c>
      <c r="B174" s="48" t="n">
        <f aca="false">COUNTIFS(v_cliente,A174)</f>
        <v>1</v>
      </c>
      <c r="C174" s="46" t="n">
        <f aca="false">SUMIFS(v_valor,v_cliente,A174)</f>
        <v>18.68</v>
      </c>
      <c r="D174" s="45" t="n">
        <f aca="false">_xlfn.MAXIFS(v_data,v_cliente,A174)</f>
        <v>45377</v>
      </c>
      <c r="E174" s="48" t="n">
        <f aca="false">rfv_ref-D174</f>
        <v>281</v>
      </c>
      <c r="F174" s="49" t="n">
        <f aca="false">C174+ROW()/10000000</f>
        <v>18.6800174</v>
      </c>
      <c r="G174" s="48" t="n">
        <f aca="false">IF(E174&lt;=QUARTILE($E$2:$E$246,1),4,IF(E174&lt;=QUARTILE($E$2:$E$246,2),3,IF(E174&lt;=QUARTILE($E$2:$E$246,3),2,1)))</f>
        <v>1</v>
      </c>
      <c r="H174" s="48" t="n">
        <f aca="false">IF(B174&gt;QUARTILE($B$2:$B$246,3),4,IF(B174&gt;QUARTILE($B$2:$B$246,2),3,IF(B174&gt;QUARTILE($B$2:$B$246,1),2,1)))</f>
        <v>1</v>
      </c>
      <c r="I174" s="48" t="n">
        <f aca="false">IF(C174&gt;QUARTILE($C$2:$C$246,3),4,IF(C174&gt;QUARTILE($C$2:$C$246,2),3,IF(C174&gt;QUARTILE($C$2:$C$246,1),2,1)))</f>
        <v>1</v>
      </c>
      <c r="J174" s="48" t="n">
        <f aca="false">G174+H174+I174</f>
        <v>3</v>
      </c>
      <c r="K174" s="44" t="str">
        <f aca="false">IF(J174&gt;=rfv_campeoes,"Campeões",IF(J174&gt;=rfv_leais,"Leais",IF(J174&gt;=rfv_atencao,"Atenção","Em risco")))</f>
        <v>Em risco</v>
      </c>
    </row>
    <row r="175" customFormat="false" ht="15" hidden="false" customHeight="false" outlineLevel="0" collapsed="false">
      <c r="A175" s="44" t="s">
        <v>323</v>
      </c>
      <c r="B175" s="48" t="n">
        <f aca="false">COUNTIFS(v_cliente,A175)</f>
        <v>3</v>
      </c>
      <c r="C175" s="46" t="n">
        <f aca="false">SUMIFS(v_valor,v_cliente,A175)</f>
        <v>1339.93</v>
      </c>
      <c r="D175" s="45" t="n">
        <f aca="false">_xlfn.MAXIFS(v_data,v_cliente,A175)</f>
        <v>45605</v>
      </c>
      <c r="E175" s="48" t="n">
        <f aca="false">rfv_ref-D175</f>
        <v>53</v>
      </c>
      <c r="F175" s="49" t="n">
        <f aca="false">C175+ROW()/10000000</f>
        <v>1339.9300175</v>
      </c>
      <c r="G175" s="48" t="n">
        <f aca="false">IF(E175&lt;=QUARTILE($E$2:$E$246,1),4,IF(E175&lt;=QUARTILE($E$2:$E$246,2),3,IF(E175&lt;=QUARTILE($E$2:$E$246,3),2,1)))</f>
        <v>3</v>
      </c>
      <c r="H175" s="48" t="n">
        <f aca="false">IF(B175&gt;QUARTILE($B$2:$B$246,3),4,IF(B175&gt;QUARTILE($B$2:$B$246,2),3,IF(B175&gt;QUARTILE($B$2:$B$246,1),2,1)))</f>
        <v>1</v>
      </c>
      <c r="I175" s="48" t="n">
        <f aca="false">IF(C175&gt;QUARTILE($C$2:$C$246,3),4,IF(C175&gt;QUARTILE($C$2:$C$246,2),3,IF(C175&gt;QUARTILE($C$2:$C$246,1),2,1)))</f>
        <v>4</v>
      </c>
      <c r="J175" s="48" t="n">
        <f aca="false">G175+H175+I175</f>
        <v>8</v>
      </c>
      <c r="K175" s="44" t="str">
        <f aca="false">IF(J175&gt;=rfv_campeoes,"Campeões",IF(J175&gt;=rfv_leais,"Leais",IF(J175&gt;=rfv_atencao,"Atenção","Em risco")))</f>
        <v>Leais</v>
      </c>
    </row>
    <row r="176" customFormat="false" ht="15" hidden="false" customHeight="false" outlineLevel="0" collapsed="false">
      <c r="A176" s="44" t="s">
        <v>495</v>
      </c>
      <c r="B176" s="48" t="n">
        <f aca="false">COUNTIFS(v_cliente,A176)</f>
        <v>5</v>
      </c>
      <c r="C176" s="46" t="n">
        <f aca="false">SUMIFS(v_valor,v_cliente,A176)</f>
        <v>430.02</v>
      </c>
      <c r="D176" s="45" t="n">
        <f aca="false">_xlfn.MAXIFS(v_data,v_cliente,A176)</f>
        <v>45593</v>
      </c>
      <c r="E176" s="48" t="n">
        <f aca="false">rfv_ref-D176</f>
        <v>65</v>
      </c>
      <c r="F176" s="49" t="n">
        <f aca="false">C176+ROW()/10000000</f>
        <v>430.0200176</v>
      </c>
      <c r="G176" s="48" t="n">
        <f aca="false">IF(E176&lt;=QUARTILE($E$2:$E$246,1),4,IF(E176&lt;=QUARTILE($E$2:$E$246,2),3,IF(E176&lt;=QUARTILE($E$2:$E$246,3),2,1)))</f>
        <v>2</v>
      </c>
      <c r="H176" s="48" t="n">
        <f aca="false">IF(B176&gt;QUARTILE($B$2:$B$246,3),4,IF(B176&gt;QUARTILE($B$2:$B$246,2),3,IF(B176&gt;QUARTILE($B$2:$B$246,1),2,1)))</f>
        <v>3</v>
      </c>
      <c r="I176" s="48" t="n">
        <f aca="false">IF(C176&gt;QUARTILE($C$2:$C$246,3),4,IF(C176&gt;QUARTILE($C$2:$C$246,2),3,IF(C176&gt;QUARTILE($C$2:$C$246,1),2,1)))</f>
        <v>3</v>
      </c>
      <c r="J176" s="48" t="n">
        <f aca="false">G176+H176+I176</f>
        <v>8</v>
      </c>
      <c r="K176" s="44" t="str">
        <f aca="false">IF(J176&gt;=rfv_campeoes,"Campeões",IF(J176&gt;=rfv_leais,"Leais",IF(J176&gt;=rfv_atencao,"Atenção","Em risco")))</f>
        <v>Leais</v>
      </c>
    </row>
    <row r="177" customFormat="false" ht="15" hidden="false" customHeight="false" outlineLevel="0" collapsed="false">
      <c r="A177" s="44" t="s">
        <v>522</v>
      </c>
      <c r="B177" s="48" t="n">
        <f aca="false">COUNTIFS(v_cliente,A177)</f>
        <v>4</v>
      </c>
      <c r="C177" s="46" t="n">
        <f aca="false">SUMIFS(v_valor,v_cliente,A177)</f>
        <v>213.15</v>
      </c>
      <c r="D177" s="45" t="n">
        <f aca="false">_xlfn.MAXIFS(v_data,v_cliente,A177)</f>
        <v>45493</v>
      </c>
      <c r="E177" s="48" t="n">
        <f aca="false">rfv_ref-D177</f>
        <v>165</v>
      </c>
      <c r="F177" s="49" t="n">
        <f aca="false">C177+ROW()/10000000</f>
        <v>213.1500177</v>
      </c>
      <c r="G177" s="48" t="n">
        <f aca="false">IF(E177&lt;=QUARTILE($E$2:$E$246,1),4,IF(E177&lt;=QUARTILE($E$2:$E$246,2),3,IF(E177&lt;=QUARTILE($E$2:$E$246,3),2,1)))</f>
        <v>1</v>
      </c>
      <c r="H177" s="48" t="n">
        <f aca="false">IF(B177&gt;QUARTILE($B$2:$B$246,3),4,IF(B177&gt;QUARTILE($B$2:$B$246,2),3,IF(B177&gt;QUARTILE($B$2:$B$246,1),2,1)))</f>
        <v>2</v>
      </c>
      <c r="I177" s="48" t="n">
        <f aca="false">IF(C177&gt;QUARTILE($C$2:$C$246,3),4,IF(C177&gt;QUARTILE($C$2:$C$246,2),3,IF(C177&gt;QUARTILE($C$2:$C$246,1),2,1)))</f>
        <v>2</v>
      </c>
      <c r="J177" s="48" t="n">
        <f aca="false">G177+H177+I177</f>
        <v>5</v>
      </c>
      <c r="K177" s="44" t="str">
        <f aca="false">IF(J177&gt;=rfv_campeoes,"Campeões",IF(J177&gt;=rfv_leais,"Leais",IF(J177&gt;=rfv_atencao,"Atenção","Em risco")))</f>
        <v>Atenção</v>
      </c>
    </row>
    <row r="178" customFormat="false" ht="15" hidden="false" customHeight="false" outlineLevel="0" collapsed="false">
      <c r="A178" s="44" t="s">
        <v>417</v>
      </c>
      <c r="B178" s="48" t="n">
        <f aca="false">COUNTIFS(v_cliente,A178)</f>
        <v>5</v>
      </c>
      <c r="C178" s="46" t="n">
        <f aca="false">SUMIFS(v_valor,v_cliente,A178)</f>
        <v>253.78</v>
      </c>
      <c r="D178" s="45" t="n">
        <f aca="false">_xlfn.MAXIFS(v_data,v_cliente,A178)</f>
        <v>45604</v>
      </c>
      <c r="E178" s="48" t="n">
        <f aca="false">rfv_ref-D178</f>
        <v>54</v>
      </c>
      <c r="F178" s="49" t="n">
        <f aca="false">C178+ROW()/10000000</f>
        <v>253.7800178</v>
      </c>
      <c r="G178" s="48" t="n">
        <f aca="false">IF(E178&lt;=QUARTILE($E$2:$E$246,1),4,IF(E178&lt;=QUARTILE($E$2:$E$246,2),3,IF(E178&lt;=QUARTILE($E$2:$E$246,3),2,1)))</f>
        <v>3</v>
      </c>
      <c r="H178" s="48" t="n">
        <f aca="false">IF(B178&gt;QUARTILE($B$2:$B$246,3),4,IF(B178&gt;QUARTILE($B$2:$B$246,2),3,IF(B178&gt;QUARTILE($B$2:$B$246,1),2,1)))</f>
        <v>3</v>
      </c>
      <c r="I178" s="48" t="n">
        <f aca="false">IF(C178&gt;QUARTILE($C$2:$C$246,3),4,IF(C178&gt;QUARTILE($C$2:$C$246,2),3,IF(C178&gt;QUARTILE($C$2:$C$246,1),2,1)))</f>
        <v>2</v>
      </c>
      <c r="J178" s="48" t="n">
        <f aca="false">G178+H178+I178</f>
        <v>8</v>
      </c>
      <c r="K178" s="44" t="str">
        <f aca="false">IF(J178&gt;=rfv_campeoes,"Campeões",IF(J178&gt;=rfv_leais,"Leais",IF(J178&gt;=rfv_atencao,"Atenção","Em risco")))</f>
        <v>Leais</v>
      </c>
    </row>
    <row r="179" customFormat="false" ht="15" hidden="false" customHeight="false" outlineLevel="0" collapsed="false">
      <c r="A179" s="44" t="s">
        <v>418</v>
      </c>
      <c r="B179" s="48" t="n">
        <f aca="false">COUNTIFS(v_cliente,A179)</f>
        <v>7</v>
      </c>
      <c r="C179" s="46" t="n">
        <f aca="false">SUMIFS(v_valor,v_cliente,A179)</f>
        <v>862.84</v>
      </c>
      <c r="D179" s="45" t="n">
        <f aca="false">_xlfn.MAXIFS(v_data,v_cliente,A179)</f>
        <v>45627</v>
      </c>
      <c r="E179" s="48" t="n">
        <f aca="false">rfv_ref-D179</f>
        <v>31</v>
      </c>
      <c r="F179" s="49" t="n">
        <f aca="false">C179+ROW()/10000000</f>
        <v>862.8400179</v>
      </c>
      <c r="G179" s="48" t="n">
        <f aca="false">IF(E179&lt;=QUARTILE($E$2:$E$246,1),4,IF(E179&lt;=QUARTILE($E$2:$E$246,2),3,IF(E179&lt;=QUARTILE($E$2:$E$246,3),2,1)))</f>
        <v>3</v>
      </c>
      <c r="H179" s="48" t="n">
        <f aca="false">IF(B179&gt;QUARTILE($B$2:$B$246,3),4,IF(B179&gt;QUARTILE($B$2:$B$246,2),3,IF(B179&gt;QUARTILE($B$2:$B$246,1),2,1)))</f>
        <v>4</v>
      </c>
      <c r="I179" s="48" t="n">
        <f aca="false">IF(C179&gt;QUARTILE($C$2:$C$246,3),4,IF(C179&gt;QUARTILE($C$2:$C$246,2),3,IF(C179&gt;QUARTILE($C$2:$C$246,1),2,1)))</f>
        <v>4</v>
      </c>
      <c r="J179" s="48" t="n">
        <f aca="false">G179+H179+I179</f>
        <v>11</v>
      </c>
      <c r="K179" s="44" t="str">
        <f aca="false">IF(J179&gt;=rfv_campeoes,"Campeões",IF(J179&gt;=rfv_leais,"Leais",IF(J179&gt;=rfv_atencao,"Atenção","Em risco")))</f>
        <v>Campeões</v>
      </c>
    </row>
    <row r="180" customFormat="false" ht="15" hidden="false" customHeight="false" outlineLevel="0" collapsed="false">
      <c r="A180" s="44" t="s">
        <v>462</v>
      </c>
      <c r="B180" s="48" t="n">
        <f aca="false">COUNTIFS(v_cliente,A180)</f>
        <v>5</v>
      </c>
      <c r="C180" s="46" t="n">
        <f aca="false">SUMIFS(v_valor,v_cliente,A180)</f>
        <v>228.43</v>
      </c>
      <c r="D180" s="45" t="n">
        <f aca="false">_xlfn.MAXIFS(v_data,v_cliente,A180)</f>
        <v>45471</v>
      </c>
      <c r="E180" s="48" t="n">
        <f aca="false">rfv_ref-D180</f>
        <v>187</v>
      </c>
      <c r="F180" s="49" t="n">
        <f aca="false">C180+ROW()/10000000</f>
        <v>228.430018</v>
      </c>
      <c r="G180" s="48" t="n">
        <f aca="false">IF(E180&lt;=QUARTILE($E$2:$E$246,1),4,IF(E180&lt;=QUARTILE($E$2:$E$246,2),3,IF(E180&lt;=QUARTILE($E$2:$E$246,3),2,1)))</f>
        <v>1</v>
      </c>
      <c r="H180" s="48" t="n">
        <f aca="false">IF(B180&gt;QUARTILE($B$2:$B$246,3),4,IF(B180&gt;QUARTILE($B$2:$B$246,2),3,IF(B180&gt;QUARTILE($B$2:$B$246,1),2,1)))</f>
        <v>3</v>
      </c>
      <c r="I180" s="48" t="n">
        <f aca="false">IF(C180&gt;QUARTILE($C$2:$C$246,3),4,IF(C180&gt;QUARTILE($C$2:$C$246,2),3,IF(C180&gt;QUARTILE($C$2:$C$246,1),2,1)))</f>
        <v>2</v>
      </c>
      <c r="J180" s="48" t="n">
        <f aca="false">G180+H180+I180</f>
        <v>6</v>
      </c>
      <c r="K180" s="44" t="str">
        <f aca="false">IF(J180&gt;=rfv_campeoes,"Campeões",IF(J180&gt;=rfv_leais,"Leais",IF(J180&gt;=rfv_atencao,"Atenção","Em risco")))</f>
        <v>Atenção</v>
      </c>
    </row>
    <row r="181" customFormat="false" ht="15" hidden="false" customHeight="false" outlineLevel="0" collapsed="false">
      <c r="A181" s="44" t="s">
        <v>443</v>
      </c>
      <c r="B181" s="48" t="n">
        <f aca="false">COUNTIFS(v_cliente,A181)</f>
        <v>6</v>
      </c>
      <c r="C181" s="46" t="n">
        <f aca="false">SUMIFS(v_valor,v_cliente,A181)</f>
        <v>469.17</v>
      </c>
      <c r="D181" s="45" t="n">
        <f aca="false">_xlfn.MAXIFS(v_data,v_cliente,A181)</f>
        <v>45502</v>
      </c>
      <c r="E181" s="48" t="n">
        <f aca="false">rfv_ref-D181</f>
        <v>156</v>
      </c>
      <c r="F181" s="49" t="n">
        <f aca="false">C181+ROW()/10000000</f>
        <v>469.1700181</v>
      </c>
      <c r="G181" s="48" t="n">
        <f aca="false">IF(E181&lt;=QUARTILE($E$2:$E$246,1),4,IF(E181&lt;=QUARTILE($E$2:$E$246,2),3,IF(E181&lt;=QUARTILE($E$2:$E$246,3),2,1)))</f>
        <v>1</v>
      </c>
      <c r="H181" s="48" t="n">
        <f aca="false">IF(B181&gt;QUARTILE($B$2:$B$246,3),4,IF(B181&gt;QUARTILE($B$2:$B$246,2),3,IF(B181&gt;QUARTILE($B$2:$B$246,1),2,1)))</f>
        <v>4</v>
      </c>
      <c r="I181" s="48" t="n">
        <f aca="false">IF(C181&gt;QUARTILE($C$2:$C$246,3),4,IF(C181&gt;QUARTILE($C$2:$C$246,2),3,IF(C181&gt;QUARTILE($C$2:$C$246,1),2,1)))</f>
        <v>3</v>
      </c>
      <c r="J181" s="48" t="n">
        <f aca="false">G181+H181+I181</f>
        <v>8</v>
      </c>
      <c r="K181" s="44" t="str">
        <f aca="false">IF(J181&gt;=rfv_campeoes,"Campeões",IF(J181&gt;=rfv_leais,"Leais",IF(J181&gt;=rfv_atencao,"Atenção","Em risco")))</f>
        <v>Leais</v>
      </c>
    </row>
    <row r="182" customFormat="false" ht="15" hidden="false" customHeight="false" outlineLevel="0" collapsed="false">
      <c r="A182" s="44" t="s">
        <v>365</v>
      </c>
      <c r="B182" s="48" t="n">
        <f aca="false">COUNTIFS(v_cliente,A182)</f>
        <v>7</v>
      </c>
      <c r="C182" s="46" t="n">
        <f aca="false">SUMIFS(v_valor,v_cliente,A182)</f>
        <v>543.72</v>
      </c>
      <c r="D182" s="45" t="n">
        <f aca="false">_xlfn.MAXIFS(v_data,v_cliente,A182)</f>
        <v>45654</v>
      </c>
      <c r="E182" s="48" t="n">
        <f aca="false">rfv_ref-D182</f>
        <v>4</v>
      </c>
      <c r="F182" s="49" t="n">
        <f aca="false">C182+ROW()/10000000</f>
        <v>543.7200182</v>
      </c>
      <c r="G182" s="48" t="n">
        <f aca="false">IF(E182&lt;=QUARTILE($E$2:$E$246,1),4,IF(E182&lt;=QUARTILE($E$2:$E$246,2),3,IF(E182&lt;=QUARTILE($E$2:$E$246,3),2,1)))</f>
        <v>4</v>
      </c>
      <c r="H182" s="48" t="n">
        <f aca="false">IF(B182&gt;QUARTILE($B$2:$B$246,3),4,IF(B182&gt;QUARTILE($B$2:$B$246,2),3,IF(B182&gt;QUARTILE($B$2:$B$246,1),2,1)))</f>
        <v>4</v>
      </c>
      <c r="I182" s="48" t="n">
        <f aca="false">IF(C182&gt;QUARTILE($C$2:$C$246,3),4,IF(C182&gt;QUARTILE($C$2:$C$246,2),3,IF(C182&gt;QUARTILE($C$2:$C$246,1),2,1)))</f>
        <v>3</v>
      </c>
      <c r="J182" s="48" t="n">
        <f aca="false">G182+H182+I182</f>
        <v>11</v>
      </c>
      <c r="K182" s="44" t="str">
        <f aca="false">IF(J182&gt;=rfv_campeoes,"Campeões",IF(J182&gt;=rfv_leais,"Leais",IF(J182&gt;=rfv_atencao,"Atenção","Em risco")))</f>
        <v>Campeões</v>
      </c>
    </row>
    <row r="183" customFormat="false" ht="15" hidden="false" customHeight="false" outlineLevel="0" collapsed="false">
      <c r="A183" s="44" t="s">
        <v>381</v>
      </c>
      <c r="B183" s="48" t="n">
        <f aca="false">COUNTIFS(v_cliente,A183)</f>
        <v>4</v>
      </c>
      <c r="C183" s="46" t="n">
        <f aca="false">SUMIFS(v_valor,v_cliente,A183)</f>
        <v>667.14</v>
      </c>
      <c r="D183" s="45" t="n">
        <f aca="false">_xlfn.MAXIFS(v_data,v_cliente,A183)</f>
        <v>45650</v>
      </c>
      <c r="E183" s="48" t="n">
        <f aca="false">rfv_ref-D183</f>
        <v>8</v>
      </c>
      <c r="F183" s="49" t="n">
        <f aca="false">C183+ROW()/10000000</f>
        <v>667.1400183</v>
      </c>
      <c r="G183" s="48" t="n">
        <f aca="false">IF(E183&lt;=QUARTILE($E$2:$E$246,1),4,IF(E183&lt;=QUARTILE($E$2:$E$246,2),3,IF(E183&lt;=QUARTILE($E$2:$E$246,3),2,1)))</f>
        <v>4</v>
      </c>
      <c r="H183" s="48" t="n">
        <f aca="false">IF(B183&gt;QUARTILE($B$2:$B$246,3),4,IF(B183&gt;QUARTILE($B$2:$B$246,2),3,IF(B183&gt;QUARTILE($B$2:$B$246,1),2,1)))</f>
        <v>2</v>
      </c>
      <c r="I183" s="48" t="n">
        <f aca="false">IF(C183&gt;QUARTILE($C$2:$C$246,3),4,IF(C183&gt;QUARTILE($C$2:$C$246,2),3,IF(C183&gt;QUARTILE($C$2:$C$246,1),2,1)))</f>
        <v>4</v>
      </c>
      <c r="J183" s="48" t="n">
        <f aca="false">G183+H183+I183</f>
        <v>10</v>
      </c>
      <c r="K183" s="44" t="str">
        <f aca="false">IF(J183&gt;=rfv_campeoes,"Campeões",IF(J183&gt;=rfv_leais,"Leais",IF(J183&gt;=rfv_atencao,"Atenção","Em risco")))</f>
        <v>Campeões</v>
      </c>
    </row>
    <row r="184" customFormat="false" ht="15" hidden="false" customHeight="false" outlineLevel="0" collapsed="false">
      <c r="A184" s="44" t="s">
        <v>554</v>
      </c>
      <c r="B184" s="48" t="n">
        <f aca="false">COUNTIFS(v_cliente,A184)</f>
        <v>1</v>
      </c>
      <c r="C184" s="46" t="n">
        <f aca="false">SUMIFS(v_valor,v_cliente,A184)</f>
        <v>8.18</v>
      </c>
      <c r="D184" s="45" t="n">
        <f aca="false">_xlfn.MAXIFS(v_data,v_cliente,A184)</f>
        <v>45514</v>
      </c>
      <c r="E184" s="48" t="n">
        <f aca="false">rfv_ref-D184</f>
        <v>144</v>
      </c>
      <c r="F184" s="49" t="n">
        <f aca="false">C184+ROW()/10000000</f>
        <v>8.1800184</v>
      </c>
      <c r="G184" s="48" t="n">
        <f aca="false">IF(E184&lt;=QUARTILE($E$2:$E$246,1),4,IF(E184&lt;=QUARTILE($E$2:$E$246,2),3,IF(E184&lt;=QUARTILE($E$2:$E$246,3),2,1)))</f>
        <v>1</v>
      </c>
      <c r="H184" s="48" t="n">
        <f aca="false">IF(B184&gt;QUARTILE($B$2:$B$246,3),4,IF(B184&gt;QUARTILE($B$2:$B$246,2),3,IF(B184&gt;QUARTILE($B$2:$B$246,1),2,1)))</f>
        <v>1</v>
      </c>
      <c r="I184" s="48" t="n">
        <f aca="false">IF(C184&gt;QUARTILE($C$2:$C$246,3),4,IF(C184&gt;QUARTILE($C$2:$C$246,2),3,IF(C184&gt;QUARTILE($C$2:$C$246,1),2,1)))</f>
        <v>1</v>
      </c>
      <c r="J184" s="48" t="n">
        <f aca="false">G184+H184+I184</f>
        <v>3</v>
      </c>
      <c r="K184" s="44" t="str">
        <f aca="false">IF(J184&gt;=rfv_campeoes,"Campeões",IF(J184&gt;=rfv_leais,"Leais",IF(J184&gt;=rfv_atencao,"Atenção","Em risco")))</f>
        <v>Em risco</v>
      </c>
    </row>
    <row r="185" customFormat="false" ht="15" hidden="false" customHeight="false" outlineLevel="0" collapsed="false">
      <c r="A185" s="44" t="s">
        <v>511</v>
      </c>
      <c r="B185" s="48" t="n">
        <f aca="false">COUNTIFS(v_cliente,A185)</f>
        <v>4</v>
      </c>
      <c r="C185" s="46" t="n">
        <f aca="false">SUMIFS(v_valor,v_cliente,A185)</f>
        <v>272.47</v>
      </c>
      <c r="D185" s="45" t="n">
        <f aca="false">_xlfn.MAXIFS(v_data,v_cliente,A185)</f>
        <v>45581</v>
      </c>
      <c r="E185" s="48" t="n">
        <f aca="false">rfv_ref-D185</f>
        <v>77</v>
      </c>
      <c r="F185" s="49" t="n">
        <f aca="false">C185+ROW()/10000000</f>
        <v>272.4700185</v>
      </c>
      <c r="G185" s="48" t="n">
        <f aca="false">IF(E185&lt;=QUARTILE($E$2:$E$246,1),4,IF(E185&lt;=QUARTILE($E$2:$E$246,2),3,IF(E185&lt;=QUARTILE($E$2:$E$246,3),2,1)))</f>
        <v>2</v>
      </c>
      <c r="H185" s="48" t="n">
        <f aca="false">IF(B185&gt;QUARTILE($B$2:$B$246,3),4,IF(B185&gt;QUARTILE($B$2:$B$246,2),3,IF(B185&gt;QUARTILE($B$2:$B$246,1),2,1)))</f>
        <v>2</v>
      </c>
      <c r="I185" s="48" t="n">
        <f aca="false">IF(C185&gt;QUARTILE($C$2:$C$246,3),4,IF(C185&gt;QUARTILE($C$2:$C$246,2),3,IF(C185&gt;QUARTILE($C$2:$C$246,1),2,1)))</f>
        <v>2</v>
      </c>
      <c r="J185" s="48" t="n">
        <f aca="false">G185+H185+I185</f>
        <v>6</v>
      </c>
      <c r="K185" s="44" t="str">
        <f aca="false">IF(J185&gt;=rfv_campeoes,"Campeões",IF(J185&gt;=rfv_leais,"Leais",IF(J185&gt;=rfv_atencao,"Atenção","Em risco")))</f>
        <v>Atenção</v>
      </c>
    </row>
    <row r="186" customFormat="false" ht="15" hidden="false" customHeight="false" outlineLevel="0" collapsed="false">
      <c r="A186" s="44" t="s">
        <v>527</v>
      </c>
      <c r="B186" s="48" t="n">
        <f aca="false">COUNTIFS(v_cliente,A186)</f>
        <v>2</v>
      </c>
      <c r="C186" s="46" t="n">
        <f aca="false">SUMIFS(v_valor,v_cliente,A186)</f>
        <v>106.2</v>
      </c>
      <c r="D186" s="45" t="n">
        <f aca="false">_xlfn.MAXIFS(v_data,v_cliente,A186)</f>
        <v>45580</v>
      </c>
      <c r="E186" s="48" t="n">
        <f aca="false">rfv_ref-D186</f>
        <v>78</v>
      </c>
      <c r="F186" s="49" t="n">
        <f aca="false">C186+ROW()/10000000</f>
        <v>106.2000186</v>
      </c>
      <c r="G186" s="48" t="n">
        <f aca="false">IF(E186&lt;=QUARTILE($E$2:$E$246,1),4,IF(E186&lt;=QUARTILE($E$2:$E$246,2),3,IF(E186&lt;=QUARTILE($E$2:$E$246,3),2,1)))</f>
        <v>2</v>
      </c>
      <c r="H186" s="48" t="n">
        <f aca="false">IF(B186&gt;QUARTILE($B$2:$B$246,3),4,IF(B186&gt;QUARTILE($B$2:$B$246,2),3,IF(B186&gt;QUARTILE($B$2:$B$246,1),2,1)))</f>
        <v>1</v>
      </c>
      <c r="I186" s="48" t="n">
        <f aca="false">IF(C186&gt;QUARTILE($C$2:$C$246,3),4,IF(C186&gt;QUARTILE($C$2:$C$246,2),3,IF(C186&gt;QUARTILE($C$2:$C$246,1),2,1)))</f>
        <v>1</v>
      </c>
      <c r="J186" s="48" t="n">
        <f aca="false">G186+H186+I186</f>
        <v>4</v>
      </c>
      <c r="K186" s="44" t="str">
        <f aca="false">IF(J186&gt;=rfv_campeoes,"Campeões",IF(J186&gt;=rfv_leais,"Leais",IF(J186&gt;=rfv_atencao,"Atenção","Em risco")))</f>
        <v>Em risco</v>
      </c>
    </row>
    <row r="187" customFormat="false" ht="15" hidden="false" customHeight="false" outlineLevel="0" collapsed="false">
      <c r="A187" s="44" t="s">
        <v>464</v>
      </c>
      <c r="B187" s="48" t="n">
        <f aca="false">COUNTIFS(v_cliente,A187)</f>
        <v>4</v>
      </c>
      <c r="C187" s="46" t="n">
        <f aca="false">SUMIFS(v_valor,v_cliente,A187)</f>
        <v>378.8</v>
      </c>
      <c r="D187" s="45" t="n">
        <f aca="false">_xlfn.MAXIFS(v_data,v_cliente,A187)</f>
        <v>45635</v>
      </c>
      <c r="E187" s="48" t="n">
        <f aca="false">rfv_ref-D187</f>
        <v>23</v>
      </c>
      <c r="F187" s="49" t="n">
        <f aca="false">C187+ROW()/10000000</f>
        <v>378.8000187</v>
      </c>
      <c r="G187" s="48" t="n">
        <f aca="false">IF(E187&lt;=QUARTILE($E$2:$E$246,1),4,IF(E187&lt;=QUARTILE($E$2:$E$246,2),3,IF(E187&lt;=QUARTILE($E$2:$E$246,3),2,1)))</f>
        <v>4</v>
      </c>
      <c r="H187" s="48" t="n">
        <f aca="false">IF(B187&gt;QUARTILE($B$2:$B$246,3),4,IF(B187&gt;QUARTILE($B$2:$B$246,2),3,IF(B187&gt;QUARTILE($B$2:$B$246,1),2,1)))</f>
        <v>2</v>
      </c>
      <c r="I187" s="48" t="n">
        <f aca="false">IF(C187&gt;QUARTILE($C$2:$C$246,3),4,IF(C187&gt;QUARTILE($C$2:$C$246,2),3,IF(C187&gt;QUARTILE($C$2:$C$246,1),2,1)))</f>
        <v>3</v>
      </c>
      <c r="J187" s="48" t="n">
        <f aca="false">G187+H187+I187</f>
        <v>9</v>
      </c>
      <c r="K187" s="44" t="str">
        <f aca="false">IF(J187&gt;=rfv_campeoes,"Campeões",IF(J187&gt;=rfv_leais,"Leais",IF(J187&gt;=rfv_atencao,"Atenção","Em risco")))</f>
        <v>Leais</v>
      </c>
    </row>
    <row r="188" customFormat="false" ht="15" hidden="false" customHeight="false" outlineLevel="0" collapsed="false">
      <c r="A188" s="44" t="s">
        <v>510</v>
      </c>
      <c r="B188" s="48" t="n">
        <f aca="false">COUNTIFS(v_cliente,A188)</f>
        <v>5</v>
      </c>
      <c r="C188" s="46" t="n">
        <f aca="false">SUMIFS(v_valor,v_cliente,A188)</f>
        <v>737.7</v>
      </c>
      <c r="D188" s="45" t="n">
        <f aca="false">_xlfn.MAXIFS(v_data,v_cliente,A188)</f>
        <v>45537</v>
      </c>
      <c r="E188" s="48" t="n">
        <f aca="false">rfv_ref-D188</f>
        <v>121</v>
      </c>
      <c r="F188" s="49" t="n">
        <f aca="false">C188+ROW()/10000000</f>
        <v>737.7000188</v>
      </c>
      <c r="G188" s="48" t="n">
        <f aca="false">IF(E188&lt;=QUARTILE($E$2:$E$246,1),4,IF(E188&lt;=QUARTILE($E$2:$E$246,2),3,IF(E188&lt;=QUARTILE($E$2:$E$246,3),2,1)))</f>
        <v>2</v>
      </c>
      <c r="H188" s="48" t="n">
        <f aca="false">IF(B188&gt;QUARTILE($B$2:$B$246,3),4,IF(B188&gt;QUARTILE($B$2:$B$246,2),3,IF(B188&gt;QUARTILE($B$2:$B$246,1),2,1)))</f>
        <v>3</v>
      </c>
      <c r="I188" s="48" t="n">
        <f aca="false">IF(C188&gt;QUARTILE($C$2:$C$246,3),4,IF(C188&gt;QUARTILE($C$2:$C$246,2),3,IF(C188&gt;QUARTILE($C$2:$C$246,1),2,1)))</f>
        <v>4</v>
      </c>
      <c r="J188" s="48" t="n">
        <f aca="false">G188+H188+I188</f>
        <v>9</v>
      </c>
      <c r="K188" s="44" t="str">
        <f aca="false">IF(J188&gt;=rfv_campeoes,"Campeões",IF(J188&gt;=rfv_leais,"Leais",IF(J188&gt;=rfv_atencao,"Atenção","Em risco")))</f>
        <v>Leais</v>
      </c>
    </row>
    <row r="189" customFormat="false" ht="15" hidden="false" customHeight="false" outlineLevel="0" collapsed="false">
      <c r="A189" s="44" t="s">
        <v>341</v>
      </c>
      <c r="B189" s="48" t="n">
        <f aca="false">COUNTIFS(v_cliente,A189)</f>
        <v>3</v>
      </c>
      <c r="C189" s="46" t="n">
        <f aca="false">SUMIFS(v_valor,v_cliente,A189)</f>
        <v>55.86</v>
      </c>
      <c r="D189" s="45" t="n">
        <f aca="false">_xlfn.MAXIFS(v_data,v_cliente,A189)</f>
        <v>45564</v>
      </c>
      <c r="E189" s="48" t="n">
        <f aca="false">rfv_ref-D189</f>
        <v>94</v>
      </c>
      <c r="F189" s="49" t="n">
        <f aca="false">C189+ROW()/10000000</f>
        <v>55.8600189</v>
      </c>
      <c r="G189" s="48" t="n">
        <f aca="false">IF(E189&lt;=QUARTILE($E$2:$E$246,1),4,IF(E189&lt;=QUARTILE($E$2:$E$246,2),3,IF(E189&lt;=QUARTILE($E$2:$E$246,3),2,1)))</f>
        <v>2</v>
      </c>
      <c r="H189" s="48" t="n">
        <f aca="false">IF(B189&gt;QUARTILE($B$2:$B$246,3),4,IF(B189&gt;QUARTILE($B$2:$B$246,2),3,IF(B189&gt;QUARTILE($B$2:$B$246,1),2,1)))</f>
        <v>1</v>
      </c>
      <c r="I189" s="48" t="n">
        <f aca="false">IF(C189&gt;QUARTILE($C$2:$C$246,3),4,IF(C189&gt;QUARTILE($C$2:$C$246,2),3,IF(C189&gt;QUARTILE($C$2:$C$246,1),2,1)))</f>
        <v>1</v>
      </c>
      <c r="J189" s="48" t="n">
        <f aca="false">G189+H189+I189</f>
        <v>4</v>
      </c>
      <c r="K189" s="44" t="str">
        <f aca="false">IF(J189&gt;=rfv_campeoes,"Campeões",IF(J189&gt;=rfv_leais,"Leais",IF(J189&gt;=rfv_atencao,"Atenção","Em risco")))</f>
        <v>Em risco</v>
      </c>
    </row>
    <row r="190" customFormat="false" ht="15" hidden="false" customHeight="false" outlineLevel="0" collapsed="false">
      <c r="A190" s="44" t="s">
        <v>475</v>
      </c>
      <c r="B190" s="48" t="n">
        <f aca="false">COUNTIFS(v_cliente,A190)</f>
        <v>2</v>
      </c>
      <c r="C190" s="46" t="n">
        <f aca="false">SUMIFS(v_valor,v_cliente,A190)</f>
        <v>171.88</v>
      </c>
      <c r="D190" s="45" t="n">
        <f aca="false">_xlfn.MAXIFS(v_data,v_cliente,A190)</f>
        <v>45407</v>
      </c>
      <c r="E190" s="48" t="n">
        <f aca="false">rfv_ref-D190</f>
        <v>251</v>
      </c>
      <c r="F190" s="49" t="n">
        <f aca="false">C190+ROW()/10000000</f>
        <v>171.880019</v>
      </c>
      <c r="G190" s="48" t="n">
        <f aca="false">IF(E190&lt;=QUARTILE($E$2:$E$246,1),4,IF(E190&lt;=QUARTILE($E$2:$E$246,2),3,IF(E190&lt;=QUARTILE($E$2:$E$246,3),2,1)))</f>
        <v>1</v>
      </c>
      <c r="H190" s="48" t="n">
        <f aca="false">IF(B190&gt;QUARTILE($B$2:$B$246,3),4,IF(B190&gt;QUARTILE($B$2:$B$246,2),3,IF(B190&gt;QUARTILE($B$2:$B$246,1),2,1)))</f>
        <v>1</v>
      </c>
      <c r="I190" s="48" t="n">
        <f aca="false">IF(C190&gt;QUARTILE($C$2:$C$246,3),4,IF(C190&gt;QUARTILE($C$2:$C$246,2),3,IF(C190&gt;QUARTILE($C$2:$C$246,1),2,1)))</f>
        <v>2</v>
      </c>
      <c r="J190" s="48" t="n">
        <f aca="false">G190+H190+I190</f>
        <v>4</v>
      </c>
      <c r="K190" s="44" t="str">
        <f aca="false">IF(J190&gt;=rfv_campeoes,"Campeões",IF(J190&gt;=rfv_leais,"Leais",IF(J190&gt;=rfv_atencao,"Atenção","Em risco")))</f>
        <v>Em risco</v>
      </c>
    </row>
    <row r="191" customFormat="false" ht="15" hidden="false" customHeight="false" outlineLevel="0" collapsed="false">
      <c r="A191" s="44" t="s">
        <v>491</v>
      </c>
      <c r="B191" s="48" t="n">
        <f aca="false">COUNTIFS(v_cliente,A191)</f>
        <v>5</v>
      </c>
      <c r="C191" s="46" t="n">
        <f aca="false">SUMIFS(v_valor,v_cliente,A191)</f>
        <v>147.61</v>
      </c>
      <c r="D191" s="45" t="n">
        <f aca="false">_xlfn.MAXIFS(v_data,v_cliente,A191)</f>
        <v>45525</v>
      </c>
      <c r="E191" s="48" t="n">
        <f aca="false">rfv_ref-D191</f>
        <v>133</v>
      </c>
      <c r="F191" s="49" t="n">
        <f aca="false">C191+ROW()/10000000</f>
        <v>147.6100191</v>
      </c>
      <c r="G191" s="48" t="n">
        <f aca="false">IF(E191&lt;=QUARTILE($E$2:$E$246,1),4,IF(E191&lt;=QUARTILE($E$2:$E$246,2),3,IF(E191&lt;=QUARTILE($E$2:$E$246,3),2,1)))</f>
        <v>1</v>
      </c>
      <c r="H191" s="48" t="n">
        <f aca="false">IF(B191&gt;QUARTILE($B$2:$B$246,3),4,IF(B191&gt;QUARTILE($B$2:$B$246,2),3,IF(B191&gt;QUARTILE($B$2:$B$246,1),2,1)))</f>
        <v>3</v>
      </c>
      <c r="I191" s="48" t="n">
        <f aca="false">IF(C191&gt;QUARTILE($C$2:$C$246,3),4,IF(C191&gt;QUARTILE($C$2:$C$246,2),3,IF(C191&gt;QUARTILE($C$2:$C$246,1),2,1)))</f>
        <v>1</v>
      </c>
      <c r="J191" s="48" t="n">
        <f aca="false">G191+H191+I191</f>
        <v>5</v>
      </c>
      <c r="K191" s="44" t="str">
        <f aca="false">IF(J191&gt;=rfv_campeoes,"Campeões",IF(J191&gt;=rfv_leais,"Leais",IF(J191&gt;=rfv_atencao,"Atenção","Em risco")))</f>
        <v>Atenção</v>
      </c>
    </row>
    <row r="192" customFormat="false" ht="15" hidden="false" customHeight="false" outlineLevel="0" collapsed="false">
      <c r="A192" s="44" t="s">
        <v>366</v>
      </c>
      <c r="B192" s="48" t="n">
        <f aca="false">COUNTIFS(v_cliente,A192)</f>
        <v>5</v>
      </c>
      <c r="C192" s="46" t="n">
        <f aca="false">SUMIFS(v_valor,v_cliente,A192)</f>
        <v>72.83</v>
      </c>
      <c r="D192" s="45" t="n">
        <f aca="false">_xlfn.MAXIFS(v_data,v_cliente,A192)</f>
        <v>45605</v>
      </c>
      <c r="E192" s="48" t="n">
        <f aca="false">rfv_ref-D192</f>
        <v>53</v>
      </c>
      <c r="F192" s="49" t="n">
        <f aca="false">C192+ROW()/10000000</f>
        <v>72.8300192</v>
      </c>
      <c r="G192" s="48" t="n">
        <f aca="false">IF(E192&lt;=QUARTILE($E$2:$E$246,1),4,IF(E192&lt;=QUARTILE($E$2:$E$246,2),3,IF(E192&lt;=QUARTILE($E$2:$E$246,3),2,1)))</f>
        <v>3</v>
      </c>
      <c r="H192" s="48" t="n">
        <f aca="false">IF(B192&gt;QUARTILE($B$2:$B$246,3),4,IF(B192&gt;QUARTILE($B$2:$B$246,2),3,IF(B192&gt;QUARTILE($B$2:$B$246,1),2,1)))</f>
        <v>3</v>
      </c>
      <c r="I192" s="48" t="n">
        <f aca="false">IF(C192&gt;QUARTILE($C$2:$C$246,3),4,IF(C192&gt;QUARTILE($C$2:$C$246,2),3,IF(C192&gt;QUARTILE($C$2:$C$246,1),2,1)))</f>
        <v>1</v>
      </c>
      <c r="J192" s="48" t="n">
        <f aca="false">G192+H192+I192</f>
        <v>7</v>
      </c>
      <c r="K192" s="44" t="str">
        <f aca="false">IF(J192&gt;=rfv_campeoes,"Campeões",IF(J192&gt;=rfv_leais,"Leais",IF(J192&gt;=rfv_atencao,"Atenção","Em risco")))</f>
        <v>Leais</v>
      </c>
    </row>
    <row r="193" customFormat="false" ht="15" hidden="false" customHeight="false" outlineLevel="0" collapsed="false">
      <c r="A193" s="44" t="s">
        <v>545</v>
      </c>
      <c r="B193" s="48" t="n">
        <f aca="false">COUNTIFS(v_cliente,A193)</f>
        <v>3</v>
      </c>
      <c r="C193" s="46" t="n">
        <f aca="false">SUMIFS(v_valor,v_cliente,A193)</f>
        <v>72.8</v>
      </c>
      <c r="D193" s="45" t="n">
        <f aca="false">_xlfn.MAXIFS(v_data,v_cliente,A193)</f>
        <v>45630</v>
      </c>
      <c r="E193" s="48" t="n">
        <f aca="false">rfv_ref-D193</f>
        <v>28</v>
      </c>
      <c r="F193" s="49" t="n">
        <f aca="false">C193+ROW()/10000000</f>
        <v>72.8000193</v>
      </c>
      <c r="G193" s="48" t="n">
        <f aca="false">IF(E193&lt;=QUARTILE($E$2:$E$246,1),4,IF(E193&lt;=QUARTILE($E$2:$E$246,2),3,IF(E193&lt;=QUARTILE($E$2:$E$246,3),2,1)))</f>
        <v>3</v>
      </c>
      <c r="H193" s="48" t="n">
        <f aca="false">IF(B193&gt;QUARTILE($B$2:$B$246,3),4,IF(B193&gt;QUARTILE($B$2:$B$246,2),3,IF(B193&gt;QUARTILE($B$2:$B$246,1),2,1)))</f>
        <v>1</v>
      </c>
      <c r="I193" s="48" t="n">
        <f aca="false">IF(C193&gt;QUARTILE($C$2:$C$246,3),4,IF(C193&gt;QUARTILE($C$2:$C$246,2),3,IF(C193&gt;QUARTILE($C$2:$C$246,1),2,1)))</f>
        <v>1</v>
      </c>
      <c r="J193" s="48" t="n">
        <f aca="false">G193+H193+I193</f>
        <v>5</v>
      </c>
      <c r="K193" s="44" t="str">
        <f aca="false">IF(J193&gt;=rfv_campeoes,"Campeões",IF(J193&gt;=rfv_leais,"Leais",IF(J193&gt;=rfv_atencao,"Atenção","Em risco")))</f>
        <v>Atenção</v>
      </c>
    </row>
    <row r="194" customFormat="false" ht="15" hidden="false" customHeight="false" outlineLevel="0" collapsed="false">
      <c r="A194" s="44" t="s">
        <v>540</v>
      </c>
      <c r="B194" s="48" t="n">
        <f aca="false">COUNTIFS(v_cliente,A194)</f>
        <v>3</v>
      </c>
      <c r="C194" s="46" t="n">
        <f aca="false">SUMIFS(v_valor,v_cliente,A194)</f>
        <v>227.31</v>
      </c>
      <c r="D194" s="45" t="n">
        <f aca="false">_xlfn.MAXIFS(v_data,v_cliente,A194)</f>
        <v>45615</v>
      </c>
      <c r="E194" s="48" t="n">
        <f aca="false">rfv_ref-D194</f>
        <v>43</v>
      </c>
      <c r="F194" s="49" t="n">
        <f aca="false">C194+ROW()/10000000</f>
        <v>227.3100194</v>
      </c>
      <c r="G194" s="48" t="n">
        <f aca="false">IF(E194&lt;=QUARTILE($E$2:$E$246,1),4,IF(E194&lt;=QUARTILE($E$2:$E$246,2),3,IF(E194&lt;=QUARTILE($E$2:$E$246,3),2,1)))</f>
        <v>3</v>
      </c>
      <c r="H194" s="48" t="n">
        <f aca="false">IF(B194&gt;QUARTILE($B$2:$B$246,3),4,IF(B194&gt;QUARTILE($B$2:$B$246,2),3,IF(B194&gt;QUARTILE($B$2:$B$246,1),2,1)))</f>
        <v>1</v>
      </c>
      <c r="I194" s="48" t="n">
        <f aca="false">IF(C194&gt;QUARTILE($C$2:$C$246,3),4,IF(C194&gt;QUARTILE($C$2:$C$246,2),3,IF(C194&gt;QUARTILE($C$2:$C$246,1),2,1)))</f>
        <v>2</v>
      </c>
      <c r="J194" s="48" t="n">
        <f aca="false">G194+H194+I194</f>
        <v>6</v>
      </c>
      <c r="K194" s="44" t="str">
        <f aca="false">IF(J194&gt;=rfv_campeoes,"Campeões",IF(J194&gt;=rfv_leais,"Leais",IF(J194&gt;=rfv_atencao,"Atenção","Em risco")))</f>
        <v>Atenção</v>
      </c>
    </row>
    <row r="195" customFormat="false" ht="15" hidden="false" customHeight="false" outlineLevel="0" collapsed="false">
      <c r="A195" s="44" t="s">
        <v>509</v>
      </c>
      <c r="B195" s="48" t="n">
        <f aca="false">COUNTIFS(v_cliente,A195)</f>
        <v>2</v>
      </c>
      <c r="C195" s="46" t="n">
        <f aca="false">SUMIFS(v_valor,v_cliente,A195)</f>
        <v>508.78</v>
      </c>
      <c r="D195" s="45" t="n">
        <f aca="false">_xlfn.MAXIFS(v_data,v_cliente,A195)</f>
        <v>45612</v>
      </c>
      <c r="E195" s="48" t="n">
        <f aca="false">rfv_ref-D195</f>
        <v>46</v>
      </c>
      <c r="F195" s="49" t="n">
        <f aca="false">C195+ROW()/10000000</f>
        <v>508.7800195</v>
      </c>
      <c r="G195" s="48" t="n">
        <f aca="false">IF(E195&lt;=QUARTILE($E$2:$E$246,1),4,IF(E195&lt;=QUARTILE($E$2:$E$246,2),3,IF(E195&lt;=QUARTILE($E$2:$E$246,3),2,1)))</f>
        <v>3</v>
      </c>
      <c r="H195" s="48" t="n">
        <f aca="false">IF(B195&gt;QUARTILE($B$2:$B$246,3),4,IF(B195&gt;QUARTILE($B$2:$B$246,2),3,IF(B195&gt;QUARTILE($B$2:$B$246,1),2,1)))</f>
        <v>1</v>
      </c>
      <c r="I195" s="48" t="n">
        <f aca="false">IF(C195&gt;QUARTILE($C$2:$C$246,3),4,IF(C195&gt;QUARTILE($C$2:$C$246,2),3,IF(C195&gt;QUARTILE($C$2:$C$246,1),2,1)))</f>
        <v>3</v>
      </c>
      <c r="J195" s="48" t="n">
        <f aca="false">G195+H195+I195</f>
        <v>7</v>
      </c>
      <c r="K195" s="44" t="str">
        <f aca="false">IF(J195&gt;=rfv_campeoes,"Campeões",IF(J195&gt;=rfv_leais,"Leais",IF(J195&gt;=rfv_atencao,"Atenção","Em risco")))</f>
        <v>Leais</v>
      </c>
    </row>
    <row r="196" customFormat="false" ht="15" hidden="false" customHeight="false" outlineLevel="0" collapsed="false">
      <c r="A196" s="44" t="s">
        <v>558</v>
      </c>
      <c r="B196" s="48" t="n">
        <f aca="false">COUNTIFS(v_cliente,A196)</f>
        <v>1</v>
      </c>
      <c r="C196" s="46" t="n">
        <f aca="false">SUMIFS(v_valor,v_cliente,A196)</f>
        <v>1.77</v>
      </c>
      <c r="D196" s="45" t="n">
        <f aca="false">_xlfn.MAXIFS(v_data,v_cliente,A196)</f>
        <v>45315</v>
      </c>
      <c r="E196" s="48" t="n">
        <f aca="false">rfv_ref-D196</f>
        <v>343</v>
      </c>
      <c r="F196" s="49" t="n">
        <f aca="false">C196+ROW()/10000000</f>
        <v>1.7700196</v>
      </c>
      <c r="G196" s="48" t="n">
        <f aca="false">IF(E196&lt;=QUARTILE($E$2:$E$246,1),4,IF(E196&lt;=QUARTILE($E$2:$E$246,2),3,IF(E196&lt;=QUARTILE($E$2:$E$246,3),2,1)))</f>
        <v>1</v>
      </c>
      <c r="H196" s="48" t="n">
        <f aca="false">IF(B196&gt;QUARTILE($B$2:$B$246,3),4,IF(B196&gt;QUARTILE($B$2:$B$246,2),3,IF(B196&gt;QUARTILE($B$2:$B$246,1),2,1)))</f>
        <v>1</v>
      </c>
      <c r="I196" s="48" t="n">
        <f aca="false">IF(C196&gt;QUARTILE($C$2:$C$246,3),4,IF(C196&gt;QUARTILE($C$2:$C$246,2),3,IF(C196&gt;QUARTILE($C$2:$C$246,1),2,1)))</f>
        <v>1</v>
      </c>
      <c r="J196" s="48" t="n">
        <f aca="false">G196+H196+I196</f>
        <v>3</v>
      </c>
      <c r="K196" s="44" t="str">
        <f aca="false">IF(J196&gt;=rfv_campeoes,"Campeões",IF(J196&gt;=rfv_leais,"Leais",IF(J196&gt;=rfv_atencao,"Atenção","Em risco")))</f>
        <v>Em risco</v>
      </c>
    </row>
    <row r="197" customFormat="false" ht="15" hidden="false" customHeight="false" outlineLevel="0" collapsed="false">
      <c r="A197" s="44" t="s">
        <v>512</v>
      </c>
      <c r="B197" s="48" t="n">
        <f aca="false">COUNTIFS(v_cliente,A197)</f>
        <v>2</v>
      </c>
      <c r="C197" s="46" t="n">
        <f aca="false">SUMIFS(v_valor,v_cliente,A197)</f>
        <v>798.43</v>
      </c>
      <c r="D197" s="45" t="n">
        <f aca="false">_xlfn.MAXIFS(v_data,v_cliente,A197)</f>
        <v>45619</v>
      </c>
      <c r="E197" s="48" t="n">
        <f aca="false">rfv_ref-D197</f>
        <v>39</v>
      </c>
      <c r="F197" s="49" t="n">
        <f aca="false">C197+ROW()/10000000</f>
        <v>798.4300197</v>
      </c>
      <c r="G197" s="48" t="n">
        <f aca="false">IF(E197&lt;=QUARTILE($E$2:$E$246,1),4,IF(E197&lt;=QUARTILE($E$2:$E$246,2),3,IF(E197&lt;=QUARTILE($E$2:$E$246,3),2,1)))</f>
        <v>3</v>
      </c>
      <c r="H197" s="48" t="n">
        <f aca="false">IF(B197&gt;QUARTILE($B$2:$B$246,3),4,IF(B197&gt;QUARTILE($B$2:$B$246,2),3,IF(B197&gt;QUARTILE($B$2:$B$246,1),2,1)))</f>
        <v>1</v>
      </c>
      <c r="I197" s="48" t="n">
        <f aca="false">IF(C197&gt;QUARTILE($C$2:$C$246,3),4,IF(C197&gt;QUARTILE($C$2:$C$246,2),3,IF(C197&gt;QUARTILE($C$2:$C$246,1),2,1)))</f>
        <v>4</v>
      </c>
      <c r="J197" s="48" t="n">
        <f aca="false">G197+H197+I197</f>
        <v>8</v>
      </c>
      <c r="K197" s="44" t="str">
        <f aca="false">IF(J197&gt;=rfv_campeoes,"Campeões",IF(J197&gt;=rfv_leais,"Leais",IF(J197&gt;=rfv_atencao,"Atenção","Em risco")))</f>
        <v>Leais</v>
      </c>
    </row>
    <row r="198" customFormat="false" ht="15" hidden="false" customHeight="false" outlineLevel="0" collapsed="false">
      <c r="A198" s="44" t="s">
        <v>528</v>
      </c>
      <c r="B198" s="48" t="n">
        <f aca="false">COUNTIFS(v_cliente,A198)</f>
        <v>4</v>
      </c>
      <c r="C198" s="46" t="n">
        <f aca="false">SUMIFS(v_valor,v_cliente,A198)</f>
        <v>268.74</v>
      </c>
      <c r="D198" s="45" t="n">
        <f aca="false">_xlfn.MAXIFS(v_data,v_cliente,A198)</f>
        <v>45501</v>
      </c>
      <c r="E198" s="48" t="n">
        <f aca="false">rfv_ref-D198</f>
        <v>157</v>
      </c>
      <c r="F198" s="49" t="n">
        <f aca="false">C198+ROW()/10000000</f>
        <v>268.7400198</v>
      </c>
      <c r="G198" s="48" t="n">
        <f aca="false">IF(E198&lt;=QUARTILE($E$2:$E$246,1),4,IF(E198&lt;=QUARTILE($E$2:$E$246,2),3,IF(E198&lt;=QUARTILE($E$2:$E$246,3),2,1)))</f>
        <v>1</v>
      </c>
      <c r="H198" s="48" t="n">
        <f aca="false">IF(B198&gt;QUARTILE($B$2:$B$246,3),4,IF(B198&gt;QUARTILE($B$2:$B$246,2),3,IF(B198&gt;QUARTILE($B$2:$B$246,1),2,1)))</f>
        <v>2</v>
      </c>
      <c r="I198" s="48" t="n">
        <f aca="false">IF(C198&gt;QUARTILE($C$2:$C$246,3),4,IF(C198&gt;QUARTILE($C$2:$C$246,2),3,IF(C198&gt;QUARTILE($C$2:$C$246,1),2,1)))</f>
        <v>2</v>
      </c>
      <c r="J198" s="48" t="n">
        <f aca="false">G198+H198+I198</f>
        <v>5</v>
      </c>
      <c r="K198" s="44" t="str">
        <f aca="false">IF(J198&gt;=rfv_campeoes,"Campeões",IF(J198&gt;=rfv_leais,"Leais",IF(J198&gt;=rfv_atencao,"Atenção","Em risco")))</f>
        <v>Atenção</v>
      </c>
    </row>
    <row r="199" customFormat="false" ht="15" hidden="false" customHeight="false" outlineLevel="0" collapsed="false">
      <c r="A199" s="44" t="s">
        <v>446</v>
      </c>
      <c r="B199" s="48" t="n">
        <f aca="false">COUNTIFS(v_cliente,A199)</f>
        <v>3</v>
      </c>
      <c r="C199" s="46" t="n">
        <f aca="false">SUMIFS(v_valor,v_cliente,A199)</f>
        <v>697.98</v>
      </c>
      <c r="D199" s="45" t="n">
        <f aca="false">_xlfn.MAXIFS(v_data,v_cliente,A199)</f>
        <v>45648</v>
      </c>
      <c r="E199" s="48" t="n">
        <f aca="false">rfv_ref-D199</f>
        <v>10</v>
      </c>
      <c r="F199" s="49" t="n">
        <f aca="false">C199+ROW()/10000000</f>
        <v>697.9800199</v>
      </c>
      <c r="G199" s="48" t="n">
        <f aca="false">IF(E199&lt;=QUARTILE($E$2:$E$246,1),4,IF(E199&lt;=QUARTILE($E$2:$E$246,2),3,IF(E199&lt;=QUARTILE($E$2:$E$246,3),2,1)))</f>
        <v>4</v>
      </c>
      <c r="H199" s="48" t="n">
        <f aca="false">IF(B199&gt;QUARTILE($B$2:$B$246,3),4,IF(B199&gt;QUARTILE($B$2:$B$246,2),3,IF(B199&gt;QUARTILE($B$2:$B$246,1),2,1)))</f>
        <v>1</v>
      </c>
      <c r="I199" s="48" t="n">
        <f aca="false">IF(C199&gt;QUARTILE($C$2:$C$246,3),4,IF(C199&gt;QUARTILE($C$2:$C$246,2),3,IF(C199&gt;QUARTILE($C$2:$C$246,1),2,1)))</f>
        <v>4</v>
      </c>
      <c r="J199" s="48" t="n">
        <f aca="false">G199+H199+I199</f>
        <v>9</v>
      </c>
      <c r="K199" s="44" t="str">
        <f aca="false">IF(J199&gt;=rfv_campeoes,"Campeões",IF(J199&gt;=rfv_leais,"Leais",IF(J199&gt;=rfv_atencao,"Atenção","Em risco")))</f>
        <v>Leais</v>
      </c>
    </row>
    <row r="200" customFormat="false" ht="15" hidden="false" customHeight="false" outlineLevel="0" collapsed="false">
      <c r="A200" s="44" t="s">
        <v>497</v>
      </c>
      <c r="B200" s="48" t="n">
        <f aca="false">COUNTIFS(v_cliente,A200)</f>
        <v>5</v>
      </c>
      <c r="C200" s="46" t="n">
        <f aca="false">SUMIFS(v_valor,v_cliente,A200)</f>
        <v>198.45</v>
      </c>
      <c r="D200" s="45" t="n">
        <f aca="false">_xlfn.MAXIFS(v_data,v_cliente,A200)</f>
        <v>45629</v>
      </c>
      <c r="E200" s="48" t="n">
        <f aca="false">rfv_ref-D200</f>
        <v>29</v>
      </c>
      <c r="F200" s="49" t="n">
        <f aca="false">C200+ROW()/10000000</f>
        <v>198.45002</v>
      </c>
      <c r="G200" s="48" t="n">
        <f aca="false">IF(E200&lt;=QUARTILE($E$2:$E$246,1),4,IF(E200&lt;=QUARTILE($E$2:$E$246,2),3,IF(E200&lt;=QUARTILE($E$2:$E$246,3),2,1)))</f>
        <v>3</v>
      </c>
      <c r="H200" s="48" t="n">
        <f aca="false">IF(B200&gt;QUARTILE($B$2:$B$246,3),4,IF(B200&gt;QUARTILE($B$2:$B$246,2),3,IF(B200&gt;QUARTILE($B$2:$B$246,1),2,1)))</f>
        <v>3</v>
      </c>
      <c r="I200" s="48" t="n">
        <f aca="false">IF(C200&gt;QUARTILE($C$2:$C$246,3),4,IF(C200&gt;QUARTILE($C$2:$C$246,2),3,IF(C200&gt;QUARTILE($C$2:$C$246,1),2,1)))</f>
        <v>2</v>
      </c>
      <c r="J200" s="48" t="n">
        <f aca="false">G200+H200+I200</f>
        <v>8</v>
      </c>
      <c r="K200" s="44" t="str">
        <f aca="false">IF(J200&gt;=rfv_campeoes,"Campeões",IF(J200&gt;=rfv_leais,"Leais",IF(J200&gt;=rfv_atencao,"Atenção","Em risco")))</f>
        <v>Leais</v>
      </c>
    </row>
    <row r="201" customFormat="false" ht="15" hidden="false" customHeight="false" outlineLevel="0" collapsed="false">
      <c r="A201" s="44" t="s">
        <v>338</v>
      </c>
      <c r="B201" s="48" t="n">
        <f aca="false">COUNTIFS(v_cliente,A201)</f>
        <v>1</v>
      </c>
      <c r="C201" s="46" t="n">
        <f aca="false">SUMIFS(v_valor,v_cliente,A201)</f>
        <v>35.57</v>
      </c>
      <c r="D201" s="45" t="n">
        <f aca="false">_xlfn.MAXIFS(v_data,v_cliente,A201)</f>
        <v>45503</v>
      </c>
      <c r="E201" s="48" t="n">
        <f aca="false">rfv_ref-D201</f>
        <v>155</v>
      </c>
      <c r="F201" s="49" t="n">
        <f aca="false">C201+ROW()/10000000</f>
        <v>35.5700201</v>
      </c>
      <c r="G201" s="48" t="n">
        <f aca="false">IF(E201&lt;=QUARTILE($E$2:$E$246,1),4,IF(E201&lt;=QUARTILE($E$2:$E$246,2),3,IF(E201&lt;=QUARTILE($E$2:$E$246,3),2,1)))</f>
        <v>1</v>
      </c>
      <c r="H201" s="48" t="n">
        <f aca="false">IF(B201&gt;QUARTILE($B$2:$B$246,3),4,IF(B201&gt;QUARTILE($B$2:$B$246,2),3,IF(B201&gt;QUARTILE($B$2:$B$246,1),2,1)))</f>
        <v>1</v>
      </c>
      <c r="I201" s="48" t="n">
        <f aca="false">IF(C201&gt;QUARTILE($C$2:$C$246,3),4,IF(C201&gt;QUARTILE($C$2:$C$246,2),3,IF(C201&gt;QUARTILE($C$2:$C$246,1),2,1)))</f>
        <v>1</v>
      </c>
      <c r="J201" s="48" t="n">
        <f aca="false">G201+H201+I201</f>
        <v>3</v>
      </c>
      <c r="K201" s="44" t="str">
        <f aca="false">IF(J201&gt;=rfv_campeoes,"Campeões",IF(J201&gt;=rfv_leais,"Leais",IF(J201&gt;=rfv_atencao,"Atenção","Em risco")))</f>
        <v>Em risco</v>
      </c>
    </row>
    <row r="202" customFormat="false" ht="15" hidden="false" customHeight="false" outlineLevel="0" collapsed="false">
      <c r="A202" s="44" t="s">
        <v>513</v>
      </c>
      <c r="B202" s="48" t="n">
        <f aca="false">COUNTIFS(v_cliente,A202)</f>
        <v>6</v>
      </c>
      <c r="C202" s="46" t="n">
        <f aca="false">SUMIFS(v_valor,v_cliente,A202)</f>
        <v>1293.81</v>
      </c>
      <c r="D202" s="45" t="n">
        <f aca="false">_xlfn.MAXIFS(v_data,v_cliente,A202)</f>
        <v>45550</v>
      </c>
      <c r="E202" s="48" t="n">
        <f aca="false">rfv_ref-D202</f>
        <v>108</v>
      </c>
      <c r="F202" s="49" t="n">
        <f aca="false">C202+ROW()/10000000</f>
        <v>1293.8100202</v>
      </c>
      <c r="G202" s="48" t="n">
        <f aca="false">IF(E202&lt;=QUARTILE($E$2:$E$246,1),4,IF(E202&lt;=QUARTILE($E$2:$E$246,2),3,IF(E202&lt;=QUARTILE($E$2:$E$246,3),2,1)))</f>
        <v>2</v>
      </c>
      <c r="H202" s="48" t="n">
        <f aca="false">IF(B202&gt;QUARTILE($B$2:$B$246,3),4,IF(B202&gt;QUARTILE($B$2:$B$246,2),3,IF(B202&gt;QUARTILE($B$2:$B$246,1),2,1)))</f>
        <v>4</v>
      </c>
      <c r="I202" s="48" t="n">
        <f aca="false">IF(C202&gt;QUARTILE($C$2:$C$246,3),4,IF(C202&gt;QUARTILE($C$2:$C$246,2),3,IF(C202&gt;QUARTILE($C$2:$C$246,1),2,1)))</f>
        <v>4</v>
      </c>
      <c r="J202" s="48" t="n">
        <f aca="false">G202+H202+I202</f>
        <v>10</v>
      </c>
      <c r="K202" s="44" t="str">
        <f aca="false">IF(J202&gt;=rfv_campeoes,"Campeões",IF(J202&gt;=rfv_leais,"Leais",IF(J202&gt;=rfv_atencao,"Atenção","Em risco")))</f>
        <v>Campeões</v>
      </c>
    </row>
    <row r="203" customFormat="false" ht="15" hidden="false" customHeight="false" outlineLevel="0" collapsed="false">
      <c r="A203" s="44" t="s">
        <v>419</v>
      </c>
      <c r="B203" s="48" t="n">
        <f aca="false">COUNTIFS(v_cliente,A203)</f>
        <v>3</v>
      </c>
      <c r="C203" s="46" t="n">
        <f aca="false">SUMIFS(v_valor,v_cliente,A203)</f>
        <v>660.19</v>
      </c>
      <c r="D203" s="45" t="n">
        <f aca="false">_xlfn.MAXIFS(v_data,v_cliente,A203)</f>
        <v>45628</v>
      </c>
      <c r="E203" s="48" t="n">
        <f aca="false">rfv_ref-D203</f>
        <v>30</v>
      </c>
      <c r="F203" s="49" t="n">
        <f aca="false">C203+ROW()/10000000</f>
        <v>660.1900203</v>
      </c>
      <c r="G203" s="48" t="n">
        <f aca="false">IF(E203&lt;=QUARTILE($E$2:$E$246,1),4,IF(E203&lt;=QUARTILE($E$2:$E$246,2),3,IF(E203&lt;=QUARTILE($E$2:$E$246,3),2,1)))</f>
        <v>3</v>
      </c>
      <c r="H203" s="48" t="n">
        <f aca="false">IF(B203&gt;QUARTILE($B$2:$B$246,3),4,IF(B203&gt;QUARTILE($B$2:$B$246,2),3,IF(B203&gt;QUARTILE($B$2:$B$246,1),2,1)))</f>
        <v>1</v>
      </c>
      <c r="I203" s="48" t="n">
        <f aca="false">IF(C203&gt;QUARTILE($C$2:$C$246,3),4,IF(C203&gt;QUARTILE($C$2:$C$246,2),3,IF(C203&gt;QUARTILE($C$2:$C$246,1),2,1)))</f>
        <v>4</v>
      </c>
      <c r="J203" s="48" t="n">
        <f aca="false">G203+H203+I203</f>
        <v>8</v>
      </c>
      <c r="K203" s="44" t="str">
        <f aca="false">IF(J203&gt;=rfv_campeoes,"Campeões",IF(J203&gt;=rfv_leais,"Leais",IF(J203&gt;=rfv_atencao,"Atenção","Em risco")))</f>
        <v>Leais</v>
      </c>
    </row>
    <row r="204" customFormat="false" ht="15" hidden="false" customHeight="false" outlineLevel="0" collapsed="false">
      <c r="A204" s="44" t="s">
        <v>403</v>
      </c>
      <c r="B204" s="48" t="n">
        <f aca="false">COUNTIFS(v_cliente,A204)</f>
        <v>3</v>
      </c>
      <c r="C204" s="46" t="n">
        <f aca="false">SUMIFS(v_valor,v_cliente,A204)</f>
        <v>206.96</v>
      </c>
      <c r="D204" s="45" t="n">
        <f aca="false">_xlfn.MAXIFS(v_data,v_cliente,A204)</f>
        <v>45649</v>
      </c>
      <c r="E204" s="48" t="n">
        <f aca="false">rfv_ref-D204</f>
        <v>9</v>
      </c>
      <c r="F204" s="49" t="n">
        <f aca="false">C204+ROW()/10000000</f>
        <v>206.9600204</v>
      </c>
      <c r="G204" s="48" t="n">
        <f aca="false">IF(E204&lt;=QUARTILE($E$2:$E$246,1),4,IF(E204&lt;=QUARTILE($E$2:$E$246,2),3,IF(E204&lt;=QUARTILE($E$2:$E$246,3),2,1)))</f>
        <v>4</v>
      </c>
      <c r="H204" s="48" t="n">
        <f aca="false">IF(B204&gt;QUARTILE($B$2:$B$246,3),4,IF(B204&gt;QUARTILE($B$2:$B$246,2),3,IF(B204&gt;QUARTILE($B$2:$B$246,1),2,1)))</f>
        <v>1</v>
      </c>
      <c r="I204" s="48" t="n">
        <f aca="false">IF(C204&gt;QUARTILE($C$2:$C$246,3),4,IF(C204&gt;QUARTILE($C$2:$C$246,2),3,IF(C204&gt;QUARTILE($C$2:$C$246,1),2,1)))</f>
        <v>2</v>
      </c>
      <c r="J204" s="48" t="n">
        <f aca="false">G204+H204+I204</f>
        <v>7</v>
      </c>
      <c r="K204" s="44" t="str">
        <f aca="false">IF(J204&gt;=rfv_campeoes,"Campeões",IF(J204&gt;=rfv_leais,"Leais",IF(J204&gt;=rfv_atencao,"Atenção","Em risco")))</f>
        <v>Leais</v>
      </c>
    </row>
    <row r="205" customFormat="false" ht="15" hidden="false" customHeight="false" outlineLevel="0" collapsed="false">
      <c r="A205" s="44" t="s">
        <v>438</v>
      </c>
      <c r="B205" s="48" t="n">
        <f aca="false">COUNTIFS(v_cliente,A205)</f>
        <v>3</v>
      </c>
      <c r="C205" s="46" t="n">
        <f aca="false">SUMIFS(v_valor,v_cliente,A205)</f>
        <v>282.75</v>
      </c>
      <c r="D205" s="45" t="n">
        <f aca="false">_xlfn.MAXIFS(v_data,v_cliente,A205)</f>
        <v>45589</v>
      </c>
      <c r="E205" s="48" t="n">
        <f aca="false">rfv_ref-D205</f>
        <v>69</v>
      </c>
      <c r="F205" s="49" t="n">
        <f aca="false">C205+ROW()/10000000</f>
        <v>282.7500205</v>
      </c>
      <c r="G205" s="48" t="n">
        <f aca="false">IF(E205&lt;=QUARTILE($E$2:$E$246,1),4,IF(E205&lt;=QUARTILE($E$2:$E$246,2),3,IF(E205&lt;=QUARTILE($E$2:$E$246,3),2,1)))</f>
        <v>2</v>
      </c>
      <c r="H205" s="48" t="n">
        <f aca="false">IF(B205&gt;QUARTILE($B$2:$B$246,3),4,IF(B205&gt;QUARTILE($B$2:$B$246,2),3,IF(B205&gt;QUARTILE($B$2:$B$246,1),2,1)))</f>
        <v>1</v>
      </c>
      <c r="I205" s="48" t="n">
        <f aca="false">IF(C205&gt;QUARTILE($C$2:$C$246,3),4,IF(C205&gt;QUARTILE($C$2:$C$246,2),3,IF(C205&gt;QUARTILE($C$2:$C$246,1),2,1)))</f>
        <v>2</v>
      </c>
      <c r="J205" s="48" t="n">
        <f aca="false">G205+H205+I205</f>
        <v>5</v>
      </c>
      <c r="K205" s="44" t="str">
        <f aca="false">IF(J205&gt;=rfv_campeoes,"Campeões",IF(J205&gt;=rfv_leais,"Leais",IF(J205&gt;=rfv_atencao,"Atenção","Em risco")))</f>
        <v>Atenção</v>
      </c>
    </row>
    <row r="206" customFormat="false" ht="15" hidden="false" customHeight="false" outlineLevel="0" collapsed="false">
      <c r="A206" s="44" t="s">
        <v>372</v>
      </c>
      <c r="B206" s="48" t="n">
        <f aca="false">COUNTIFS(v_cliente,A206)</f>
        <v>5</v>
      </c>
      <c r="C206" s="46" t="n">
        <f aca="false">SUMIFS(v_valor,v_cliente,A206)</f>
        <v>215.69</v>
      </c>
      <c r="D206" s="45" t="n">
        <f aca="false">_xlfn.MAXIFS(v_data,v_cliente,A206)</f>
        <v>45646</v>
      </c>
      <c r="E206" s="48" t="n">
        <f aca="false">rfv_ref-D206</f>
        <v>12</v>
      </c>
      <c r="F206" s="49" t="n">
        <f aca="false">C206+ROW()/10000000</f>
        <v>215.6900206</v>
      </c>
      <c r="G206" s="48" t="n">
        <f aca="false">IF(E206&lt;=QUARTILE($E$2:$E$246,1),4,IF(E206&lt;=QUARTILE($E$2:$E$246,2),3,IF(E206&lt;=QUARTILE($E$2:$E$246,3),2,1)))</f>
        <v>4</v>
      </c>
      <c r="H206" s="48" t="n">
        <f aca="false">IF(B206&gt;QUARTILE($B$2:$B$246,3),4,IF(B206&gt;QUARTILE($B$2:$B$246,2),3,IF(B206&gt;QUARTILE($B$2:$B$246,1),2,1)))</f>
        <v>3</v>
      </c>
      <c r="I206" s="48" t="n">
        <f aca="false">IF(C206&gt;QUARTILE($C$2:$C$246,3),4,IF(C206&gt;QUARTILE($C$2:$C$246,2),3,IF(C206&gt;QUARTILE($C$2:$C$246,1),2,1)))</f>
        <v>2</v>
      </c>
      <c r="J206" s="48" t="n">
        <f aca="false">G206+H206+I206</f>
        <v>9</v>
      </c>
      <c r="K206" s="44" t="str">
        <f aca="false">IF(J206&gt;=rfv_campeoes,"Campeões",IF(J206&gt;=rfv_leais,"Leais",IF(J206&gt;=rfv_atencao,"Atenção","Em risco")))</f>
        <v>Leais</v>
      </c>
    </row>
    <row r="207" customFormat="false" ht="15" hidden="false" customHeight="false" outlineLevel="0" collapsed="false">
      <c r="A207" s="44" t="s">
        <v>352</v>
      </c>
      <c r="B207" s="48" t="n">
        <f aca="false">COUNTIFS(v_cliente,A207)</f>
        <v>3</v>
      </c>
      <c r="C207" s="46" t="n">
        <f aca="false">SUMIFS(v_valor,v_cliente,A207)</f>
        <v>56.45</v>
      </c>
      <c r="D207" s="45" t="n">
        <f aca="false">_xlfn.MAXIFS(v_data,v_cliente,A207)</f>
        <v>45628</v>
      </c>
      <c r="E207" s="48" t="n">
        <f aca="false">rfv_ref-D207</f>
        <v>30</v>
      </c>
      <c r="F207" s="49" t="n">
        <f aca="false">C207+ROW()/10000000</f>
        <v>56.4500207</v>
      </c>
      <c r="G207" s="48" t="n">
        <f aca="false">IF(E207&lt;=QUARTILE($E$2:$E$246,1),4,IF(E207&lt;=QUARTILE($E$2:$E$246,2),3,IF(E207&lt;=QUARTILE($E$2:$E$246,3),2,1)))</f>
        <v>3</v>
      </c>
      <c r="H207" s="48" t="n">
        <f aca="false">IF(B207&gt;QUARTILE($B$2:$B$246,3),4,IF(B207&gt;QUARTILE($B$2:$B$246,2),3,IF(B207&gt;QUARTILE($B$2:$B$246,1),2,1)))</f>
        <v>1</v>
      </c>
      <c r="I207" s="48" t="n">
        <f aca="false">IF(C207&gt;QUARTILE($C$2:$C$246,3),4,IF(C207&gt;QUARTILE($C$2:$C$246,2),3,IF(C207&gt;QUARTILE($C$2:$C$246,1),2,1)))</f>
        <v>1</v>
      </c>
      <c r="J207" s="48" t="n">
        <f aca="false">G207+H207+I207</f>
        <v>5</v>
      </c>
      <c r="K207" s="44" t="str">
        <f aca="false">IF(J207&gt;=rfv_campeoes,"Campeões",IF(J207&gt;=rfv_leais,"Leais",IF(J207&gt;=rfv_atencao,"Atenção","Em risco")))</f>
        <v>Atenção</v>
      </c>
    </row>
    <row r="208" customFormat="false" ht="15" hidden="false" customHeight="false" outlineLevel="0" collapsed="false">
      <c r="A208" s="44" t="s">
        <v>488</v>
      </c>
      <c r="B208" s="48" t="n">
        <f aca="false">COUNTIFS(v_cliente,A208)</f>
        <v>4</v>
      </c>
      <c r="C208" s="46" t="n">
        <f aca="false">SUMIFS(v_valor,v_cliente,A208)</f>
        <v>298.56</v>
      </c>
      <c r="D208" s="45" t="n">
        <f aca="false">_xlfn.MAXIFS(v_data,v_cliente,A208)</f>
        <v>45590</v>
      </c>
      <c r="E208" s="48" t="n">
        <f aca="false">rfv_ref-D208</f>
        <v>68</v>
      </c>
      <c r="F208" s="49" t="n">
        <f aca="false">C208+ROW()/10000000</f>
        <v>298.5600208</v>
      </c>
      <c r="G208" s="48" t="n">
        <f aca="false">IF(E208&lt;=QUARTILE($E$2:$E$246,1),4,IF(E208&lt;=QUARTILE($E$2:$E$246,2),3,IF(E208&lt;=QUARTILE($E$2:$E$246,3),2,1)))</f>
        <v>2</v>
      </c>
      <c r="H208" s="48" t="n">
        <f aca="false">IF(B208&gt;QUARTILE($B$2:$B$246,3),4,IF(B208&gt;QUARTILE($B$2:$B$246,2),3,IF(B208&gt;QUARTILE($B$2:$B$246,1),2,1)))</f>
        <v>2</v>
      </c>
      <c r="I208" s="48" t="n">
        <f aca="false">IF(C208&gt;QUARTILE($C$2:$C$246,3),4,IF(C208&gt;QUARTILE($C$2:$C$246,2),3,IF(C208&gt;QUARTILE($C$2:$C$246,1),2,1)))</f>
        <v>2</v>
      </c>
      <c r="J208" s="48" t="n">
        <f aca="false">G208+H208+I208</f>
        <v>6</v>
      </c>
      <c r="K208" s="44" t="str">
        <f aca="false">IF(J208&gt;=rfv_campeoes,"Campeões",IF(J208&gt;=rfv_leais,"Leais",IF(J208&gt;=rfv_atencao,"Atenção","Em risco")))</f>
        <v>Atenção</v>
      </c>
    </row>
    <row r="209" customFormat="false" ht="15" hidden="false" customHeight="false" outlineLevel="0" collapsed="false">
      <c r="A209" s="44" t="s">
        <v>326</v>
      </c>
      <c r="B209" s="48" t="n">
        <f aca="false">COUNTIFS(v_cliente,A209)</f>
        <v>6</v>
      </c>
      <c r="C209" s="46" t="n">
        <f aca="false">SUMIFS(v_valor,v_cliente,A209)</f>
        <v>625.44</v>
      </c>
      <c r="D209" s="45" t="n">
        <f aca="false">_xlfn.MAXIFS(v_data,v_cliente,A209)</f>
        <v>45552</v>
      </c>
      <c r="E209" s="48" t="n">
        <f aca="false">rfv_ref-D209</f>
        <v>106</v>
      </c>
      <c r="F209" s="49" t="n">
        <f aca="false">C209+ROW()/10000000</f>
        <v>625.4400209</v>
      </c>
      <c r="G209" s="48" t="n">
        <f aca="false">IF(E209&lt;=QUARTILE($E$2:$E$246,1),4,IF(E209&lt;=QUARTILE($E$2:$E$246,2),3,IF(E209&lt;=QUARTILE($E$2:$E$246,3),2,1)))</f>
        <v>2</v>
      </c>
      <c r="H209" s="48" t="n">
        <f aca="false">IF(B209&gt;QUARTILE($B$2:$B$246,3),4,IF(B209&gt;QUARTILE($B$2:$B$246,2),3,IF(B209&gt;QUARTILE($B$2:$B$246,1),2,1)))</f>
        <v>4</v>
      </c>
      <c r="I209" s="48" t="n">
        <f aca="false">IF(C209&gt;QUARTILE($C$2:$C$246,3),4,IF(C209&gt;QUARTILE($C$2:$C$246,2),3,IF(C209&gt;QUARTILE($C$2:$C$246,1),2,1)))</f>
        <v>3</v>
      </c>
      <c r="J209" s="48" t="n">
        <f aca="false">G209+H209+I209</f>
        <v>9</v>
      </c>
      <c r="K209" s="44" t="str">
        <f aca="false">IF(J209&gt;=rfv_campeoes,"Campeões",IF(J209&gt;=rfv_leais,"Leais",IF(J209&gt;=rfv_atencao,"Atenção","Em risco")))</f>
        <v>Leais</v>
      </c>
    </row>
    <row r="210" customFormat="false" ht="15" hidden="false" customHeight="false" outlineLevel="0" collapsed="false">
      <c r="A210" s="44" t="s">
        <v>562</v>
      </c>
      <c r="B210" s="48" t="n">
        <f aca="false">COUNTIFS(v_cliente,A210)</f>
        <v>1</v>
      </c>
      <c r="C210" s="46" t="n">
        <f aca="false">SUMIFS(v_valor,v_cliente,A210)</f>
        <v>113.9</v>
      </c>
      <c r="D210" s="45" t="n">
        <f aca="false">_xlfn.MAXIFS(v_data,v_cliente,A210)</f>
        <v>45329</v>
      </c>
      <c r="E210" s="48" t="n">
        <f aca="false">rfv_ref-D210</f>
        <v>329</v>
      </c>
      <c r="F210" s="49" t="n">
        <f aca="false">C210+ROW()/10000000</f>
        <v>113.900021</v>
      </c>
      <c r="G210" s="48" t="n">
        <f aca="false">IF(E210&lt;=QUARTILE($E$2:$E$246,1),4,IF(E210&lt;=QUARTILE($E$2:$E$246,2),3,IF(E210&lt;=QUARTILE($E$2:$E$246,3),2,1)))</f>
        <v>1</v>
      </c>
      <c r="H210" s="48" t="n">
        <f aca="false">IF(B210&gt;QUARTILE($B$2:$B$246,3),4,IF(B210&gt;QUARTILE($B$2:$B$246,2),3,IF(B210&gt;QUARTILE($B$2:$B$246,1),2,1)))</f>
        <v>1</v>
      </c>
      <c r="I210" s="48" t="n">
        <f aca="false">IF(C210&gt;QUARTILE($C$2:$C$246,3),4,IF(C210&gt;QUARTILE($C$2:$C$246,2),3,IF(C210&gt;QUARTILE($C$2:$C$246,1),2,1)))</f>
        <v>1</v>
      </c>
      <c r="J210" s="48" t="n">
        <f aca="false">G210+H210+I210</f>
        <v>3</v>
      </c>
      <c r="K210" s="44" t="str">
        <f aca="false">IF(J210&gt;=rfv_campeoes,"Campeões",IF(J210&gt;=rfv_leais,"Leais",IF(J210&gt;=rfv_atencao,"Atenção","Em risco")))</f>
        <v>Em risco</v>
      </c>
    </row>
    <row r="211" customFormat="false" ht="15" hidden="false" customHeight="false" outlineLevel="0" collapsed="false">
      <c r="A211" s="44" t="s">
        <v>466</v>
      </c>
      <c r="B211" s="48" t="n">
        <f aca="false">COUNTIFS(v_cliente,A211)</f>
        <v>4</v>
      </c>
      <c r="C211" s="46" t="n">
        <f aca="false">SUMIFS(v_valor,v_cliente,A211)</f>
        <v>341.34</v>
      </c>
      <c r="D211" s="45" t="n">
        <f aca="false">_xlfn.MAXIFS(v_data,v_cliente,A211)</f>
        <v>45422</v>
      </c>
      <c r="E211" s="48" t="n">
        <f aca="false">rfv_ref-D211</f>
        <v>236</v>
      </c>
      <c r="F211" s="49" t="n">
        <f aca="false">C211+ROW()/10000000</f>
        <v>341.3400211</v>
      </c>
      <c r="G211" s="48" t="n">
        <f aca="false">IF(E211&lt;=QUARTILE($E$2:$E$246,1),4,IF(E211&lt;=QUARTILE($E$2:$E$246,2),3,IF(E211&lt;=QUARTILE($E$2:$E$246,3),2,1)))</f>
        <v>1</v>
      </c>
      <c r="H211" s="48" t="n">
        <f aca="false">IF(B211&gt;QUARTILE($B$2:$B$246,3),4,IF(B211&gt;QUARTILE($B$2:$B$246,2),3,IF(B211&gt;QUARTILE($B$2:$B$246,1),2,1)))</f>
        <v>2</v>
      </c>
      <c r="I211" s="48" t="n">
        <f aca="false">IF(C211&gt;QUARTILE($C$2:$C$246,3),4,IF(C211&gt;QUARTILE($C$2:$C$246,2),3,IF(C211&gt;QUARTILE($C$2:$C$246,1),2,1)))</f>
        <v>2</v>
      </c>
      <c r="J211" s="48" t="n">
        <f aca="false">G211+H211+I211</f>
        <v>5</v>
      </c>
      <c r="K211" s="44" t="str">
        <f aca="false">IF(J211&gt;=rfv_campeoes,"Campeões",IF(J211&gt;=rfv_leais,"Leais",IF(J211&gt;=rfv_atencao,"Atenção","Em risco")))</f>
        <v>Atenção</v>
      </c>
    </row>
    <row r="212" customFormat="false" ht="15" hidden="false" customHeight="false" outlineLevel="0" collapsed="false">
      <c r="A212" s="44" t="s">
        <v>427</v>
      </c>
      <c r="B212" s="48" t="n">
        <f aca="false">COUNTIFS(v_cliente,A212)</f>
        <v>2</v>
      </c>
      <c r="C212" s="46" t="n">
        <f aca="false">SUMIFS(v_valor,v_cliente,A212)</f>
        <v>1457.49</v>
      </c>
      <c r="D212" s="45" t="n">
        <f aca="false">_xlfn.MAXIFS(v_data,v_cliente,A212)</f>
        <v>45560</v>
      </c>
      <c r="E212" s="48" t="n">
        <f aca="false">rfv_ref-D212</f>
        <v>98</v>
      </c>
      <c r="F212" s="49" t="n">
        <f aca="false">C212+ROW()/10000000</f>
        <v>1457.4900212</v>
      </c>
      <c r="G212" s="48" t="n">
        <f aca="false">IF(E212&lt;=QUARTILE($E$2:$E$246,1),4,IF(E212&lt;=QUARTILE($E$2:$E$246,2),3,IF(E212&lt;=QUARTILE($E$2:$E$246,3),2,1)))</f>
        <v>2</v>
      </c>
      <c r="H212" s="48" t="n">
        <f aca="false">IF(B212&gt;QUARTILE($B$2:$B$246,3),4,IF(B212&gt;QUARTILE($B$2:$B$246,2),3,IF(B212&gt;QUARTILE($B$2:$B$246,1),2,1)))</f>
        <v>1</v>
      </c>
      <c r="I212" s="48" t="n">
        <f aca="false">IF(C212&gt;QUARTILE($C$2:$C$246,3),4,IF(C212&gt;QUARTILE($C$2:$C$246,2),3,IF(C212&gt;QUARTILE($C$2:$C$246,1),2,1)))</f>
        <v>4</v>
      </c>
      <c r="J212" s="48" t="n">
        <f aca="false">G212+H212+I212</f>
        <v>7</v>
      </c>
      <c r="K212" s="44" t="str">
        <f aca="false">IF(J212&gt;=rfv_campeoes,"Campeões",IF(J212&gt;=rfv_leais,"Leais",IF(J212&gt;=rfv_atencao,"Atenção","Em risco")))</f>
        <v>Leais</v>
      </c>
    </row>
    <row r="213" customFormat="false" ht="15" hidden="false" customHeight="false" outlineLevel="0" collapsed="false">
      <c r="A213" s="44" t="s">
        <v>340</v>
      </c>
      <c r="B213" s="48" t="n">
        <f aca="false">COUNTIFS(v_cliente,A213)</f>
        <v>4</v>
      </c>
      <c r="C213" s="46" t="n">
        <f aca="false">SUMIFS(v_valor,v_cliente,A213)</f>
        <v>734.68</v>
      </c>
      <c r="D213" s="45" t="n">
        <f aca="false">_xlfn.MAXIFS(v_data,v_cliente,A213)</f>
        <v>45587</v>
      </c>
      <c r="E213" s="48" t="n">
        <f aca="false">rfv_ref-D213</f>
        <v>71</v>
      </c>
      <c r="F213" s="49" t="n">
        <f aca="false">C213+ROW()/10000000</f>
        <v>734.6800213</v>
      </c>
      <c r="G213" s="48" t="n">
        <f aca="false">IF(E213&lt;=QUARTILE($E$2:$E$246,1),4,IF(E213&lt;=QUARTILE($E$2:$E$246,2),3,IF(E213&lt;=QUARTILE($E$2:$E$246,3),2,1)))</f>
        <v>2</v>
      </c>
      <c r="H213" s="48" t="n">
        <f aca="false">IF(B213&gt;QUARTILE($B$2:$B$246,3),4,IF(B213&gt;QUARTILE($B$2:$B$246,2),3,IF(B213&gt;QUARTILE($B$2:$B$246,1),2,1)))</f>
        <v>2</v>
      </c>
      <c r="I213" s="48" t="n">
        <f aca="false">IF(C213&gt;QUARTILE($C$2:$C$246,3),4,IF(C213&gt;QUARTILE($C$2:$C$246,2),3,IF(C213&gt;QUARTILE($C$2:$C$246,1),2,1)))</f>
        <v>4</v>
      </c>
      <c r="J213" s="48" t="n">
        <f aca="false">G213+H213+I213</f>
        <v>8</v>
      </c>
      <c r="K213" s="44" t="str">
        <f aca="false">IF(J213&gt;=rfv_campeoes,"Campeões",IF(J213&gt;=rfv_leais,"Leais",IF(J213&gt;=rfv_atencao,"Atenção","Em risco")))</f>
        <v>Leais</v>
      </c>
    </row>
    <row r="214" customFormat="false" ht="15" hidden="false" customHeight="false" outlineLevel="0" collapsed="false">
      <c r="A214" s="44" t="s">
        <v>331</v>
      </c>
      <c r="B214" s="48" t="n">
        <f aca="false">COUNTIFS(v_cliente,A214)</f>
        <v>4</v>
      </c>
      <c r="C214" s="46" t="n">
        <f aca="false">SUMIFS(v_valor,v_cliente,A214)</f>
        <v>832.6</v>
      </c>
      <c r="D214" s="45" t="n">
        <f aca="false">_xlfn.MAXIFS(v_data,v_cliente,A214)</f>
        <v>45574</v>
      </c>
      <c r="E214" s="48" t="n">
        <f aca="false">rfv_ref-D214</f>
        <v>84</v>
      </c>
      <c r="F214" s="49" t="n">
        <f aca="false">C214+ROW()/10000000</f>
        <v>832.6000214</v>
      </c>
      <c r="G214" s="48" t="n">
        <f aca="false">IF(E214&lt;=QUARTILE($E$2:$E$246,1),4,IF(E214&lt;=QUARTILE($E$2:$E$246,2),3,IF(E214&lt;=QUARTILE($E$2:$E$246,3),2,1)))</f>
        <v>2</v>
      </c>
      <c r="H214" s="48" t="n">
        <f aca="false">IF(B214&gt;QUARTILE($B$2:$B$246,3),4,IF(B214&gt;QUARTILE($B$2:$B$246,2),3,IF(B214&gt;QUARTILE($B$2:$B$246,1),2,1)))</f>
        <v>2</v>
      </c>
      <c r="I214" s="48" t="n">
        <f aca="false">IF(C214&gt;QUARTILE($C$2:$C$246,3),4,IF(C214&gt;QUARTILE($C$2:$C$246,2),3,IF(C214&gt;QUARTILE($C$2:$C$246,1),2,1)))</f>
        <v>4</v>
      </c>
      <c r="J214" s="48" t="n">
        <f aca="false">G214+H214+I214</f>
        <v>8</v>
      </c>
      <c r="K214" s="44" t="str">
        <f aca="false">IF(J214&gt;=rfv_campeoes,"Campeões",IF(J214&gt;=rfv_leais,"Leais",IF(J214&gt;=rfv_atencao,"Atenção","Em risco")))</f>
        <v>Leais</v>
      </c>
    </row>
    <row r="215" customFormat="false" ht="15" hidden="false" customHeight="false" outlineLevel="0" collapsed="false">
      <c r="A215" s="44" t="s">
        <v>492</v>
      </c>
      <c r="B215" s="48" t="n">
        <f aca="false">COUNTIFS(v_cliente,A215)</f>
        <v>2</v>
      </c>
      <c r="C215" s="46" t="n">
        <f aca="false">SUMIFS(v_valor,v_cliente,A215)</f>
        <v>187.48</v>
      </c>
      <c r="D215" s="45" t="n">
        <f aca="false">_xlfn.MAXIFS(v_data,v_cliente,A215)</f>
        <v>45383</v>
      </c>
      <c r="E215" s="48" t="n">
        <f aca="false">rfv_ref-D215</f>
        <v>275</v>
      </c>
      <c r="F215" s="49" t="n">
        <f aca="false">C215+ROW()/10000000</f>
        <v>187.4800215</v>
      </c>
      <c r="G215" s="48" t="n">
        <f aca="false">IF(E215&lt;=QUARTILE($E$2:$E$246,1),4,IF(E215&lt;=QUARTILE($E$2:$E$246,2),3,IF(E215&lt;=QUARTILE($E$2:$E$246,3),2,1)))</f>
        <v>1</v>
      </c>
      <c r="H215" s="48" t="n">
        <f aca="false">IF(B215&gt;QUARTILE($B$2:$B$246,3),4,IF(B215&gt;QUARTILE($B$2:$B$246,2),3,IF(B215&gt;QUARTILE($B$2:$B$246,1),2,1)))</f>
        <v>1</v>
      </c>
      <c r="I215" s="48" t="n">
        <f aca="false">IF(C215&gt;QUARTILE($C$2:$C$246,3),4,IF(C215&gt;QUARTILE($C$2:$C$246,2),3,IF(C215&gt;QUARTILE($C$2:$C$246,1),2,1)))</f>
        <v>2</v>
      </c>
      <c r="J215" s="48" t="n">
        <f aca="false">G215+H215+I215</f>
        <v>4</v>
      </c>
      <c r="K215" s="44" t="str">
        <f aca="false">IF(J215&gt;=rfv_campeoes,"Campeões",IF(J215&gt;=rfv_leais,"Leais",IF(J215&gt;=rfv_atencao,"Atenção","Em risco")))</f>
        <v>Em risco</v>
      </c>
    </row>
    <row r="216" customFormat="false" ht="15" hidden="false" customHeight="false" outlineLevel="0" collapsed="false">
      <c r="A216" s="44" t="s">
        <v>525</v>
      </c>
      <c r="B216" s="48" t="n">
        <f aca="false">COUNTIFS(v_cliente,A216)</f>
        <v>5</v>
      </c>
      <c r="C216" s="46" t="n">
        <f aca="false">SUMIFS(v_valor,v_cliente,A216)</f>
        <v>234.86</v>
      </c>
      <c r="D216" s="45" t="n">
        <f aca="false">_xlfn.MAXIFS(v_data,v_cliente,A216)</f>
        <v>45589</v>
      </c>
      <c r="E216" s="48" t="n">
        <f aca="false">rfv_ref-D216</f>
        <v>69</v>
      </c>
      <c r="F216" s="49" t="n">
        <f aca="false">C216+ROW()/10000000</f>
        <v>234.8600216</v>
      </c>
      <c r="G216" s="48" t="n">
        <f aca="false">IF(E216&lt;=QUARTILE($E$2:$E$246,1),4,IF(E216&lt;=QUARTILE($E$2:$E$246,2),3,IF(E216&lt;=QUARTILE($E$2:$E$246,3),2,1)))</f>
        <v>2</v>
      </c>
      <c r="H216" s="48" t="n">
        <f aca="false">IF(B216&gt;QUARTILE($B$2:$B$246,3),4,IF(B216&gt;QUARTILE($B$2:$B$246,2),3,IF(B216&gt;QUARTILE($B$2:$B$246,1),2,1)))</f>
        <v>3</v>
      </c>
      <c r="I216" s="48" t="n">
        <f aca="false">IF(C216&gt;QUARTILE($C$2:$C$246,3),4,IF(C216&gt;QUARTILE($C$2:$C$246,2),3,IF(C216&gt;QUARTILE($C$2:$C$246,1),2,1)))</f>
        <v>2</v>
      </c>
      <c r="J216" s="48" t="n">
        <f aca="false">G216+H216+I216</f>
        <v>7</v>
      </c>
      <c r="K216" s="44" t="str">
        <f aca="false">IF(J216&gt;=rfv_campeoes,"Campeões",IF(J216&gt;=rfv_leais,"Leais",IF(J216&gt;=rfv_atencao,"Atenção","Em risco")))</f>
        <v>Leais</v>
      </c>
    </row>
    <row r="217" customFormat="false" ht="15" hidden="false" customHeight="false" outlineLevel="0" collapsed="false">
      <c r="A217" s="44" t="s">
        <v>433</v>
      </c>
      <c r="B217" s="48" t="n">
        <f aca="false">COUNTIFS(v_cliente,A217)</f>
        <v>5</v>
      </c>
      <c r="C217" s="46" t="n">
        <f aca="false">SUMIFS(v_valor,v_cliente,A217)</f>
        <v>663.97</v>
      </c>
      <c r="D217" s="45" t="n">
        <f aca="false">_xlfn.MAXIFS(v_data,v_cliente,A217)</f>
        <v>45652</v>
      </c>
      <c r="E217" s="48" t="n">
        <f aca="false">rfv_ref-D217</f>
        <v>6</v>
      </c>
      <c r="F217" s="49" t="n">
        <f aca="false">C217+ROW()/10000000</f>
        <v>663.9700217</v>
      </c>
      <c r="G217" s="48" t="n">
        <f aca="false">IF(E217&lt;=QUARTILE($E$2:$E$246,1),4,IF(E217&lt;=QUARTILE($E$2:$E$246,2),3,IF(E217&lt;=QUARTILE($E$2:$E$246,3),2,1)))</f>
        <v>4</v>
      </c>
      <c r="H217" s="48" t="n">
        <f aca="false">IF(B217&gt;QUARTILE($B$2:$B$246,3),4,IF(B217&gt;QUARTILE($B$2:$B$246,2),3,IF(B217&gt;QUARTILE($B$2:$B$246,1),2,1)))</f>
        <v>3</v>
      </c>
      <c r="I217" s="48" t="n">
        <f aca="false">IF(C217&gt;QUARTILE($C$2:$C$246,3),4,IF(C217&gt;QUARTILE($C$2:$C$246,2),3,IF(C217&gt;QUARTILE($C$2:$C$246,1),2,1)))</f>
        <v>4</v>
      </c>
      <c r="J217" s="48" t="n">
        <f aca="false">G217+H217+I217</f>
        <v>11</v>
      </c>
      <c r="K217" s="44" t="str">
        <f aca="false">IF(J217&gt;=rfv_campeoes,"Campeões",IF(J217&gt;=rfv_leais,"Leais",IF(J217&gt;=rfv_atencao,"Atenção","Em risco")))</f>
        <v>Campeões</v>
      </c>
    </row>
    <row r="218" customFormat="false" ht="15" hidden="false" customHeight="false" outlineLevel="0" collapsed="false">
      <c r="A218" s="44" t="s">
        <v>542</v>
      </c>
      <c r="B218" s="48" t="n">
        <f aca="false">COUNTIFS(v_cliente,A218)</f>
        <v>2</v>
      </c>
      <c r="C218" s="46" t="n">
        <f aca="false">SUMIFS(v_valor,v_cliente,A218)</f>
        <v>101.49</v>
      </c>
      <c r="D218" s="45" t="n">
        <f aca="false">_xlfn.MAXIFS(v_data,v_cliente,A218)</f>
        <v>45524</v>
      </c>
      <c r="E218" s="48" t="n">
        <f aca="false">rfv_ref-D218</f>
        <v>134</v>
      </c>
      <c r="F218" s="49" t="n">
        <f aca="false">C218+ROW()/10000000</f>
        <v>101.4900218</v>
      </c>
      <c r="G218" s="48" t="n">
        <f aca="false">IF(E218&lt;=QUARTILE($E$2:$E$246,1),4,IF(E218&lt;=QUARTILE($E$2:$E$246,2),3,IF(E218&lt;=QUARTILE($E$2:$E$246,3),2,1)))</f>
        <v>1</v>
      </c>
      <c r="H218" s="48" t="n">
        <f aca="false">IF(B218&gt;QUARTILE($B$2:$B$246,3),4,IF(B218&gt;QUARTILE($B$2:$B$246,2),3,IF(B218&gt;QUARTILE($B$2:$B$246,1),2,1)))</f>
        <v>1</v>
      </c>
      <c r="I218" s="48" t="n">
        <f aca="false">IF(C218&gt;QUARTILE($C$2:$C$246,3),4,IF(C218&gt;QUARTILE($C$2:$C$246,2),3,IF(C218&gt;QUARTILE($C$2:$C$246,1),2,1)))</f>
        <v>1</v>
      </c>
      <c r="J218" s="48" t="n">
        <f aca="false">G218+H218+I218</f>
        <v>3</v>
      </c>
      <c r="K218" s="44" t="str">
        <f aca="false">IF(J218&gt;=rfv_campeoes,"Campeões",IF(J218&gt;=rfv_leais,"Leais",IF(J218&gt;=rfv_atencao,"Atenção","Em risco")))</f>
        <v>Em risco</v>
      </c>
    </row>
    <row r="219" customFormat="false" ht="15" hidden="false" customHeight="false" outlineLevel="0" collapsed="false">
      <c r="A219" s="44" t="s">
        <v>536</v>
      </c>
      <c r="B219" s="48" t="n">
        <f aca="false">COUNTIFS(v_cliente,A219)</f>
        <v>1</v>
      </c>
      <c r="C219" s="46" t="n">
        <f aca="false">SUMIFS(v_valor,v_cliente,A219)</f>
        <v>19.09</v>
      </c>
      <c r="D219" s="45" t="n">
        <f aca="false">_xlfn.MAXIFS(v_data,v_cliente,A219)</f>
        <v>45388</v>
      </c>
      <c r="E219" s="48" t="n">
        <f aca="false">rfv_ref-D219</f>
        <v>270</v>
      </c>
      <c r="F219" s="49" t="n">
        <f aca="false">C219+ROW()/10000000</f>
        <v>19.0900219</v>
      </c>
      <c r="G219" s="48" t="n">
        <f aca="false">IF(E219&lt;=QUARTILE($E$2:$E$246,1),4,IF(E219&lt;=QUARTILE($E$2:$E$246,2),3,IF(E219&lt;=QUARTILE($E$2:$E$246,3),2,1)))</f>
        <v>1</v>
      </c>
      <c r="H219" s="48" t="n">
        <f aca="false">IF(B219&gt;QUARTILE($B$2:$B$246,3),4,IF(B219&gt;QUARTILE($B$2:$B$246,2),3,IF(B219&gt;QUARTILE($B$2:$B$246,1),2,1)))</f>
        <v>1</v>
      </c>
      <c r="I219" s="48" t="n">
        <f aca="false">IF(C219&gt;QUARTILE($C$2:$C$246,3),4,IF(C219&gt;QUARTILE($C$2:$C$246,2),3,IF(C219&gt;QUARTILE($C$2:$C$246,1),2,1)))</f>
        <v>1</v>
      </c>
      <c r="J219" s="48" t="n">
        <f aca="false">G219+H219+I219</f>
        <v>3</v>
      </c>
      <c r="K219" s="44" t="str">
        <f aca="false">IF(J219&gt;=rfv_campeoes,"Campeões",IF(J219&gt;=rfv_leais,"Leais",IF(J219&gt;=rfv_atencao,"Atenção","Em risco")))</f>
        <v>Em risco</v>
      </c>
    </row>
    <row r="220" customFormat="false" ht="15" hidden="false" customHeight="false" outlineLevel="0" collapsed="false">
      <c r="A220" s="44" t="s">
        <v>395</v>
      </c>
      <c r="B220" s="48" t="n">
        <f aca="false">COUNTIFS(v_cliente,A220)</f>
        <v>8</v>
      </c>
      <c r="C220" s="46" t="n">
        <f aca="false">SUMIFS(v_valor,v_cliente,A220)</f>
        <v>1345.99</v>
      </c>
      <c r="D220" s="45" t="n">
        <f aca="false">_xlfn.MAXIFS(v_data,v_cliente,A220)</f>
        <v>45622</v>
      </c>
      <c r="E220" s="48" t="n">
        <f aca="false">rfv_ref-D220</f>
        <v>36</v>
      </c>
      <c r="F220" s="49" t="n">
        <f aca="false">C220+ROW()/10000000</f>
        <v>1345.990022</v>
      </c>
      <c r="G220" s="48" t="n">
        <f aca="false">IF(E220&lt;=QUARTILE($E$2:$E$246,1),4,IF(E220&lt;=QUARTILE($E$2:$E$246,2),3,IF(E220&lt;=QUARTILE($E$2:$E$246,3),2,1)))</f>
        <v>3</v>
      </c>
      <c r="H220" s="48" t="n">
        <f aca="false">IF(B220&gt;QUARTILE($B$2:$B$246,3),4,IF(B220&gt;QUARTILE($B$2:$B$246,2),3,IF(B220&gt;QUARTILE($B$2:$B$246,1),2,1)))</f>
        <v>4</v>
      </c>
      <c r="I220" s="48" t="n">
        <f aca="false">IF(C220&gt;QUARTILE($C$2:$C$246,3),4,IF(C220&gt;QUARTILE($C$2:$C$246,2),3,IF(C220&gt;QUARTILE($C$2:$C$246,1),2,1)))</f>
        <v>4</v>
      </c>
      <c r="J220" s="48" t="n">
        <f aca="false">G220+H220+I220</f>
        <v>11</v>
      </c>
      <c r="K220" s="44" t="str">
        <f aca="false">IF(J220&gt;=rfv_campeoes,"Campeões",IF(J220&gt;=rfv_leais,"Leais",IF(J220&gt;=rfv_atencao,"Atenção","Em risco")))</f>
        <v>Campeões</v>
      </c>
    </row>
    <row r="221" customFormat="false" ht="15" hidden="false" customHeight="false" outlineLevel="0" collapsed="false">
      <c r="A221" s="44" t="s">
        <v>335</v>
      </c>
      <c r="B221" s="48" t="n">
        <f aca="false">COUNTIFS(v_cliente,A221)</f>
        <v>5</v>
      </c>
      <c r="C221" s="46" t="n">
        <f aca="false">SUMIFS(v_valor,v_cliente,A221)</f>
        <v>443.43</v>
      </c>
      <c r="D221" s="45" t="n">
        <f aca="false">_xlfn.MAXIFS(v_data,v_cliente,A221)</f>
        <v>45620</v>
      </c>
      <c r="E221" s="48" t="n">
        <f aca="false">rfv_ref-D221</f>
        <v>38</v>
      </c>
      <c r="F221" s="49" t="n">
        <f aca="false">C221+ROW()/10000000</f>
        <v>443.4300221</v>
      </c>
      <c r="G221" s="48" t="n">
        <f aca="false">IF(E221&lt;=QUARTILE($E$2:$E$246,1),4,IF(E221&lt;=QUARTILE($E$2:$E$246,2),3,IF(E221&lt;=QUARTILE($E$2:$E$246,3),2,1)))</f>
        <v>3</v>
      </c>
      <c r="H221" s="48" t="n">
        <f aca="false">IF(B221&gt;QUARTILE($B$2:$B$246,3),4,IF(B221&gt;QUARTILE($B$2:$B$246,2),3,IF(B221&gt;QUARTILE($B$2:$B$246,1),2,1)))</f>
        <v>3</v>
      </c>
      <c r="I221" s="48" t="n">
        <f aca="false">IF(C221&gt;QUARTILE($C$2:$C$246,3),4,IF(C221&gt;QUARTILE($C$2:$C$246,2),3,IF(C221&gt;QUARTILE($C$2:$C$246,1),2,1)))</f>
        <v>3</v>
      </c>
      <c r="J221" s="48" t="n">
        <f aca="false">G221+H221+I221</f>
        <v>9</v>
      </c>
      <c r="K221" s="44" t="str">
        <f aca="false">IF(J221&gt;=rfv_campeoes,"Campeões",IF(J221&gt;=rfv_leais,"Leais",IF(J221&gt;=rfv_atencao,"Atenção","Em risco")))</f>
        <v>Leais</v>
      </c>
    </row>
    <row r="222" customFormat="false" ht="15" hidden="false" customHeight="false" outlineLevel="0" collapsed="false">
      <c r="A222" s="44" t="s">
        <v>502</v>
      </c>
      <c r="B222" s="48" t="n">
        <f aca="false">COUNTIFS(v_cliente,A222)</f>
        <v>3</v>
      </c>
      <c r="C222" s="46" t="n">
        <f aca="false">SUMIFS(v_valor,v_cliente,A222)</f>
        <v>404.03</v>
      </c>
      <c r="D222" s="45" t="n">
        <f aca="false">_xlfn.MAXIFS(v_data,v_cliente,A222)</f>
        <v>45619</v>
      </c>
      <c r="E222" s="48" t="n">
        <f aca="false">rfv_ref-D222</f>
        <v>39</v>
      </c>
      <c r="F222" s="49" t="n">
        <f aca="false">C222+ROW()/10000000</f>
        <v>404.0300222</v>
      </c>
      <c r="G222" s="48" t="n">
        <f aca="false">IF(E222&lt;=QUARTILE($E$2:$E$246,1),4,IF(E222&lt;=QUARTILE($E$2:$E$246,2),3,IF(E222&lt;=QUARTILE($E$2:$E$246,3),2,1)))</f>
        <v>3</v>
      </c>
      <c r="H222" s="48" t="n">
        <f aca="false">IF(B222&gt;QUARTILE($B$2:$B$246,3),4,IF(B222&gt;QUARTILE($B$2:$B$246,2),3,IF(B222&gt;QUARTILE($B$2:$B$246,1),2,1)))</f>
        <v>1</v>
      </c>
      <c r="I222" s="48" t="n">
        <f aca="false">IF(C222&gt;QUARTILE($C$2:$C$246,3),4,IF(C222&gt;QUARTILE($C$2:$C$246,2),3,IF(C222&gt;QUARTILE($C$2:$C$246,1),2,1)))</f>
        <v>3</v>
      </c>
      <c r="J222" s="48" t="n">
        <f aca="false">G222+H222+I222</f>
        <v>7</v>
      </c>
      <c r="K222" s="44" t="str">
        <f aca="false">IF(J222&gt;=rfv_campeoes,"Campeões",IF(J222&gt;=rfv_leais,"Leais",IF(J222&gt;=rfv_atencao,"Atenção","Em risco")))</f>
        <v>Leais</v>
      </c>
    </row>
    <row r="223" customFormat="false" ht="15" hidden="false" customHeight="false" outlineLevel="0" collapsed="false">
      <c r="A223" s="44" t="s">
        <v>358</v>
      </c>
      <c r="B223" s="48" t="n">
        <f aca="false">COUNTIFS(v_cliente,A223)</f>
        <v>4</v>
      </c>
      <c r="C223" s="46" t="n">
        <f aca="false">SUMIFS(v_valor,v_cliente,A223)</f>
        <v>660.94</v>
      </c>
      <c r="D223" s="45" t="n">
        <f aca="false">_xlfn.MAXIFS(v_data,v_cliente,A223)</f>
        <v>45522</v>
      </c>
      <c r="E223" s="48" t="n">
        <f aca="false">rfv_ref-D223</f>
        <v>136</v>
      </c>
      <c r="F223" s="49" t="n">
        <f aca="false">C223+ROW()/10000000</f>
        <v>660.9400223</v>
      </c>
      <c r="G223" s="48" t="n">
        <f aca="false">IF(E223&lt;=QUARTILE($E$2:$E$246,1),4,IF(E223&lt;=QUARTILE($E$2:$E$246,2),3,IF(E223&lt;=QUARTILE($E$2:$E$246,3),2,1)))</f>
        <v>1</v>
      </c>
      <c r="H223" s="48" t="n">
        <f aca="false">IF(B223&gt;QUARTILE($B$2:$B$246,3),4,IF(B223&gt;QUARTILE($B$2:$B$246,2),3,IF(B223&gt;QUARTILE($B$2:$B$246,1),2,1)))</f>
        <v>2</v>
      </c>
      <c r="I223" s="48" t="n">
        <f aca="false">IF(C223&gt;QUARTILE($C$2:$C$246,3),4,IF(C223&gt;QUARTILE($C$2:$C$246,2),3,IF(C223&gt;QUARTILE($C$2:$C$246,1),2,1)))</f>
        <v>4</v>
      </c>
      <c r="J223" s="48" t="n">
        <f aca="false">G223+H223+I223</f>
        <v>7</v>
      </c>
      <c r="K223" s="44" t="str">
        <f aca="false">IF(J223&gt;=rfv_campeoes,"Campeões",IF(J223&gt;=rfv_leais,"Leais",IF(J223&gt;=rfv_atencao,"Atenção","Em risco")))</f>
        <v>Leais</v>
      </c>
    </row>
    <row r="224" customFormat="false" ht="15" hidden="false" customHeight="false" outlineLevel="0" collapsed="false">
      <c r="A224" s="44" t="s">
        <v>478</v>
      </c>
      <c r="B224" s="48" t="n">
        <f aca="false">COUNTIFS(v_cliente,A224)</f>
        <v>5</v>
      </c>
      <c r="C224" s="46" t="n">
        <f aca="false">SUMIFS(v_valor,v_cliente,A224)</f>
        <v>406.99</v>
      </c>
      <c r="D224" s="45" t="n">
        <f aca="false">_xlfn.MAXIFS(v_data,v_cliente,A224)</f>
        <v>45547</v>
      </c>
      <c r="E224" s="48" t="n">
        <f aca="false">rfv_ref-D224</f>
        <v>111</v>
      </c>
      <c r="F224" s="49" t="n">
        <f aca="false">C224+ROW()/10000000</f>
        <v>406.9900224</v>
      </c>
      <c r="G224" s="48" t="n">
        <f aca="false">IF(E224&lt;=QUARTILE($E$2:$E$246,1),4,IF(E224&lt;=QUARTILE($E$2:$E$246,2),3,IF(E224&lt;=QUARTILE($E$2:$E$246,3),2,1)))</f>
        <v>2</v>
      </c>
      <c r="H224" s="48" t="n">
        <f aca="false">IF(B224&gt;QUARTILE($B$2:$B$246,3),4,IF(B224&gt;QUARTILE($B$2:$B$246,2),3,IF(B224&gt;QUARTILE($B$2:$B$246,1),2,1)))</f>
        <v>3</v>
      </c>
      <c r="I224" s="48" t="n">
        <f aca="false">IF(C224&gt;QUARTILE($C$2:$C$246,3),4,IF(C224&gt;QUARTILE($C$2:$C$246,2),3,IF(C224&gt;QUARTILE($C$2:$C$246,1),2,1)))</f>
        <v>3</v>
      </c>
      <c r="J224" s="48" t="n">
        <f aca="false">G224+H224+I224</f>
        <v>8</v>
      </c>
      <c r="K224" s="44" t="str">
        <f aca="false">IF(J224&gt;=rfv_campeoes,"Campeões",IF(J224&gt;=rfv_leais,"Leais",IF(J224&gt;=rfv_atencao,"Atenção","Em risco")))</f>
        <v>Leais</v>
      </c>
    </row>
    <row r="225" customFormat="false" ht="15" hidden="false" customHeight="false" outlineLevel="0" collapsed="false">
      <c r="A225" s="44" t="s">
        <v>501</v>
      </c>
      <c r="B225" s="48" t="n">
        <f aca="false">COUNTIFS(v_cliente,A225)</f>
        <v>5</v>
      </c>
      <c r="C225" s="46" t="n">
        <f aca="false">SUMIFS(v_valor,v_cliente,A225)</f>
        <v>250.71</v>
      </c>
      <c r="D225" s="45" t="n">
        <f aca="false">_xlfn.MAXIFS(v_data,v_cliente,A225)</f>
        <v>45595</v>
      </c>
      <c r="E225" s="48" t="n">
        <f aca="false">rfv_ref-D225</f>
        <v>63</v>
      </c>
      <c r="F225" s="49" t="n">
        <f aca="false">C225+ROW()/10000000</f>
        <v>250.7100225</v>
      </c>
      <c r="G225" s="48" t="n">
        <f aca="false">IF(E225&lt;=QUARTILE($E$2:$E$246,1),4,IF(E225&lt;=QUARTILE($E$2:$E$246,2),3,IF(E225&lt;=QUARTILE($E$2:$E$246,3),2,1)))</f>
        <v>3</v>
      </c>
      <c r="H225" s="48" t="n">
        <f aca="false">IF(B225&gt;QUARTILE($B$2:$B$246,3),4,IF(B225&gt;QUARTILE($B$2:$B$246,2),3,IF(B225&gt;QUARTILE($B$2:$B$246,1),2,1)))</f>
        <v>3</v>
      </c>
      <c r="I225" s="48" t="n">
        <f aca="false">IF(C225&gt;QUARTILE($C$2:$C$246,3),4,IF(C225&gt;QUARTILE($C$2:$C$246,2),3,IF(C225&gt;QUARTILE($C$2:$C$246,1),2,1)))</f>
        <v>2</v>
      </c>
      <c r="J225" s="48" t="n">
        <f aca="false">G225+H225+I225</f>
        <v>8</v>
      </c>
      <c r="K225" s="44" t="str">
        <f aca="false">IF(J225&gt;=rfv_campeoes,"Campeões",IF(J225&gt;=rfv_leais,"Leais",IF(J225&gt;=rfv_atencao,"Atenção","Em risco")))</f>
        <v>Leais</v>
      </c>
    </row>
    <row r="226" customFormat="false" ht="15" hidden="false" customHeight="false" outlineLevel="0" collapsed="false">
      <c r="A226" s="44" t="s">
        <v>550</v>
      </c>
      <c r="B226" s="48" t="n">
        <f aca="false">COUNTIFS(v_cliente,A226)</f>
        <v>2</v>
      </c>
      <c r="C226" s="46" t="n">
        <f aca="false">SUMIFS(v_valor,v_cliente,A226)</f>
        <v>636.19</v>
      </c>
      <c r="D226" s="45" t="n">
        <f aca="false">_xlfn.MAXIFS(v_data,v_cliente,A226)</f>
        <v>45577</v>
      </c>
      <c r="E226" s="48" t="n">
        <f aca="false">rfv_ref-D226</f>
        <v>81</v>
      </c>
      <c r="F226" s="49" t="n">
        <f aca="false">C226+ROW()/10000000</f>
        <v>636.1900226</v>
      </c>
      <c r="G226" s="48" t="n">
        <f aca="false">IF(E226&lt;=QUARTILE($E$2:$E$246,1),4,IF(E226&lt;=QUARTILE($E$2:$E$246,2),3,IF(E226&lt;=QUARTILE($E$2:$E$246,3),2,1)))</f>
        <v>2</v>
      </c>
      <c r="H226" s="48" t="n">
        <f aca="false">IF(B226&gt;QUARTILE($B$2:$B$246,3),4,IF(B226&gt;QUARTILE($B$2:$B$246,2),3,IF(B226&gt;QUARTILE($B$2:$B$246,1),2,1)))</f>
        <v>1</v>
      </c>
      <c r="I226" s="48" t="n">
        <f aca="false">IF(C226&gt;QUARTILE($C$2:$C$246,3),4,IF(C226&gt;QUARTILE($C$2:$C$246,2),3,IF(C226&gt;QUARTILE($C$2:$C$246,1),2,1)))</f>
        <v>4</v>
      </c>
      <c r="J226" s="48" t="n">
        <f aca="false">G226+H226+I226</f>
        <v>7</v>
      </c>
      <c r="K226" s="44" t="str">
        <f aca="false">IF(J226&gt;=rfv_campeoes,"Campeões",IF(J226&gt;=rfv_leais,"Leais",IF(J226&gt;=rfv_atencao,"Atenção","Em risco")))</f>
        <v>Leais</v>
      </c>
    </row>
    <row r="227" customFormat="false" ht="15" hidden="false" customHeight="false" outlineLevel="0" collapsed="false">
      <c r="A227" s="44" t="s">
        <v>514</v>
      </c>
      <c r="B227" s="48" t="n">
        <f aca="false">COUNTIFS(v_cliente,A227)</f>
        <v>3</v>
      </c>
      <c r="C227" s="46" t="n">
        <f aca="false">SUMIFS(v_valor,v_cliente,A227)</f>
        <v>438.79</v>
      </c>
      <c r="D227" s="45" t="n">
        <f aca="false">_xlfn.MAXIFS(v_data,v_cliente,A227)</f>
        <v>45555</v>
      </c>
      <c r="E227" s="48" t="n">
        <f aca="false">rfv_ref-D227</f>
        <v>103</v>
      </c>
      <c r="F227" s="49" t="n">
        <f aca="false">C227+ROW()/10000000</f>
        <v>438.7900227</v>
      </c>
      <c r="G227" s="48" t="n">
        <f aca="false">IF(E227&lt;=QUARTILE($E$2:$E$246,1),4,IF(E227&lt;=QUARTILE($E$2:$E$246,2),3,IF(E227&lt;=QUARTILE($E$2:$E$246,3),2,1)))</f>
        <v>2</v>
      </c>
      <c r="H227" s="48" t="n">
        <f aca="false">IF(B227&gt;QUARTILE($B$2:$B$246,3),4,IF(B227&gt;QUARTILE($B$2:$B$246,2),3,IF(B227&gt;QUARTILE($B$2:$B$246,1),2,1)))</f>
        <v>1</v>
      </c>
      <c r="I227" s="48" t="n">
        <f aca="false">IF(C227&gt;QUARTILE($C$2:$C$246,3),4,IF(C227&gt;QUARTILE($C$2:$C$246,2),3,IF(C227&gt;QUARTILE($C$2:$C$246,1),2,1)))</f>
        <v>3</v>
      </c>
      <c r="J227" s="48" t="n">
        <f aca="false">G227+H227+I227</f>
        <v>6</v>
      </c>
      <c r="K227" s="44" t="str">
        <f aca="false">IF(J227&gt;=rfv_campeoes,"Campeões",IF(J227&gt;=rfv_leais,"Leais",IF(J227&gt;=rfv_atencao,"Atenção","Em risco")))</f>
        <v>Atenção</v>
      </c>
    </row>
    <row r="228" customFormat="false" ht="15" hidden="false" customHeight="false" outlineLevel="0" collapsed="false">
      <c r="A228" s="44" t="s">
        <v>411</v>
      </c>
      <c r="B228" s="48" t="n">
        <f aca="false">COUNTIFS(v_cliente,A228)</f>
        <v>2</v>
      </c>
      <c r="C228" s="46" t="n">
        <f aca="false">SUMIFS(v_valor,v_cliente,A228)</f>
        <v>1246.06</v>
      </c>
      <c r="D228" s="45" t="n">
        <f aca="false">_xlfn.MAXIFS(v_data,v_cliente,A228)</f>
        <v>45531</v>
      </c>
      <c r="E228" s="48" t="n">
        <f aca="false">rfv_ref-D228</f>
        <v>127</v>
      </c>
      <c r="F228" s="49" t="n">
        <f aca="false">C228+ROW()/10000000</f>
        <v>1246.0600228</v>
      </c>
      <c r="G228" s="48" t="n">
        <f aca="false">IF(E228&lt;=QUARTILE($E$2:$E$246,1),4,IF(E228&lt;=QUARTILE($E$2:$E$246,2),3,IF(E228&lt;=QUARTILE($E$2:$E$246,3),2,1)))</f>
        <v>2</v>
      </c>
      <c r="H228" s="48" t="n">
        <f aca="false">IF(B228&gt;QUARTILE($B$2:$B$246,3),4,IF(B228&gt;QUARTILE($B$2:$B$246,2),3,IF(B228&gt;QUARTILE($B$2:$B$246,1),2,1)))</f>
        <v>1</v>
      </c>
      <c r="I228" s="48" t="n">
        <f aca="false">IF(C228&gt;QUARTILE($C$2:$C$246,3),4,IF(C228&gt;QUARTILE($C$2:$C$246,2),3,IF(C228&gt;QUARTILE($C$2:$C$246,1),2,1)))</f>
        <v>4</v>
      </c>
      <c r="J228" s="48" t="n">
        <f aca="false">G228+H228+I228</f>
        <v>7</v>
      </c>
      <c r="K228" s="44" t="str">
        <f aca="false">IF(J228&gt;=rfv_campeoes,"Campeões",IF(J228&gt;=rfv_leais,"Leais",IF(J228&gt;=rfv_atencao,"Atenção","Em risco")))</f>
        <v>Leais</v>
      </c>
    </row>
    <row r="229" customFormat="false" ht="15" hidden="false" customHeight="false" outlineLevel="0" collapsed="false">
      <c r="A229" s="44" t="s">
        <v>320</v>
      </c>
      <c r="B229" s="48" t="n">
        <f aca="false">COUNTIFS(v_cliente,A229)</f>
        <v>5</v>
      </c>
      <c r="C229" s="46" t="n">
        <f aca="false">SUMIFS(v_valor,v_cliente,A229)</f>
        <v>271.73</v>
      </c>
      <c r="D229" s="45" t="n">
        <f aca="false">_xlfn.MAXIFS(v_data,v_cliente,A229)</f>
        <v>45645</v>
      </c>
      <c r="E229" s="48" t="n">
        <f aca="false">rfv_ref-D229</f>
        <v>13</v>
      </c>
      <c r="F229" s="49" t="n">
        <f aca="false">C229+ROW()/10000000</f>
        <v>271.7300229</v>
      </c>
      <c r="G229" s="48" t="n">
        <f aca="false">IF(E229&lt;=QUARTILE($E$2:$E$246,1),4,IF(E229&lt;=QUARTILE($E$2:$E$246,2),3,IF(E229&lt;=QUARTILE($E$2:$E$246,3),2,1)))</f>
        <v>4</v>
      </c>
      <c r="H229" s="48" t="n">
        <f aca="false">IF(B229&gt;QUARTILE($B$2:$B$246,3),4,IF(B229&gt;QUARTILE($B$2:$B$246,2),3,IF(B229&gt;QUARTILE($B$2:$B$246,1),2,1)))</f>
        <v>3</v>
      </c>
      <c r="I229" s="48" t="n">
        <f aca="false">IF(C229&gt;QUARTILE($C$2:$C$246,3),4,IF(C229&gt;QUARTILE($C$2:$C$246,2),3,IF(C229&gt;QUARTILE($C$2:$C$246,1),2,1)))</f>
        <v>2</v>
      </c>
      <c r="J229" s="48" t="n">
        <f aca="false">G229+H229+I229</f>
        <v>9</v>
      </c>
      <c r="K229" s="44" t="str">
        <f aca="false">IF(J229&gt;=rfv_campeoes,"Campeões",IF(J229&gt;=rfv_leais,"Leais",IF(J229&gt;=rfv_atencao,"Atenção","Em risco")))</f>
        <v>Leais</v>
      </c>
    </row>
    <row r="230" customFormat="false" ht="15" hidden="false" customHeight="false" outlineLevel="0" collapsed="false">
      <c r="A230" s="44" t="s">
        <v>506</v>
      </c>
      <c r="B230" s="48" t="n">
        <f aca="false">COUNTIFS(v_cliente,A230)</f>
        <v>4</v>
      </c>
      <c r="C230" s="46" t="n">
        <f aca="false">SUMIFS(v_valor,v_cliente,A230)</f>
        <v>284.17</v>
      </c>
      <c r="D230" s="45" t="n">
        <f aca="false">_xlfn.MAXIFS(v_data,v_cliente,A230)</f>
        <v>45591</v>
      </c>
      <c r="E230" s="48" t="n">
        <f aca="false">rfv_ref-D230</f>
        <v>67</v>
      </c>
      <c r="F230" s="49" t="n">
        <f aca="false">C230+ROW()/10000000</f>
        <v>284.170023</v>
      </c>
      <c r="G230" s="48" t="n">
        <f aca="false">IF(E230&lt;=QUARTILE($E$2:$E$246,1),4,IF(E230&lt;=QUARTILE($E$2:$E$246,2),3,IF(E230&lt;=QUARTILE($E$2:$E$246,3),2,1)))</f>
        <v>2</v>
      </c>
      <c r="H230" s="48" t="n">
        <f aca="false">IF(B230&gt;QUARTILE($B$2:$B$246,3),4,IF(B230&gt;QUARTILE($B$2:$B$246,2),3,IF(B230&gt;QUARTILE($B$2:$B$246,1),2,1)))</f>
        <v>2</v>
      </c>
      <c r="I230" s="48" t="n">
        <f aca="false">IF(C230&gt;QUARTILE($C$2:$C$246,3),4,IF(C230&gt;QUARTILE($C$2:$C$246,2),3,IF(C230&gt;QUARTILE($C$2:$C$246,1),2,1)))</f>
        <v>2</v>
      </c>
      <c r="J230" s="48" t="n">
        <f aca="false">G230+H230+I230</f>
        <v>6</v>
      </c>
      <c r="K230" s="44" t="str">
        <f aca="false">IF(J230&gt;=rfv_campeoes,"Campeões",IF(J230&gt;=rfv_leais,"Leais",IF(J230&gt;=rfv_atencao,"Atenção","Em risco")))</f>
        <v>Atenção</v>
      </c>
    </row>
    <row r="231" customFormat="false" ht="15" hidden="false" customHeight="false" outlineLevel="0" collapsed="false">
      <c r="A231" s="44" t="s">
        <v>353</v>
      </c>
      <c r="B231" s="48" t="n">
        <f aca="false">COUNTIFS(v_cliente,A231)</f>
        <v>3</v>
      </c>
      <c r="C231" s="46" t="n">
        <f aca="false">SUMIFS(v_valor,v_cliente,A231)</f>
        <v>206.41</v>
      </c>
      <c r="D231" s="45" t="n">
        <f aca="false">_xlfn.MAXIFS(v_data,v_cliente,A231)</f>
        <v>45452</v>
      </c>
      <c r="E231" s="48" t="n">
        <f aca="false">rfv_ref-D231</f>
        <v>206</v>
      </c>
      <c r="F231" s="49" t="n">
        <f aca="false">C231+ROW()/10000000</f>
        <v>206.4100231</v>
      </c>
      <c r="G231" s="48" t="n">
        <f aca="false">IF(E231&lt;=QUARTILE($E$2:$E$246,1),4,IF(E231&lt;=QUARTILE($E$2:$E$246,2),3,IF(E231&lt;=QUARTILE($E$2:$E$246,3),2,1)))</f>
        <v>1</v>
      </c>
      <c r="H231" s="48" t="n">
        <f aca="false">IF(B231&gt;QUARTILE($B$2:$B$246,3),4,IF(B231&gt;QUARTILE($B$2:$B$246,2),3,IF(B231&gt;QUARTILE($B$2:$B$246,1),2,1)))</f>
        <v>1</v>
      </c>
      <c r="I231" s="48" t="n">
        <f aca="false">IF(C231&gt;QUARTILE($C$2:$C$246,3),4,IF(C231&gt;QUARTILE($C$2:$C$246,2),3,IF(C231&gt;QUARTILE($C$2:$C$246,1),2,1)))</f>
        <v>2</v>
      </c>
      <c r="J231" s="48" t="n">
        <f aca="false">G231+H231+I231</f>
        <v>4</v>
      </c>
      <c r="K231" s="44" t="str">
        <f aca="false">IF(J231&gt;=rfv_campeoes,"Campeões",IF(J231&gt;=rfv_leais,"Leais",IF(J231&gt;=rfv_atencao,"Atenção","Em risco")))</f>
        <v>Em risco</v>
      </c>
    </row>
    <row r="232" customFormat="false" ht="15" hidden="false" customHeight="false" outlineLevel="0" collapsed="false">
      <c r="A232" s="44" t="s">
        <v>445</v>
      </c>
      <c r="B232" s="48" t="n">
        <f aca="false">COUNTIFS(v_cliente,A232)</f>
        <v>3</v>
      </c>
      <c r="C232" s="46" t="n">
        <f aca="false">SUMIFS(v_valor,v_cliente,A232)</f>
        <v>287.18</v>
      </c>
      <c r="D232" s="45" t="n">
        <f aca="false">_xlfn.MAXIFS(v_data,v_cliente,A232)</f>
        <v>45636</v>
      </c>
      <c r="E232" s="48" t="n">
        <f aca="false">rfv_ref-D232</f>
        <v>22</v>
      </c>
      <c r="F232" s="49" t="n">
        <f aca="false">C232+ROW()/10000000</f>
        <v>287.1800232</v>
      </c>
      <c r="G232" s="48" t="n">
        <f aca="false">IF(E232&lt;=QUARTILE($E$2:$E$246,1),4,IF(E232&lt;=QUARTILE($E$2:$E$246,2),3,IF(E232&lt;=QUARTILE($E$2:$E$246,3),2,1)))</f>
        <v>4</v>
      </c>
      <c r="H232" s="48" t="n">
        <f aca="false">IF(B232&gt;QUARTILE($B$2:$B$246,3),4,IF(B232&gt;QUARTILE($B$2:$B$246,2),3,IF(B232&gt;QUARTILE($B$2:$B$246,1),2,1)))</f>
        <v>1</v>
      </c>
      <c r="I232" s="48" t="n">
        <f aca="false">IF(C232&gt;QUARTILE($C$2:$C$246,3),4,IF(C232&gt;QUARTILE($C$2:$C$246,2),3,IF(C232&gt;QUARTILE($C$2:$C$246,1),2,1)))</f>
        <v>2</v>
      </c>
      <c r="J232" s="48" t="n">
        <f aca="false">G232+H232+I232</f>
        <v>7</v>
      </c>
      <c r="K232" s="44" t="str">
        <f aca="false">IF(J232&gt;=rfv_campeoes,"Campeões",IF(J232&gt;=rfv_leais,"Leais",IF(J232&gt;=rfv_atencao,"Atenção","Em risco")))</f>
        <v>Leais</v>
      </c>
    </row>
    <row r="233" customFormat="false" ht="15" hidden="false" customHeight="false" outlineLevel="0" collapsed="false">
      <c r="A233" s="44" t="s">
        <v>396</v>
      </c>
      <c r="B233" s="48" t="n">
        <f aca="false">COUNTIFS(v_cliente,A233)</f>
        <v>9</v>
      </c>
      <c r="C233" s="46" t="n">
        <f aca="false">SUMIFS(v_valor,v_cliente,A233)</f>
        <v>1097.07</v>
      </c>
      <c r="D233" s="45" t="n">
        <f aca="false">_xlfn.MAXIFS(v_data,v_cliente,A233)</f>
        <v>45648</v>
      </c>
      <c r="E233" s="48" t="n">
        <f aca="false">rfv_ref-D233</f>
        <v>10</v>
      </c>
      <c r="F233" s="49" t="n">
        <f aca="false">C233+ROW()/10000000</f>
        <v>1097.0700233</v>
      </c>
      <c r="G233" s="48" t="n">
        <f aca="false">IF(E233&lt;=QUARTILE($E$2:$E$246,1),4,IF(E233&lt;=QUARTILE($E$2:$E$246,2),3,IF(E233&lt;=QUARTILE($E$2:$E$246,3),2,1)))</f>
        <v>4</v>
      </c>
      <c r="H233" s="48" t="n">
        <f aca="false">IF(B233&gt;QUARTILE($B$2:$B$246,3),4,IF(B233&gt;QUARTILE($B$2:$B$246,2),3,IF(B233&gt;QUARTILE($B$2:$B$246,1),2,1)))</f>
        <v>4</v>
      </c>
      <c r="I233" s="48" t="n">
        <f aca="false">IF(C233&gt;QUARTILE($C$2:$C$246,3),4,IF(C233&gt;QUARTILE($C$2:$C$246,2),3,IF(C233&gt;QUARTILE($C$2:$C$246,1),2,1)))</f>
        <v>4</v>
      </c>
      <c r="J233" s="48" t="n">
        <f aca="false">G233+H233+I233</f>
        <v>12</v>
      </c>
      <c r="K233" s="44" t="str">
        <f aca="false">IF(J233&gt;=rfv_campeoes,"Campeões",IF(J233&gt;=rfv_leais,"Leais",IF(J233&gt;=rfv_atencao,"Atenção","Em risco")))</f>
        <v>Campeões</v>
      </c>
    </row>
    <row r="234" customFormat="false" ht="15" hidden="false" customHeight="false" outlineLevel="0" collapsed="false">
      <c r="A234" s="44" t="s">
        <v>517</v>
      </c>
      <c r="B234" s="48" t="n">
        <f aca="false">COUNTIFS(v_cliente,A234)</f>
        <v>3</v>
      </c>
      <c r="C234" s="46" t="n">
        <f aca="false">SUMIFS(v_valor,v_cliente,A234)</f>
        <v>100.93</v>
      </c>
      <c r="D234" s="45" t="n">
        <f aca="false">_xlfn.MAXIFS(v_data,v_cliente,A234)</f>
        <v>45533</v>
      </c>
      <c r="E234" s="48" t="n">
        <f aca="false">rfv_ref-D234</f>
        <v>125</v>
      </c>
      <c r="F234" s="49" t="n">
        <f aca="false">C234+ROW()/10000000</f>
        <v>100.9300234</v>
      </c>
      <c r="G234" s="48" t="n">
        <f aca="false">IF(E234&lt;=QUARTILE($E$2:$E$246,1),4,IF(E234&lt;=QUARTILE($E$2:$E$246,2),3,IF(E234&lt;=QUARTILE($E$2:$E$246,3),2,1)))</f>
        <v>2</v>
      </c>
      <c r="H234" s="48" t="n">
        <f aca="false">IF(B234&gt;QUARTILE($B$2:$B$246,3),4,IF(B234&gt;QUARTILE($B$2:$B$246,2),3,IF(B234&gt;QUARTILE($B$2:$B$246,1),2,1)))</f>
        <v>1</v>
      </c>
      <c r="I234" s="48" t="n">
        <f aca="false">IF(C234&gt;QUARTILE($C$2:$C$246,3),4,IF(C234&gt;QUARTILE($C$2:$C$246,2),3,IF(C234&gt;QUARTILE($C$2:$C$246,1),2,1)))</f>
        <v>1</v>
      </c>
      <c r="J234" s="48" t="n">
        <f aca="false">G234+H234+I234</f>
        <v>4</v>
      </c>
      <c r="K234" s="44" t="str">
        <f aca="false">IF(J234&gt;=rfv_campeoes,"Campeões",IF(J234&gt;=rfv_leais,"Leais",IF(J234&gt;=rfv_atencao,"Atenção","Em risco")))</f>
        <v>Em risco</v>
      </c>
    </row>
    <row r="235" customFormat="false" ht="15" hidden="false" customHeight="false" outlineLevel="0" collapsed="false">
      <c r="A235" s="44" t="s">
        <v>406</v>
      </c>
      <c r="B235" s="48" t="n">
        <f aca="false">COUNTIFS(v_cliente,A235)</f>
        <v>5</v>
      </c>
      <c r="C235" s="46" t="n">
        <f aca="false">SUMIFS(v_valor,v_cliente,A235)</f>
        <v>169.47</v>
      </c>
      <c r="D235" s="45" t="n">
        <f aca="false">_xlfn.MAXIFS(v_data,v_cliente,A235)</f>
        <v>45654</v>
      </c>
      <c r="E235" s="48" t="n">
        <f aca="false">rfv_ref-D235</f>
        <v>4</v>
      </c>
      <c r="F235" s="49" t="n">
        <f aca="false">C235+ROW()/10000000</f>
        <v>169.4700235</v>
      </c>
      <c r="G235" s="48" t="n">
        <f aca="false">IF(E235&lt;=QUARTILE($E$2:$E$246,1),4,IF(E235&lt;=QUARTILE($E$2:$E$246,2),3,IF(E235&lt;=QUARTILE($E$2:$E$246,3),2,1)))</f>
        <v>4</v>
      </c>
      <c r="H235" s="48" t="n">
        <f aca="false">IF(B235&gt;QUARTILE($B$2:$B$246,3),4,IF(B235&gt;QUARTILE($B$2:$B$246,2),3,IF(B235&gt;QUARTILE($B$2:$B$246,1),2,1)))</f>
        <v>3</v>
      </c>
      <c r="I235" s="48" t="n">
        <f aca="false">IF(C235&gt;QUARTILE($C$2:$C$246,3),4,IF(C235&gt;QUARTILE($C$2:$C$246,2),3,IF(C235&gt;QUARTILE($C$2:$C$246,1),2,1)))</f>
        <v>2</v>
      </c>
      <c r="J235" s="48" t="n">
        <f aca="false">G235+H235+I235</f>
        <v>9</v>
      </c>
      <c r="K235" s="44" t="str">
        <f aca="false">IF(J235&gt;=rfv_campeoes,"Campeões",IF(J235&gt;=rfv_leais,"Leais",IF(J235&gt;=rfv_atencao,"Atenção","Em risco")))</f>
        <v>Leais</v>
      </c>
    </row>
    <row r="236" customFormat="false" ht="15" hidden="false" customHeight="false" outlineLevel="0" collapsed="false">
      <c r="A236" s="44" t="s">
        <v>471</v>
      </c>
      <c r="B236" s="48" t="n">
        <f aca="false">COUNTIFS(v_cliente,A236)</f>
        <v>2</v>
      </c>
      <c r="C236" s="46" t="n">
        <f aca="false">SUMIFS(v_valor,v_cliente,A236)</f>
        <v>30.21</v>
      </c>
      <c r="D236" s="45" t="n">
        <f aca="false">_xlfn.MAXIFS(v_data,v_cliente,A236)</f>
        <v>45654</v>
      </c>
      <c r="E236" s="48" t="n">
        <f aca="false">rfv_ref-D236</f>
        <v>4</v>
      </c>
      <c r="F236" s="49" t="n">
        <f aca="false">C236+ROW()/10000000</f>
        <v>30.2100236</v>
      </c>
      <c r="G236" s="48" t="n">
        <f aca="false">IF(E236&lt;=QUARTILE($E$2:$E$246,1),4,IF(E236&lt;=QUARTILE($E$2:$E$246,2),3,IF(E236&lt;=QUARTILE($E$2:$E$246,3),2,1)))</f>
        <v>4</v>
      </c>
      <c r="H236" s="48" t="n">
        <f aca="false">IF(B236&gt;QUARTILE($B$2:$B$246,3),4,IF(B236&gt;QUARTILE($B$2:$B$246,2),3,IF(B236&gt;QUARTILE($B$2:$B$246,1),2,1)))</f>
        <v>1</v>
      </c>
      <c r="I236" s="48" t="n">
        <f aca="false">IF(C236&gt;QUARTILE($C$2:$C$246,3),4,IF(C236&gt;QUARTILE($C$2:$C$246,2),3,IF(C236&gt;QUARTILE($C$2:$C$246,1),2,1)))</f>
        <v>1</v>
      </c>
      <c r="J236" s="48" t="n">
        <f aca="false">G236+H236+I236</f>
        <v>6</v>
      </c>
      <c r="K236" s="44" t="str">
        <f aca="false">IF(J236&gt;=rfv_campeoes,"Campeões",IF(J236&gt;=rfv_leais,"Leais",IF(J236&gt;=rfv_atencao,"Atenção","Em risco")))</f>
        <v>Atenção</v>
      </c>
    </row>
    <row r="237" customFormat="false" ht="15" hidden="false" customHeight="false" outlineLevel="0" collapsed="false">
      <c r="A237" s="44" t="s">
        <v>490</v>
      </c>
      <c r="B237" s="48" t="n">
        <f aca="false">COUNTIFS(v_cliente,A237)</f>
        <v>2</v>
      </c>
      <c r="C237" s="46" t="n">
        <f aca="false">SUMIFS(v_valor,v_cliente,A237)</f>
        <v>130.32</v>
      </c>
      <c r="D237" s="45" t="n">
        <f aca="false">_xlfn.MAXIFS(v_data,v_cliente,A237)</f>
        <v>45417</v>
      </c>
      <c r="E237" s="48" t="n">
        <f aca="false">rfv_ref-D237</f>
        <v>241</v>
      </c>
      <c r="F237" s="49" t="n">
        <f aca="false">C237+ROW()/10000000</f>
        <v>130.3200237</v>
      </c>
      <c r="G237" s="48" t="n">
        <f aca="false">IF(E237&lt;=QUARTILE($E$2:$E$246,1),4,IF(E237&lt;=QUARTILE($E$2:$E$246,2),3,IF(E237&lt;=QUARTILE($E$2:$E$246,3),2,1)))</f>
        <v>1</v>
      </c>
      <c r="H237" s="48" t="n">
        <f aca="false">IF(B237&gt;QUARTILE($B$2:$B$246,3),4,IF(B237&gt;QUARTILE($B$2:$B$246,2),3,IF(B237&gt;QUARTILE($B$2:$B$246,1),2,1)))</f>
        <v>1</v>
      </c>
      <c r="I237" s="48" t="n">
        <f aca="false">IF(C237&gt;QUARTILE($C$2:$C$246,3),4,IF(C237&gt;QUARTILE($C$2:$C$246,2),3,IF(C237&gt;QUARTILE($C$2:$C$246,1),2,1)))</f>
        <v>1</v>
      </c>
      <c r="J237" s="48" t="n">
        <f aca="false">G237+H237+I237</f>
        <v>3</v>
      </c>
      <c r="K237" s="44" t="str">
        <f aca="false">IF(J237&gt;=rfv_campeoes,"Campeões",IF(J237&gt;=rfv_leais,"Leais",IF(J237&gt;=rfv_atencao,"Atenção","Em risco")))</f>
        <v>Em risco</v>
      </c>
    </row>
    <row r="238" customFormat="false" ht="15" hidden="false" customHeight="false" outlineLevel="0" collapsed="false">
      <c r="A238" s="44" t="s">
        <v>421</v>
      </c>
      <c r="B238" s="48" t="n">
        <f aca="false">COUNTIFS(v_cliente,A238)</f>
        <v>3</v>
      </c>
      <c r="C238" s="46" t="n">
        <f aca="false">SUMIFS(v_valor,v_cliente,A238)</f>
        <v>411.7</v>
      </c>
      <c r="D238" s="45" t="n">
        <f aca="false">_xlfn.MAXIFS(v_data,v_cliente,A238)</f>
        <v>45608</v>
      </c>
      <c r="E238" s="48" t="n">
        <f aca="false">rfv_ref-D238</f>
        <v>50</v>
      </c>
      <c r="F238" s="49" t="n">
        <f aca="false">C238+ROW()/10000000</f>
        <v>411.7000238</v>
      </c>
      <c r="G238" s="48" t="n">
        <f aca="false">IF(E238&lt;=QUARTILE($E$2:$E$246,1),4,IF(E238&lt;=QUARTILE($E$2:$E$246,2),3,IF(E238&lt;=QUARTILE($E$2:$E$246,3),2,1)))</f>
        <v>3</v>
      </c>
      <c r="H238" s="48" t="n">
        <f aca="false">IF(B238&gt;QUARTILE($B$2:$B$246,3),4,IF(B238&gt;QUARTILE($B$2:$B$246,2),3,IF(B238&gt;QUARTILE($B$2:$B$246,1),2,1)))</f>
        <v>1</v>
      </c>
      <c r="I238" s="48" t="n">
        <f aca="false">IF(C238&gt;QUARTILE($C$2:$C$246,3),4,IF(C238&gt;QUARTILE($C$2:$C$246,2),3,IF(C238&gt;QUARTILE($C$2:$C$246,1),2,1)))</f>
        <v>3</v>
      </c>
      <c r="J238" s="48" t="n">
        <f aca="false">G238+H238+I238</f>
        <v>7</v>
      </c>
      <c r="K238" s="44" t="str">
        <f aca="false">IF(J238&gt;=rfv_campeoes,"Campeões",IF(J238&gt;=rfv_leais,"Leais",IF(J238&gt;=rfv_atencao,"Atenção","Em risco")))</f>
        <v>Leais</v>
      </c>
    </row>
    <row r="239" customFormat="false" ht="15" hidden="false" customHeight="false" outlineLevel="0" collapsed="false">
      <c r="A239" s="44" t="s">
        <v>428</v>
      </c>
      <c r="B239" s="48" t="n">
        <f aca="false">COUNTIFS(v_cliente,A239)</f>
        <v>8</v>
      </c>
      <c r="C239" s="46" t="n">
        <f aca="false">SUMIFS(v_valor,v_cliente,A239)</f>
        <v>522.47</v>
      </c>
      <c r="D239" s="45" t="n">
        <f aca="false">_xlfn.MAXIFS(v_data,v_cliente,A239)</f>
        <v>45604</v>
      </c>
      <c r="E239" s="48" t="n">
        <f aca="false">rfv_ref-D239</f>
        <v>54</v>
      </c>
      <c r="F239" s="49" t="n">
        <f aca="false">C239+ROW()/10000000</f>
        <v>522.4700239</v>
      </c>
      <c r="G239" s="48" t="n">
        <f aca="false">IF(E239&lt;=QUARTILE($E$2:$E$246,1),4,IF(E239&lt;=QUARTILE($E$2:$E$246,2),3,IF(E239&lt;=QUARTILE($E$2:$E$246,3),2,1)))</f>
        <v>3</v>
      </c>
      <c r="H239" s="48" t="n">
        <f aca="false">IF(B239&gt;QUARTILE($B$2:$B$246,3),4,IF(B239&gt;QUARTILE($B$2:$B$246,2),3,IF(B239&gt;QUARTILE($B$2:$B$246,1),2,1)))</f>
        <v>4</v>
      </c>
      <c r="I239" s="48" t="n">
        <f aca="false">IF(C239&gt;QUARTILE($C$2:$C$246,3),4,IF(C239&gt;QUARTILE($C$2:$C$246,2),3,IF(C239&gt;QUARTILE($C$2:$C$246,1),2,1)))</f>
        <v>3</v>
      </c>
      <c r="J239" s="48" t="n">
        <f aca="false">G239+H239+I239</f>
        <v>10</v>
      </c>
      <c r="K239" s="44" t="str">
        <f aca="false">IF(J239&gt;=rfv_campeoes,"Campeões",IF(J239&gt;=rfv_leais,"Leais",IF(J239&gt;=rfv_atencao,"Atenção","Em risco")))</f>
        <v>Campeões</v>
      </c>
    </row>
    <row r="240" customFormat="false" ht="15" hidden="false" customHeight="false" outlineLevel="0" collapsed="false">
      <c r="A240" s="44" t="s">
        <v>329</v>
      </c>
      <c r="B240" s="48" t="n">
        <f aca="false">COUNTIFS(v_cliente,A240)</f>
        <v>5</v>
      </c>
      <c r="C240" s="46" t="n">
        <f aca="false">SUMIFS(v_valor,v_cliente,A240)</f>
        <v>910.26</v>
      </c>
      <c r="D240" s="45" t="n">
        <f aca="false">_xlfn.MAXIFS(v_data,v_cliente,A240)</f>
        <v>45649</v>
      </c>
      <c r="E240" s="48" t="n">
        <f aca="false">rfv_ref-D240</f>
        <v>9</v>
      </c>
      <c r="F240" s="49" t="n">
        <f aca="false">C240+ROW()/10000000</f>
        <v>910.260024</v>
      </c>
      <c r="G240" s="48" t="n">
        <f aca="false">IF(E240&lt;=QUARTILE($E$2:$E$246,1),4,IF(E240&lt;=QUARTILE($E$2:$E$246,2),3,IF(E240&lt;=QUARTILE($E$2:$E$246,3),2,1)))</f>
        <v>4</v>
      </c>
      <c r="H240" s="48" t="n">
        <f aca="false">IF(B240&gt;QUARTILE($B$2:$B$246,3),4,IF(B240&gt;QUARTILE($B$2:$B$246,2),3,IF(B240&gt;QUARTILE($B$2:$B$246,1),2,1)))</f>
        <v>3</v>
      </c>
      <c r="I240" s="48" t="n">
        <f aca="false">IF(C240&gt;QUARTILE($C$2:$C$246,3),4,IF(C240&gt;QUARTILE($C$2:$C$246,2),3,IF(C240&gt;QUARTILE($C$2:$C$246,1),2,1)))</f>
        <v>4</v>
      </c>
      <c r="J240" s="48" t="n">
        <f aca="false">G240+H240+I240</f>
        <v>11</v>
      </c>
      <c r="K240" s="44" t="str">
        <f aca="false">IF(J240&gt;=rfv_campeoes,"Campeões",IF(J240&gt;=rfv_leais,"Leais",IF(J240&gt;=rfv_atencao,"Atenção","Em risco")))</f>
        <v>Campeões</v>
      </c>
    </row>
    <row r="241" customFormat="false" ht="15" hidden="false" customHeight="false" outlineLevel="0" collapsed="false">
      <c r="A241" s="44" t="s">
        <v>388</v>
      </c>
      <c r="B241" s="48" t="n">
        <f aca="false">COUNTIFS(v_cliente,A241)</f>
        <v>7</v>
      </c>
      <c r="C241" s="46" t="n">
        <f aca="false">SUMIFS(v_valor,v_cliente,A241)</f>
        <v>944.34</v>
      </c>
      <c r="D241" s="45" t="n">
        <f aca="false">_xlfn.MAXIFS(v_data,v_cliente,A241)</f>
        <v>45629</v>
      </c>
      <c r="E241" s="48" t="n">
        <f aca="false">rfv_ref-D241</f>
        <v>29</v>
      </c>
      <c r="F241" s="49" t="n">
        <f aca="false">C241+ROW()/10000000</f>
        <v>944.3400241</v>
      </c>
      <c r="G241" s="48" t="n">
        <f aca="false">IF(E241&lt;=QUARTILE($E$2:$E$246,1),4,IF(E241&lt;=QUARTILE($E$2:$E$246,2),3,IF(E241&lt;=QUARTILE($E$2:$E$246,3),2,1)))</f>
        <v>3</v>
      </c>
      <c r="H241" s="48" t="n">
        <f aca="false">IF(B241&gt;QUARTILE($B$2:$B$246,3),4,IF(B241&gt;QUARTILE($B$2:$B$246,2),3,IF(B241&gt;QUARTILE($B$2:$B$246,1),2,1)))</f>
        <v>4</v>
      </c>
      <c r="I241" s="48" t="n">
        <f aca="false">IF(C241&gt;QUARTILE($C$2:$C$246,3),4,IF(C241&gt;QUARTILE($C$2:$C$246,2),3,IF(C241&gt;QUARTILE($C$2:$C$246,1),2,1)))</f>
        <v>4</v>
      </c>
      <c r="J241" s="48" t="n">
        <f aca="false">G241+H241+I241</f>
        <v>11</v>
      </c>
      <c r="K241" s="44" t="str">
        <f aca="false">IF(J241&gt;=rfv_campeoes,"Campeões",IF(J241&gt;=rfv_leais,"Leais",IF(J241&gt;=rfv_atencao,"Atenção","Em risco")))</f>
        <v>Campeões</v>
      </c>
    </row>
    <row r="242" customFormat="false" ht="15" hidden="false" customHeight="false" outlineLevel="0" collapsed="false">
      <c r="A242" s="44" t="s">
        <v>476</v>
      </c>
      <c r="B242" s="48" t="n">
        <f aca="false">COUNTIFS(v_cliente,A242)</f>
        <v>5</v>
      </c>
      <c r="C242" s="46" t="n">
        <f aca="false">SUMIFS(v_valor,v_cliente,A242)</f>
        <v>720.94</v>
      </c>
      <c r="D242" s="45" t="n">
        <f aca="false">_xlfn.MAXIFS(v_data,v_cliente,A242)</f>
        <v>45632</v>
      </c>
      <c r="E242" s="48" t="n">
        <f aca="false">rfv_ref-D242</f>
        <v>26</v>
      </c>
      <c r="F242" s="49" t="n">
        <f aca="false">C242+ROW()/10000000</f>
        <v>720.9400242</v>
      </c>
      <c r="G242" s="48" t="n">
        <f aca="false">IF(E242&lt;=QUARTILE($E$2:$E$246,1),4,IF(E242&lt;=QUARTILE($E$2:$E$246,2),3,IF(E242&lt;=QUARTILE($E$2:$E$246,3),2,1)))</f>
        <v>3</v>
      </c>
      <c r="H242" s="48" t="n">
        <f aca="false">IF(B242&gt;QUARTILE($B$2:$B$246,3),4,IF(B242&gt;QUARTILE($B$2:$B$246,2),3,IF(B242&gt;QUARTILE($B$2:$B$246,1),2,1)))</f>
        <v>3</v>
      </c>
      <c r="I242" s="48" t="n">
        <f aca="false">IF(C242&gt;QUARTILE($C$2:$C$246,3),4,IF(C242&gt;QUARTILE($C$2:$C$246,2),3,IF(C242&gt;QUARTILE($C$2:$C$246,1),2,1)))</f>
        <v>4</v>
      </c>
      <c r="J242" s="48" t="n">
        <f aca="false">G242+H242+I242</f>
        <v>10</v>
      </c>
      <c r="K242" s="44" t="str">
        <f aca="false">IF(J242&gt;=rfv_campeoes,"Campeões",IF(J242&gt;=rfv_leais,"Leais",IF(J242&gt;=rfv_atencao,"Atenção","Em risco")))</f>
        <v>Campeões</v>
      </c>
    </row>
    <row r="243" customFormat="false" ht="15" hidden="false" customHeight="false" outlineLevel="0" collapsed="false">
      <c r="A243" s="44" t="s">
        <v>377</v>
      </c>
      <c r="B243" s="48" t="n">
        <f aca="false">COUNTIFS(v_cliente,A243)</f>
        <v>5</v>
      </c>
      <c r="C243" s="46" t="n">
        <f aca="false">SUMIFS(v_valor,v_cliente,A243)</f>
        <v>1019.09</v>
      </c>
      <c r="D243" s="45" t="n">
        <f aca="false">_xlfn.MAXIFS(v_data,v_cliente,A243)</f>
        <v>45642</v>
      </c>
      <c r="E243" s="48" t="n">
        <f aca="false">rfv_ref-D243</f>
        <v>16</v>
      </c>
      <c r="F243" s="49" t="n">
        <f aca="false">C243+ROW()/10000000</f>
        <v>1019.0900243</v>
      </c>
      <c r="G243" s="48" t="n">
        <f aca="false">IF(E243&lt;=QUARTILE($E$2:$E$246,1),4,IF(E243&lt;=QUARTILE($E$2:$E$246,2),3,IF(E243&lt;=QUARTILE($E$2:$E$246,3),2,1)))</f>
        <v>4</v>
      </c>
      <c r="H243" s="48" t="n">
        <f aca="false">IF(B243&gt;QUARTILE($B$2:$B$246,3),4,IF(B243&gt;QUARTILE($B$2:$B$246,2),3,IF(B243&gt;QUARTILE($B$2:$B$246,1),2,1)))</f>
        <v>3</v>
      </c>
      <c r="I243" s="48" t="n">
        <f aca="false">IF(C243&gt;QUARTILE($C$2:$C$246,3),4,IF(C243&gt;QUARTILE($C$2:$C$246,2),3,IF(C243&gt;QUARTILE($C$2:$C$246,1),2,1)))</f>
        <v>4</v>
      </c>
      <c r="J243" s="48" t="n">
        <f aca="false">G243+H243+I243</f>
        <v>11</v>
      </c>
      <c r="K243" s="44" t="str">
        <f aca="false">IF(J243&gt;=rfv_campeoes,"Campeões",IF(J243&gt;=rfv_leais,"Leais",IF(J243&gt;=rfv_atencao,"Atenção","Em risco")))</f>
        <v>Campeões</v>
      </c>
    </row>
    <row r="244" customFormat="false" ht="15" hidden="false" customHeight="false" outlineLevel="0" collapsed="false">
      <c r="A244" s="44" t="s">
        <v>389</v>
      </c>
      <c r="B244" s="48" t="n">
        <f aca="false">COUNTIFS(v_cliente,A244)</f>
        <v>6</v>
      </c>
      <c r="C244" s="46" t="n">
        <f aca="false">SUMIFS(v_valor,v_cliente,A244)</f>
        <v>111.13</v>
      </c>
      <c r="D244" s="45" t="n">
        <f aca="false">_xlfn.MAXIFS(v_data,v_cliente,A244)</f>
        <v>45651</v>
      </c>
      <c r="E244" s="48" t="n">
        <f aca="false">rfv_ref-D244</f>
        <v>7</v>
      </c>
      <c r="F244" s="49" t="n">
        <f aca="false">C244+ROW()/10000000</f>
        <v>111.1300244</v>
      </c>
      <c r="G244" s="48" t="n">
        <f aca="false">IF(E244&lt;=QUARTILE($E$2:$E$246,1),4,IF(E244&lt;=QUARTILE($E$2:$E$246,2),3,IF(E244&lt;=QUARTILE($E$2:$E$246,3),2,1)))</f>
        <v>4</v>
      </c>
      <c r="H244" s="48" t="n">
        <f aca="false">IF(B244&gt;QUARTILE($B$2:$B$246,3),4,IF(B244&gt;QUARTILE($B$2:$B$246,2),3,IF(B244&gt;QUARTILE($B$2:$B$246,1),2,1)))</f>
        <v>4</v>
      </c>
      <c r="I244" s="48" t="n">
        <f aca="false">IF(C244&gt;QUARTILE($C$2:$C$246,3),4,IF(C244&gt;QUARTILE($C$2:$C$246,2),3,IF(C244&gt;QUARTILE($C$2:$C$246,1),2,1)))</f>
        <v>1</v>
      </c>
      <c r="J244" s="48" t="n">
        <f aca="false">G244+H244+I244</f>
        <v>9</v>
      </c>
      <c r="K244" s="44" t="str">
        <f aca="false">IF(J244&gt;=rfv_campeoes,"Campeões",IF(J244&gt;=rfv_leais,"Leais",IF(J244&gt;=rfv_atencao,"Atenção","Em risco")))</f>
        <v>Leais</v>
      </c>
    </row>
    <row r="245" customFormat="false" ht="15" hidden="false" customHeight="false" outlineLevel="0" collapsed="false">
      <c r="A245" s="44" t="s">
        <v>378</v>
      </c>
      <c r="B245" s="48" t="n">
        <f aca="false">COUNTIFS(v_cliente,A245)</f>
        <v>9</v>
      </c>
      <c r="C245" s="46" t="n">
        <f aca="false">SUMIFS(v_valor,v_cliente,A245)</f>
        <v>733.46</v>
      </c>
      <c r="D245" s="45" t="n">
        <f aca="false">_xlfn.MAXIFS(v_data,v_cliente,A245)</f>
        <v>45645</v>
      </c>
      <c r="E245" s="48" t="n">
        <f aca="false">rfv_ref-D245</f>
        <v>13</v>
      </c>
      <c r="F245" s="49" t="n">
        <f aca="false">C245+ROW()/10000000</f>
        <v>733.4600245</v>
      </c>
      <c r="G245" s="48" t="n">
        <f aca="false">IF(E245&lt;=QUARTILE($E$2:$E$246,1),4,IF(E245&lt;=QUARTILE($E$2:$E$246,2),3,IF(E245&lt;=QUARTILE($E$2:$E$246,3),2,1)))</f>
        <v>4</v>
      </c>
      <c r="H245" s="48" t="n">
        <f aca="false">IF(B245&gt;QUARTILE($B$2:$B$246,3),4,IF(B245&gt;QUARTILE($B$2:$B$246,2),3,IF(B245&gt;QUARTILE($B$2:$B$246,1),2,1)))</f>
        <v>4</v>
      </c>
      <c r="I245" s="48" t="n">
        <f aca="false">IF(C245&gt;QUARTILE($C$2:$C$246,3),4,IF(C245&gt;QUARTILE($C$2:$C$246,2),3,IF(C245&gt;QUARTILE($C$2:$C$246,1),2,1)))</f>
        <v>4</v>
      </c>
      <c r="J245" s="48" t="n">
        <f aca="false">G245+H245+I245</f>
        <v>12</v>
      </c>
      <c r="K245" s="44" t="str">
        <f aca="false">IF(J245&gt;=rfv_campeoes,"Campeões",IF(J245&gt;=rfv_leais,"Leais",IF(J245&gt;=rfv_atencao,"Atenção","Em risco")))</f>
        <v>Campeões</v>
      </c>
    </row>
    <row r="246" customFormat="false" ht="15" hidden="false" customHeight="false" outlineLevel="0" collapsed="false">
      <c r="A246" s="44" t="s">
        <v>489</v>
      </c>
      <c r="B246" s="48" t="n">
        <f aca="false">COUNTIFS(v_cliente,A246)</f>
        <v>7</v>
      </c>
      <c r="C246" s="46" t="n">
        <f aca="false">SUMIFS(v_valor,v_cliente,A246)</f>
        <v>1718.86</v>
      </c>
      <c r="D246" s="45" t="n">
        <f aca="false">_xlfn.MAXIFS(v_data,v_cliente,A246)</f>
        <v>45578</v>
      </c>
      <c r="E246" s="48" t="n">
        <f aca="false">rfv_ref-D246</f>
        <v>80</v>
      </c>
      <c r="F246" s="49" t="n">
        <f aca="false">C246+ROW()/10000000</f>
        <v>1718.8600246</v>
      </c>
      <c r="G246" s="48" t="n">
        <f aca="false">IF(E246&lt;=QUARTILE($E$2:$E$246,1),4,IF(E246&lt;=QUARTILE($E$2:$E$246,2),3,IF(E246&lt;=QUARTILE($E$2:$E$246,3),2,1)))</f>
        <v>2</v>
      </c>
      <c r="H246" s="48" t="n">
        <f aca="false">IF(B246&gt;QUARTILE($B$2:$B$246,3),4,IF(B246&gt;QUARTILE($B$2:$B$246,2),3,IF(B246&gt;QUARTILE($B$2:$B$246,1),2,1)))</f>
        <v>4</v>
      </c>
      <c r="I246" s="48" t="n">
        <f aca="false">IF(C246&gt;QUARTILE($C$2:$C$246,3),4,IF(C246&gt;QUARTILE($C$2:$C$246,2),3,IF(C246&gt;QUARTILE($C$2:$C$246,1),2,1)))</f>
        <v>4</v>
      </c>
      <c r="J246" s="48" t="n">
        <f aca="false">G246+H246+I246</f>
        <v>10</v>
      </c>
      <c r="K246" s="44" t="str">
        <f aca="false">IF(J246&gt;=rfv_campeoes,"Campeões",IF(J246&gt;=rfv_leais,"Leais",IF(J246&gt;=rfv_atencao,"Atenção","Em risco")))</f>
        <v>Campeões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4" t="s">
        <v>573</v>
      </c>
      <c r="B1" s="14" t="s">
        <v>574</v>
      </c>
      <c r="C1" s="14" t="s">
        <v>575</v>
      </c>
      <c r="D1" s="14" t="s">
        <v>576</v>
      </c>
      <c r="E1" s="14" t="s">
        <v>258</v>
      </c>
    </row>
    <row r="2" customFormat="false" ht="15" hidden="false" customHeight="false" outlineLevel="0" collapsed="false">
      <c r="A2" s="48" t="n">
        <v>1</v>
      </c>
      <c r="B2" s="46" t="n">
        <f aca="false">LARGE(v_valor,A2)</f>
        <v>1462.48</v>
      </c>
      <c r="C2" s="46" t="n">
        <f aca="false">B2</f>
        <v>1462.48</v>
      </c>
      <c r="D2" s="50" t="n">
        <f aca="false">C2/SUM(v_valor)</f>
        <v>0.0133749913232844</v>
      </c>
      <c r="E2" s="50" t="n">
        <f aca="false">A2/1000</f>
        <v>0.001</v>
      </c>
    </row>
    <row r="3" customFormat="false" ht="15" hidden="false" customHeight="false" outlineLevel="0" collapsed="false">
      <c r="A3" s="48" t="n">
        <v>2</v>
      </c>
      <c r="B3" s="46" t="n">
        <f aca="false">LARGE(v_valor,A3)</f>
        <v>1253.88</v>
      </c>
      <c r="C3" s="46" t="n">
        <f aca="false">C2+B3</f>
        <v>2716.36</v>
      </c>
      <c r="D3" s="50" t="n">
        <f aca="false">C3/SUM(v_valor)</f>
        <v>0.0248422483937673</v>
      </c>
      <c r="E3" s="50" t="n">
        <f aca="false">A3/1000</f>
        <v>0.002</v>
      </c>
    </row>
    <row r="4" customFormat="false" ht="15" hidden="false" customHeight="false" outlineLevel="0" collapsed="false">
      <c r="A4" s="48" t="n">
        <v>3</v>
      </c>
      <c r="B4" s="46" t="n">
        <f aca="false">LARGE(v_valor,A4)</f>
        <v>1221.59</v>
      </c>
      <c r="C4" s="46" t="n">
        <f aca="false">C3+B4</f>
        <v>3937.95</v>
      </c>
      <c r="D4" s="50" t="n">
        <f aca="false">C4/SUM(v_valor)</f>
        <v>0.036014199908052</v>
      </c>
      <c r="E4" s="50" t="n">
        <f aca="false">A4/1000</f>
        <v>0.003</v>
      </c>
    </row>
    <row r="5" customFormat="false" ht="15" hidden="false" customHeight="false" outlineLevel="0" collapsed="false">
      <c r="A5" s="48" t="n">
        <v>4</v>
      </c>
      <c r="B5" s="46" t="n">
        <f aca="false">LARGE(v_valor,A5)</f>
        <v>1215.34</v>
      </c>
      <c r="C5" s="46" t="n">
        <f aca="false">C4+B5</f>
        <v>5153.29</v>
      </c>
      <c r="D5" s="50" t="n">
        <f aca="false">C5/SUM(v_valor)</f>
        <v>0.0471289925580988</v>
      </c>
      <c r="E5" s="50" t="n">
        <f aca="false">A5/1000</f>
        <v>0.004</v>
      </c>
    </row>
    <row r="6" customFormat="false" ht="15" hidden="false" customHeight="false" outlineLevel="0" collapsed="false">
      <c r="A6" s="48" t="n">
        <v>5</v>
      </c>
      <c r="B6" s="46" t="n">
        <f aca="false">LARGE(v_valor,A6)</f>
        <v>1102.86</v>
      </c>
      <c r="C6" s="46" t="n">
        <f aca="false">C5+B6</f>
        <v>6256.15</v>
      </c>
      <c r="D6" s="50" t="n">
        <f aca="false">C6/SUM(v_valor)</f>
        <v>0.0572151085602304</v>
      </c>
      <c r="E6" s="50" t="n">
        <f aca="false">A6/1000</f>
        <v>0.005</v>
      </c>
    </row>
    <row r="7" customFormat="false" ht="15" hidden="false" customHeight="false" outlineLevel="0" collapsed="false">
      <c r="A7" s="48" t="n">
        <v>6</v>
      </c>
      <c r="B7" s="46" t="n">
        <f aca="false">LARGE(v_valor,A7)</f>
        <v>1033.5</v>
      </c>
      <c r="C7" s="46" t="n">
        <f aca="false">C6+B7</f>
        <v>7289.65</v>
      </c>
      <c r="D7" s="50" t="n">
        <f aca="false">C7/SUM(v_valor)</f>
        <v>0.0666668983505964</v>
      </c>
      <c r="E7" s="50" t="n">
        <f aca="false">A7/1000</f>
        <v>0.006</v>
      </c>
    </row>
    <row r="8" customFormat="false" ht="15" hidden="false" customHeight="false" outlineLevel="0" collapsed="false">
      <c r="A8" s="48" t="n">
        <v>7</v>
      </c>
      <c r="B8" s="46" t="n">
        <f aca="false">LARGE(v_valor,A8)</f>
        <v>977.39</v>
      </c>
      <c r="C8" s="46" t="n">
        <f aca="false">C7+B8</f>
        <v>8267.04</v>
      </c>
      <c r="D8" s="50" t="n">
        <f aca="false">C8/SUM(v_valor)</f>
        <v>0.0756055387213809</v>
      </c>
      <c r="E8" s="50" t="n">
        <f aca="false">A8/1000</f>
        <v>0.007</v>
      </c>
    </row>
    <row r="9" customFormat="false" ht="15" hidden="false" customHeight="false" outlineLevel="0" collapsed="false">
      <c r="A9" s="48" t="n">
        <v>8</v>
      </c>
      <c r="B9" s="46" t="n">
        <f aca="false">LARGE(v_valor,A9)</f>
        <v>925.06</v>
      </c>
      <c r="C9" s="46" t="n">
        <f aca="false">C8+B9</f>
        <v>9192.1</v>
      </c>
      <c r="D9" s="50" t="n">
        <f aca="false">C9/SUM(v_valor)</f>
        <v>0.084065599353675</v>
      </c>
      <c r="E9" s="50" t="n">
        <f aca="false">A9/1000</f>
        <v>0.008</v>
      </c>
    </row>
    <row r="10" customFormat="false" ht="15" hidden="false" customHeight="false" outlineLevel="0" collapsed="false">
      <c r="A10" s="48" t="n">
        <v>9</v>
      </c>
      <c r="B10" s="46" t="n">
        <f aca="false">LARGE(v_valor,A10)</f>
        <v>831.15</v>
      </c>
      <c r="C10" s="46" t="n">
        <f aca="false">C9+B10</f>
        <v>10023.25</v>
      </c>
      <c r="D10" s="50" t="n">
        <f aca="false">C10/SUM(v_valor)</f>
        <v>0.0916668137554773</v>
      </c>
      <c r="E10" s="50" t="n">
        <f aca="false">A10/1000</f>
        <v>0.009</v>
      </c>
    </row>
    <row r="11" customFormat="false" ht="15" hidden="false" customHeight="false" outlineLevel="0" collapsed="false">
      <c r="A11" s="48" t="n">
        <v>10</v>
      </c>
      <c r="B11" s="46" t="n">
        <f aca="false">LARGE(v_valor,A11)</f>
        <v>811.25</v>
      </c>
      <c r="C11" s="46" t="n">
        <f aca="false">C10+B11</f>
        <v>10834.5</v>
      </c>
      <c r="D11" s="50" t="n">
        <f aca="false">C11/SUM(v_valor)</f>
        <v>0.0990860343335464</v>
      </c>
      <c r="E11" s="50" t="n">
        <f aca="false">A11/1000</f>
        <v>0.01</v>
      </c>
    </row>
    <row r="12" customFormat="false" ht="15" hidden="false" customHeight="false" outlineLevel="0" collapsed="false">
      <c r="A12" s="48" t="n">
        <v>11</v>
      </c>
      <c r="B12" s="46" t="n">
        <f aca="false">LARGE(v_valor,A12)</f>
        <v>773.74</v>
      </c>
      <c r="C12" s="46" t="n">
        <f aca="false">C11+B12</f>
        <v>11608.24</v>
      </c>
      <c r="D12" s="50" t="n">
        <f aca="false">C12/SUM(v_valor)</f>
        <v>0.106162210272006</v>
      </c>
      <c r="E12" s="50" t="n">
        <f aca="false">A12/1000</f>
        <v>0.011</v>
      </c>
    </row>
    <row r="13" customFormat="false" ht="15" hidden="false" customHeight="false" outlineLevel="0" collapsed="false">
      <c r="A13" s="48" t="n">
        <v>12</v>
      </c>
      <c r="B13" s="46" t="n">
        <f aca="false">LARGE(v_valor,A13)</f>
        <v>758.2</v>
      </c>
      <c r="C13" s="46" t="n">
        <f aca="false">C12+B13</f>
        <v>12366.44</v>
      </c>
      <c r="D13" s="50" t="n">
        <f aca="false">C13/SUM(v_valor)</f>
        <v>0.113096266410424</v>
      </c>
      <c r="E13" s="50" t="n">
        <f aca="false">A13/1000</f>
        <v>0.012</v>
      </c>
    </row>
    <row r="14" customFormat="false" ht="15" hidden="false" customHeight="false" outlineLevel="0" collapsed="false">
      <c r="A14" s="48" t="n">
        <v>13</v>
      </c>
      <c r="B14" s="46" t="n">
        <f aca="false">LARGE(v_valor,A14)</f>
        <v>753.35</v>
      </c>
      <c r="C14" s="46" t="n">
        <f aca="false">C13+B14</f>
        <v>13119.79</v>
      </c>
      <c r="D14" s="50" t="n">
        <f aca="false">C14/SUM(v_valor)</f>
        <v>0.119985967270194</v>
      </c>
      <c r="E14" s="50" t="n">
        <f aca="false">A14/1000</f>
        <v>0.013</v>
      </c>
    </row>
    <row r="15" customFormat="false" ht="15" hidden="false" customHeight="false" outlineLevel="0" collapsed="false">
      <c r="A15" s="48" t="n">
        <v>14</v>
      </c>
      <c r="B15" s="46" t="n">
        <f aca="false">LARGE(v_valor,A15)</f>
        <v>753.31</v>
      </c>
      <c r="C15" s="46" t="n">
        <f aca="false">C14+B15</f>
        <v>13873.1</v>
      </c>
      <c r="D15" s="50" t="n">
        <f aca="false">C15/SUM(v_valor)</f>
        <v>0.126875302313233</v>
      </c>
      <c r="E15" s="50" t="n">
        <f aca="false">A15/1000</f>
        <v>0.014</v>
      </c>
    </row>
    <row r="16" customFormat="false" ht="15" hidden="false" customHeight="false" outlineLevel="0" collapsed="false">
      <c r="A16" s="48" t="n">
        <v>15</v>
      </c>
      <c r="B16" s="46" t="n">
        <f aca="false">LARGE(v_valor,A16)</f>
        <v>742.94</v>
      </c>
      <c r="C16" s="46" t="n">
        <f aca="false">C15+B16</f>
        <v>14616.04</v>
      </c>
      <c r="D16" s="50" t="n">
        <f aca="false">C16/SUM(v_valor)</f>
        <v>0.133669799368728</v>
      </c>
      <c r="E16" s="50" t="n">
        <f aca="false">A16/1000</f>
        <v>0.015</v>
      </c>
    </row>
    <row r="17" customFormat="false" ht="15" hidden="false" customHeight="false" outlineLevel="0" collapsed="false">
      <c r="A17" s="48" t="n">
        <v>16</v>
      </c>
      <c r="B17" s="46" t="n">
        <f aca="false">LARGE(v_valor,A17)</f>
        <v>738.22</v>
      </c>
      <c r="C17" s="46" t="n">
        <f aca="false">C16+B17</f>
        <v>15354.26</v>
      </c>
      <c r="D17" s="50" t="n">
        <f aca="false">C17/SUM(v_valor)</f>
        <v>0.140421130049951</v>
      </c>
      <c r="E17" s="50" t="n">
        <f aca="false">A17/1000</f>
        <v>0.016</v>
      </c>
    </row>
    <row r="18" customFormat="false" ht="15" hidden="false" customHeight="false" outlineLevel="0" collapsed="false">
      <c r="A18" s="48" t="n">
        <v>17</v>
      </c>
      <c r="B18" s="46" t="n">
        <f aca="false">LARGE(v_valor,A18)</f>
        <v>696.78</v>
      </c>
      <c r="C18" s="46" t="n">
        <f aca="false">C17+B18</f>
        <v>16051.04</v>
      </c>
      <c r="D18" s="50" t="n">
        <f aca="false">C18/SUM(v_valor)</f>
        <v>0.146793474597732</v>
      </c>
      <c r="E18" s="50" t="n">
        <f aca="false">A18/1000</f>
        <v>0.017</v>
      </c>
    </row>
    <row r="19" customFormat="false" ht="15" hidden="false" customHeight="false" outlineLevel="0" collapsed="false">
      <c r="A19" s="48" t="n">
        <v>18</v>
      </c>
      <c r="B19" s="46" t="n">
        <f aca="false">LARGE(v_valor,A19)</f>
        <v>687.92</v>
      </c>
      <c r="C19" s="46" t="n">
        <f aca="false">C18+B19</f>
        <v>16738.96</v>
      </c>
      <c r="D19" s="50" t="n">
        <f aca="false">C19/SUM(v_valor)</f>
        <v>0.153084790739569</v>
      </c>
      <c r="E19" s="50" t="n">
        <f aca="false">A19/1000</f>
        <v>0.018</v>
      </c>
    </row>
    <row r="20" customFormat="false" ht="15" hidden="false" customHeight="false" outlineLevel="0" collapsed="false">
      <c r="A20" s="48" t="n">
        <v>19</v>
      </c>
      <c r="B20" s="46" t="n">
        <f aca="false">LARGE(v_valor,A20)</f>
        <v>655.27</v>
      </c>
      <c r="C20" s="46" t="n">
        <f aca="false">C19+B20</f>
        <v>17394.23</v>
      </c>
      <c r="D20" s="50" t="n">
        <f aca="false">C20/SUM(v_valor)</f>
        <v>0.159077508974628</v>
      </c>
      <c r="E20" s="50" t="n">
        <f aca="false">A20/1000</f>
        <v>0.019</v>
      </c>
    </row>
    <row r="21" customFormat="false" ht="15" hidden="false" customHeight="false" outlineLevel="0" collapsed="false">
      <c r="A21" s="48" t="n">
        <v>20</v>
      </c>
      <c r="B21" s="46" t="n">
        <f aca="false">LARGE(v_valor,A21)</f>
        <v>653.39</v>
      </c>
      <c r="C21" s="46" t="n">
        <f aca="false">C20+B21</f>
        <v>18047.62</v>
      </c>
      <c r="D21" s="50" t="n">
        <f aca="false">C21/SUM(v_valor)</f>
        <v>0.165053033823324</v>
      </c>
      <c r="E21" s="50" t="n">
        <f aca="false">A21/1000</f>
        <v>0.02</v>
      </c>
    </row>
    <row r="22" customFormat="false" ht="15" hidden="false" customHeight="false" outlineLevel="0" collapsed="false">
      <c r="A22" s="48" t="n">
        <v>21</v>
      </c>
      <c r="B22" s="46" t="n">
        <f aca="false">LARGE(v_valor,A22)</f>
        <v>648</v>
      </c>
      <c r="C22" s="46" t="n">
        <f aca="false">C21+B22</f>
        <v>18695.62</v>
      </c>
      <c r="D22" s="50" t="n">
        <f aca="false">C22/SUM(v_valor)</f>
        <v>0.170979264867501</v>
      </c>
      <c r="E22" s="50" t="n">
        <f aca="false">A22/1000</f>
        <v>0.021</v>
      </c>
    </row>
    <row r="23" customFormat="false" ht="15" hidden="false" customHeight="false" outlineLevel="0" collapsed="false">
      <c r="A23" s="48" t="n">
        <v>22</v>
      </c>
      <c r="B23" s="46" t="n">
        <f aca="false">LARGE(v_valor,A23)</f>
        <v>643.68</v>
      </c>
      <c r="C23" s="46" t="n">
        <f aca="false">C22+B23</f>
        <v>19339.3</v>
      </c>
      <c r="D23" s="50" t="n">
        <f aca="false">C23/SUM(v_valor)</f>
        <v>0.176865987704717</v>
      </c>
      <c r="E23" s="50" t="n">
        <f aca="false">A23/1000</f>
        <v>0.022</v>
      </c>
    </row>
    <row r="24" customFormat="false" ht="15" hidden="false" customHeight="false" outlineLevel="0" collapsed="false">
      <c r="A24" s="48" t="n">
        <v>23</v>
      </c>
      <c r="B24" s="46" t="n">
        <f aca="false">LARGE(v_valor,A24)</f>
        <v>643.28</v>
      </c>
      <c r="C24" s="46" t="n">
        <f aca="false">C23+B24</f>
        <v>19982.58</v>
      </c>
      <c r="D24" s="50" t="n">
        <f aca="false">C24/SUM(v_valor)</f>
        <v>0.182749052374622</v>
      </c>
      <c r="E24" s="50" t="n">
        <f aca="false">A24/1000</f>
        <v>0.023</v>
      </c>
    </row>
    <row r="25" customFormat="false" ht="15" hidden="false" customHeight="false" outlineLevel="0" collapsed="false">
      <c r="A25" s="48" t="n">
        <v>24</v>
      </c>
      <c r="B25" s="46" t="n">
        <f aca="false">LARGE(v_valor,A25)</f>
        <v>642.56</v>
      </c>
      <c r="C25" s="46" t="n">
        <f aca="false">C24+B25</f>
        <v>20625.14</v>
      </c>
      <c r="D25" s="50" t="n">
        <f aca="false">C25/SUM(v_valor)</f>
        <v>0.188625532343366</v>
      </c>
      <c r="E25" s="50" t="n">
        <f aca="false">A25/1000</f>
        <v>0.024</v>
      </c>
    </row>
    <row r="26" customFormat="false" ht="15" hidden="false" customHeight="false" outlineLevel="0" collapsed="false">
      <c r="A26" s="48" t="n">
        <v>25</v>
      </c>
      <c r="B26" s="46" t="n">
        <f aca="false">LARGE(v_valor,A26)</f>
        <v>636.02</v>
      </c>
      <c r="C26" s="46" t="n">
        <f aca="false">C25+B26</f>
        <v>21261.16</v>
      </c>
      <c r="D26" s="50" t="n">
        <f aca="false">C26/SUM(v_valor)</f>
        <v>0.194442201276572</v>
      </c>
      <c r="E26" s="50" t="n">
        <f aca="false">A26/1000</f>
        <v>0.025</v>
      </c>
    </row>
    <row r="27" customFormat="false" ht="15" hidden="false" customHeight="false" outlineLevel="0" collapsed="false">
      <c r="A27" s="48" t="n">
        <v>26</v>
      </c>
      <c r="B27" s="46" t="n">
        <f aca="false">LARGE(v_valor,A27)</f>
        <v>627.41</v>
      </c>
      <c r="C27" s="46" t="n">
        <f aca="false">C26+B27</f>
        <v>21888.57</v>
      </c>
      <c r="D27" s="50" t="n">
        <f aca="false">C27/SUM(v_valor)</f>
        <v>0.200180128158405</v>
      </c>
      <c r="E27" s="50" t="n">
        <f aca="false">A27/1000</f>
        <v>0.026</v>
      </c>
    </row>
    <row r="28" customFormat="false" ht="15" hidden="false" customHeight="false" outlineLevel="0" collapsed="false">
      <c r="A28" s="48" t="n">
        <v>27</v>
      </c>
      <c r="B28" s="46" t="n">
        <f aca="false">LARGE(v_valor,A28)</f>
        <v>625.65</v>
      </c>
      <c r="C28" s="46" t="n">
        <f aca="false">C27+B28</f>
        <v>22514.22</v>
      </c>
      <c r="D28" s="50" t="n">
        <f aca="false">C28/SUM(v_valor)</f>
        <v>0.205901959104067</v>
      </c>
      <c r="E28" s="50" t="n">
        <f aca="false">A28/1000</f>
        <v>0.027</v>
      </c>
    </row>
    <row r="29" customFormat="false" ht="15" hidden="false" customHeight="false" outlineLevel="0" collapsed="false">
      <c r="A29" s="48" t="n">
        <v>28</v>
      </c>
      <c r="B29" s="46" t="n">
        <f aca="false">LARGE(v_valor,A29)</f>
        <v>601.26</v>
      </c>
      <c r="C29" s="46" t="n">
        <f aca="false">C28+B29</f>
        <v>23115.48</v>
      </c>
      <c r="D29" s="50" t="n">
        <f aca="false">C29/SUM(v_valor)</f>
        <v>0.211400733297928</v>
      </c>
      <c r="E29" s="50" t="n">
        <f aca="false">A29/1000</f>
        <v>0.028</v>
      </c>
    </row>
    <row r="30" customFormat="false" ht="15" hidden="false" customHeight="false" outlineLevel="0" collapsed="false">
      <c r="A30" s="48" t="n">
        <v>29</v>
      </c>
      <c r="B30" s="46" t="n">
        <f aca="false">LARGE(v_valor,A30)</f>
        <v>601.19</v>
      </c>
      <c r="C30" s="46" t="n">
        <f aca="false">C29+B30</f>
        <v>23716.67</v>
      </c>
      <c r="D30" s="50" t="n">
        <f aca="false">C30/SUM(v_valor)</f>
        <v>0.21689886731251</v>
      </c>
      <c r="E30" s="50" t="n">
        <f aca="false">A30/1000</f>
        <v>0.029</v>
      </c>
    </row>
    <row r="31" customFormat="false" ht="15" hidden="false" customHeight="false" outlineLevel="0" collapsed="false">
      <c r="A31" s="48" t="n">
        <v>30</v>
      </c>
      <c r="B31" s="46" t="n">
        <f aca="false">LARGE(v_valor,A31)</f>
        <v>581.12</v>
      </c>
      <c r="C31" s="46" t="n">
        <f aca="false">C30+B31</f>
        <v>24297.79</v>
      </c>
      <c r="D31" s="50" t="n">
        <f aca="false">C31/SUM(v_valor)</f>
        <v>0.222213452782251</v>
      </c>
      <c r="E31" s="50" t="n">
        <f aca="false">A31/1000</f>
        <v>0.03</v>
      </c>
    </row>
    <row r="32" customFormat="false" ht="15" hidden="false" customHeight="false" outlineLevel="0" collapsed="false">
      <c r="A32" s="48" t="n">
        <v>31</v>
      </c>
      <c r="B32" s="46" t="n">
        <f aca="false">LARGE(v_valor,A32)</f>
        <v>568.06</v>
      </c>
      <c r="C32" s="46" t="n">
        <f aca="false">C31+B32</f>
        <v>24865.85</v>
      </c>
      <c r="D32" s="50" t="n">
        <f aca="false">C32/SUM(v_valor)</f>
        <v>0.227408599089281</v>
      </c>
      <c r="E32" s="50" t="n">
        <f aca="false">A32/1000</f>
        <v>0.031</v>
      </c>
    </row>
    <row r="33" customFormat="false" ht="15" hidden="false" customHeight="false" outlineLevel="0" collapsed="false">
      <c r="A33" s="48" t="n">
        <v>32</v>
      </c>
      <c r="B33" s="46" t="n">
        <f aca="false">LARGE(v_valor,A33)</f>
        <v>564</v>
      </c>
      <c r="C33" s="46" t="n">
        <f aca="false">C32+B33</f>
        <v>25429.85</v>
      </c>
      <c r="D33" s="50" t="n">
        <f aca="false">C33/SUM(v_valor)</f>
        <v>0.232566614998102</v>
      </c>
      <c r="E33" s="50" t="n">
        <f aca="false">A33/1000</f>
        <v>0.032</v>
      </c>
    </row>
    <row r="34" customFormat="false" ht="15" hidden="false" customHeight="false" outlineLevel="0" collapsed="false">
      <c r="A34" s="48" t="n">
        <v>33</v>
      </c>
      <c r="B34" s="46" t="n">
        <f aca="false">LARGE(v_valor,A34)</f>
        <v>556.38</v>
      </c>
      <c r="C34" s="46" t="n">
        <f aca="false">C33+B34</f>
        <v>25986.23</v>
      </c>
      <c r="D34" s="50" t="n">
        <f aca="false">C34/SUM(v_valor)</f>
        <v>0.237654942819644</v>
      </c>
      <c r="E34" s="50" t="n">
        <f aca="false">A34/1000</f>
        <v>0.033</v>
      </c>
    </row>
    <row r="35" customFormat="false" ht="15" hidden="false" customHeight="false" outlineLevel="0" collapsed="false">
      <c r="A35" s="48" t="n">
        <v>34</v>
      </c>
      <c r="B35" s="46" t="n">
        <f aca="false">LARGE(v_valor,A35)</f>
        <v>545.99</v>
      </c>
      <c r="C35" s="46" t="n">
        <f aca="false">C34+B35</f>
        <v>26532.22</v>
      </c>
      <c r="D35" s="50" t="n">
        <f aca="false">C35/SUM(v_valor)</f>
        <v>0.242648249745277</v>
      </c>
      <c r="E35" s="50" t="n">
        <f aca="false">A35/1000</f>
        <v>0.034</v>
      </c>
    </row>
    <row r="36" customFormat="false" ht="15" hidden="false" customHeight="false" outlineLevel="0" collapsed="false">
      <c r="A36" s="48" t="n">
        <v>35</v>
      </c>
      <c r="B36" s="46" t="n">
        <f aca="false">LARGE(v_valor,A36)</f>
        <v>532.43</v>
      </c>
      <c r="C36" s="46" t="n">
        <f aca="false">C35+B36</f>
        <v>27064.65</v>
      </c>
      <c r="D36" s="50" t="n">
        <f aca="false">C36/SUM(v_valor)</f>
        <v>0.24751754479906</v>
      </c>
      <c r="E36" s="50" t="n">
        <f aca="false">A36/1000</f>
        <v>0.035</v>
      </c>
    </row>
    <row r="37" customFormat="false" ht="15" hidden="false" customHeight="false" outlineLevel="0" collapsed="false">
      <c r="A37" s="48" t="n">
        <v>36</v>
      </c>
      <c r="B37" s="46" t="n">
        <f aca="false">LARGE(v_valor,A37)</f>
        <v>519.49</v>
      </c>
      <c r="C37" s="46" t="n">
        <f aca="false">C36+B37</f>
        <v>27584.14</v>
      </c>
      <c r="D37" s="50" t="n">
        <f aca="false">C37/SUM(v_valor)</f>
        <v>0.252268498140325</v>
      </c>
      <c r="E37" s="50" t="n">
        <f aca="false">A37/1000</f>
        <v>0.036</v>
      </c>
    </row>
    <row r="38" customFormat="false" ht="15" hidden="false" customHeight="false" outlineLevel="0" collapsed="false">
      <c r="A38" s="48" t="n">
        <v>37</v>
      </c>
      <c r="B38" s="46" t="n">
        <f aca="false">LARGE(v_valor,A38)</f>
        <v>515.93</v>
      </c>
      <c r="C38" s="46" t="n">
        <f aca="false">C37+B38</f>
        <v>28100.07</v>
      </c>
      <c r="D38" s="50" t="n">
        <f aca="false">C38/SUM(v_valor)</f>
        <v>0.25698689379252</v>
      </c>
      <c r="E38" s="50" t="n">
        <f aca="false">A38/1000</f>
        <v>0.037</v>
      </c>
    </row>
    <row r="39" customFormat="false" ht="15" hidden="false" customHeight="false" outlineLevel="0" collapsed="false">
      <c r="A39" s="48" t="n">
        <v>38</v>
      </c>
      <c r="B39" s="46" t="n">
        <f aca="false">LARGE(v_valor,A39)</f>
        <v>503.23</v>
      </c>
      <c r="C39" s="46" t="n">
        <f aca="false">C38+B39</f>
        <v>28603.3</v>
      </c>
      <c r="D39" s="50" t="n">
        <f aca="false">C39/SUM(v_valor)</f>
        <v>0.261589142632584</v>
      </c>
      <c r="E39" s="50" t="n">
        <f aca="false">A39/1000</f>
        <v>0.038</v>
      </c>
    </row>
    <row r="40" customFormat="false" ht="15" hidden="false" customHeight="false" outlineLevel="0" collapsed="false">
      <c r="A40" s="48" t="n">
        <v>39</v>
      </c>
      <c r="B40" s="46" t="n">
        <f aca="false">LARGE(v_valor,A40)</f>
        <v>495.33</v>
      </c>
      <c r="C40" s="46" t="n">
        <f aca="false">C39+B40</f>
        <v>29098.63</v>
      </c>
      <c r="D40" s="50" t="n">
        <f aca="false">C40/SUM(v_valor)</f>
        <v>0.266119142668251</v>
      </c>
      <c r="E40" s="50" t="n">
        <f aca="false">A40/1000</f>
        <v>0.039</v>
      </c>
    </row>
    <row r="41" customFormat="false" ht="15" hidden="false" customHeight="false" outlineLevel="0" collapsed="false">
      <c r="A41" s="48" t="n">
        <v>40</v>
      </c>
      <c r="B41" s="46" t="n">
        <f aca="false">LARGE(v_valor,A41)</f>
        <v>494.03</v>
      </c>
      <c r="C41" s="46" t="n">
        <f aca="false">C40+B41</f>
        <v>29592.66</v>
      </c>
      <c r="D41" s="50" t="n">
        <f aca="false">C41/SUM(v_valor)</f>
        <v>0.270637253660157</v>
      </c>
      <c r="E41" s="50" t="n">
        <f aca="false">A41/1000</f>
        <v>0.04</v>
      </c>
    </row>
    <row r="42" customFormat="false" ht="15" hidden="false" customHeight="false" outlineLevel="0" collapsed="false">
      <c r="A42" s="48" t="n">
        <v>41</v>
      </c>
      <c r="B42" s="46" t="n">
        <f aca="false">LARGE(v_valor,A42)</f>
        <v>493.54</v>
      </c>
      <c r="C42" s="46" t="n">
        <f aca="false">C41+B42</f>
        <v>30086.2</v>
      </c>
      <c r="D42" s="50" t="n">
        <f aca="false">C42/SUM(v_valor)</f>
        <v>0.275150883397106</v>
      </c>
      <c r="E42" s="50" t="n">
        <f aca="false">A42/1000</f>
        <v>0.041</v>
      </c>
    </row>
    <row r="43" customFormat="false" ht="15" hidden="false" customHeight="false" outlineLevel="0" collapsed="false">
      <c r="A43" s="48" t="n">
        <v>42</v>
      </c>
      <c r="B43" s="46" t="n">
        <f aca="false">LARGE(v_valor,A43)</f>
        <v>481.49</v>
      </c>
      <c r="C43" s="46" t="n">
        <f aca="false">C42+B43</f>
        <v>30567.69</v>
      </c>
      <c r="D43" s="50" t="n">
        <f aca="false">C43/SUM(v_valor)</f>
        <v>0.279554310843805</v>
      </c>
      <c r="E43" s="50" t="n">
        <f aca="false">A43/1000</f>
        <v>0.042</v>
      </c>
    </row>
    <row r="44" customFormat="false" ht="15" hidden="false" customHeight="false" outlineLevel="0" collapsed="false">
      <c r="A44" s="48" t="n">
        <v>43</v>
      </c>
      <c r="B44" s="46" t="n">
        <f aca="false">LARGE(v_valor,A44)</f>
        <v>480.08</v>
      </c>
      <c r="C44" s="46" t="n">
        <f aca="false">C43+B44</f>
        <v>31047.77</v>
      </c>
      <c r="D44" s="50" t="n">
        <f aca="false">C44/SUM(v_valor)</f>
        <v>0.283944843250732</v>
      </c>
      <c r="E44" s="50" t="n">
        <f aca="false">A44/1000</f>
        <v>0.043</v>
      </c>
    </row>
    <row r="45" customFormat="false" ht="15" hidden="false" customHeight="false" outlineLevel="0" collapsed="false">
      <c r="A45" s="48" t="n">
        <v>44</v>
      </c>
      <c r="B45" s="46" t="n">
        <f aca="false">LARGE(v_valor,A45)</f>
        <v>474.32</v>
      </c>
      <c r="C45" s="46" t="n">
        <f aca="false">C44+B45</f>
        <v>31522.09</v>
      </c>
      <c r="D45" s="50" t="n">
        <f aca="false">C45/SUM(v_valor)</f>
        <v>0.288282698048377</v>
      </c>
      <c r="E45" s="50" t="n">
        <f aca="false">A45/1000</f>
        <v>0.044</v>
      </c>
    </row>
    <row r="46" customFormat="false" ht="15" hidden="false" customHeight="false" outlineLevel="0" collapsed="false">
      <c r="A46" s="48" t="n">
        <v>45</v>
      </c>
      <c r="B46" s="46" t="n">
        <f aca="false">LARGE(v_valor,A46)</f>
        <v>464.85</v>
      </c>
      <c r="C46" s="46" t="n">
        <f aca="false">C45+B46</f>
        <v>31986.94</v>
      </c>
      <c r="D46" s="50" t="n">
        <f aca="false">C46/SUM(v_valor)</f>
        <v>0.292533945734929</v>
      </c>
      <c r="E46" s="50" t="n">
        <f aca="false">A46/1000</f>
        <v>0.045</v>
      </c>
    </row>
    <row r="47" customFormat="false" ht="15" hidden="false" customHeight="false" outlineLevel="0" collapsed="false">
      <c r="A47" s="48" t="n">
        <v>46</v>
      </c>
      <c r="B47" s="46" t="n">
        <f aca="false">LARGE(v_valor,A47)</f>
        <v>457.52</v>
      </c>
      <c r="C47" s="46" t="n">
        <f aca="false">C46+B47</f>
        <v>32444.46</v>
      </c>
      <c r="D47" s="50" t="n">
        <f aca="false">C47/SUM(v_valor)</f>
        <v>0.296718157505503</v>
      </c>
      <c r="E47" s="50" t="n">
        <f aca="false">A47/1000</f>
        <v>0.046</v>
      </c>
    </row>
    <row r="48" customFormat="false" ht="15" hidden="false" customHeight="false" outlineLevel="0" collapsed="false">
      <c r="A48" s="48" t="n">
        <v>47</v>
      </c>
      <c r="B48" s="46" t="n">
        <f aca="false">LARGE(v_valor,A48)</f>
        <v>454.67</v>
      </c>
      <c r="C48" s="46" t="n">
        <f aca="false">C47+B48</f>
        <v>32899.13</v>
      </c>
      <c r="D48" s="50" t="n">
        <f aca="false">C48/SUM(v_valor)</f>
        <v>0.300876304833985</v>
      </c>
      <c r="E48" s="50" t="n">
        <f aca="false">A48/1000</f>
        <v>0.047</v>
      </c>
    </row>
    <row r="49" customFormat="false" ht="15" hidden="false" customHeight="false" outlineLevel="0" collapsed="false">
      <c r="A49" s="48" t="n">
        <v>48</v>
      </c>
      <c r="B49" s="46" t="n">
        <f aca="false">LARGE(v_valor,A49)</f>
        <v>446.29</v>
      </c>
      <c r="C49" s="46" t="n">
        <f aca="false">C48+B49</f>
        <v>33345.42</v>
      </c>
      <c r="D49" s="50" t="n">
        <f aca="false">C49/SUM(v_valor)</f>
        <v>0.304957813557296</v>
      </c>
      <c r="E49" s="50" t="n">
        <f aca="false">A49/1000</f>
        <v>0.048</v>
      </c>
    </row>
    <row r="50" customFormat="false" ht="15" hidden="false" customHeight="false" outlineLevel="0" collapsed="false">
      <c r="A50" s="48" t="n">
        <v>49</v>
      </c>
      <c r="B50" s="46" t="n">
        <f aca="false">LARGE(v_valor,A50)</f>
        <v>444.6</v>
      </c>
      <c r="C50" s="46" t="n">
        <f aca="false">C49+B50</f>
        <v>33790.02</v>
      </c>
      <c r="D50" s="50" t="n">
        <f aca="false">C50/SUM(v_valor)</f>
        <v>0.309023866523718</v>
      </c>
      <c r="E50" s="50" t="n">
        <f aca="false">A50/1000</f>
        <v>0.049</v>
      </c>
    </row>
    <row r="51" customFormat="false" ht="15" hidden="false" customHeight="false" outlineLevel="0" collapsed="false">
      <c r="A51" s="48" t="n">
        <v>50</v>
      </c>
      <c r="B51" s="46" t="n">
        <f aca="false">LARGE(v_valor,A51)</f>
        <v>434.59</v>
      </c>
      <c r="C51" s="46" t="n">
        <f aca="false">C50+B51</f>
        <v>34224.61</v>
      </c>
      <c r="D51" s="50" t="n">
        <f aca="false">C51/SUM(v_valor)</f>
        <v>0.312998373853176</v>
      </c>
      <c r="E51" s="50" t="n">
        <f aca="false">A51/1000</f>
        <v>0.05</v>
      </c>
    </row>
    <row r="52" customFormat="false" ht="15" hidden="false" customHeight="false" outlineLevel="0" collapsed="false">
      <c r="A52" s="48" t="n">
        <v>51</v>
      </c>
      <c r="B52" s="46" t="n">
        <f aca="false">LARGE(v_valor,A52)</f>
        <v>431.3</v>
      </c>
      <c r="C52" s="46" t="n">
        <f aca="false">C51+B52</f>
        <v>34655.91</v>
      </c>
      <c r="D52" s="50" t="n">
        <f aca="false">C52/SUM(v_valor)</f>
        <v>0.3169427927565</v>
      </c>
      <c r="E52" s="50" t="n">
        <f aca="false">A52/1000</f>
        <v>0.051</v>
      </c>
    </row>
    <row r="53" customFormat="false" ht="15" hidden="false" customHeight="false" outlineLevel="0" collapsed="false">
      <c r="A53" s="48" t="n">
        <v>52</v>
      </c>
      <c r="B53" s="46" t="n">
        <f aca="false">LARGE(v_valor,A53)</f>
        <v>428.77</v>
      </c>
      <c r="C53" s="46" t="n">
        <f aca="false">C52+B53</f>
        <v>35084.68</v>
      </c>
      <c r="D53" s="50" t="n">
        <f aca="false">C53/SUM(v_valor)</f>
        <v>0.32086407375158</v>
      </c>
      <c r="E53" s="50" t="n">
        <f aca="false">A53/1000</f>
        <v>0.052</v>
      </c>
    </row>
    <row r="54" customFormat="false" ht="15" hidden="false" customHeight="false" outlineLevel="0" collapsed="false">
      <c r="A54" s="48" t="n">
        <v>53</v>
      </c>
      <c r="B54" s="46" t="n">
        <f aca="false">LARGE(v_valor,A54)</f>
        <v>422.43</v>
      </c>
      <c r="C54" s="46" t="n">
        <f aca="false">C53+B54</f>
        <v>35507.11</v>
      </c>
      <c r="D54" s="50" t="n">
        <f aca="false">C54/SUM(v_valor)</f>
        <v>0.324727372794777</v>
      </c>
      <c r="E54" s="50" t="n">
        <f aca="false">A54/1000</f>
        <v>0.053</v>
      </c>
    </row>
    <row r="55" customFormat="false" ht="15" hidden="false" customHeight="false" outlineLevel="0" collapsed="false">
      <c r="A55" s="48" t="n">
        <v>54</v>
      </c>
      <c r="B55" s="46" t="n">
        <f aca="false">LARGE(v_valor,A55)</f>
        <v>418.24</v>
      </c>
      <c r="C55" s="46" t="n">
        <f aca="false">C54+B55</f>
        <v>35925.35</v>
      </c>
      <c r="D55" s="50" t="n">
        <f aca="false">C55/SUM(v_valor)</f>
        <v>0.328552352535389</v>
      </c>
      <c r="E55" s="50" t="n">
        <f aca="false">A55/1000</f>
        <v>0.054</v>
      </c>
    </row>
    <row r="56" customFormat="false" ht="15" hidden="false" customHeight="false" outlineLevel="0" collapsed="false">
      <c r="A56" s="48" t="n">
        <v>55</v>
      </c>
      <c r="B56" s="46" t="n">
        <f aca="false">LARGE(v_valor,A56)</f>
        <v>414.75</v>
      </c>
      <c r="C56" s="46" t="n">
        <f aca="false">C55+B56</f>
        <v>36340.1</v>
      </c>
      <c r="D56" s="50" t="n">
        <f aca="false">C56/SUM(v_valor)</f>
        <v>0.332345414766211</v>
      </c>
      <c r="E56" s="50" t="n">
        <f aca="false">A56/1000</f>
        <v>0.055</v>
      </c>
    </row>
    <row r="57" customFormat="false" ht="15" hidden="false" customHeight="false" outlineLevel="0" collapsed="false">
      <c r="A57" s="48" t="n">
        <v>56</v>
      </c>
      <c r="B57" s="46" t="n">
        <f aca="false">LARGE(v_valor,A57)</f>
        <v>408.84</v>
      </c>
      <c r="C57" s="46" t="n">
        <f aca="false">C56+B57</f>
        <v>36748.94</v>
      </c>
      <c r="D57" s="50" t="n">
        <f aca="false">C57/SUM(v_valor)</f>
        <v>0.336084427575009</v>
      </c>
      <c r="E57" s="50" t="n">
        <f aca="false">A57/1000</f>
        <v>0.056</v>
      </c>
    </row>
    <row r="58" customFormat="false" ht="15" hidden="false" customHeight="false" outlineLevel="0" collapsed="false">
      <c r="A58" s="48" t="n">
        <v>57</v>
      </c>
      <c r="B58" s="46" t="n">
        <f aca="false">LARGE(v_valor,A58)</f>
        <v>406.72</v>
      </c>
      <c r="C58" s="46" t="n">
        <f aca="false">C57+B58</f>
        <v>37155.66</v>
      </c>
      <c r="D58" s="50" t="n">
        <f aca="false">C58/SUM(v_valor)</f>
        <v>0.339804052097058</v>
      </c>
      <c r="E58" s="50" t="n">
        <f aca="false">A58/1000</f>
        <v>0.057</v>
      </c>
    </row>
    <row r="59" customFormat="false" ht="15" hidden="false" customHeight="false" outlineLevel="0" collapsed="false">
      <c r="A59" s="48" t="n">
        <v>58</v>
      </c>
      <c r="B59" s="46" t="n">
        <f aca="false">LARGE(v_valor,A59)</f>
        <v>405.66</v>
      </c>
      <c r="C59" s="46" t="n">
        <f aca="false">C58+B59</f>
        <v>37561.32</v>
      </c>
      <c r="D59" s="50" t="n">
        <f aca="false">C59/SUM(v_valor)</f>
        <v>0.343513982475732</v>
      </c>
      <c r="E59" s="50" t="n">
        <f aca="false">A59/1000</f>
        <v>0.058</v>
      </c>
    </row>
    <row r="60" customFormat="false" ht="15" hidden="false" customHeight="false" outlineLevel="0" collapsed="false">
      <c r="A60" s="48" t="n">
        <v>59</v>
      </c>
      <c r="B60" s="46" t="n">
        <f aca="false">LARGE(v_valor,A60)</f>
        <v>400.34</v>
      </c>
      <c r="C60" s="46" t="n">
        <f aca="false">C59+B60</f>
        <v>37961.66</v>
      </c>
      <c r="D60" s="50" t="n">
        <f aca="false">C60/SUM(v_valor)</f>
        <v>0.347175259229167</v>
      </c>
      <c r="E60" s="50" t="n">
        <f aca="false">A60/1000</f>
        <v>0.059</v>
      </c>
    </row>
    <row r="61" customFormat="false" ht="15" hidden="false" customHeight="false" outlineLevel="0" collapsed="false">
      <c r="A61" s="48" t="n">
        <v>60</v>
      </c>
      <c r="B61" s="46" t="n">
        <f aca="false">LARGE(v_valor,A61)</f>
        <v>397.72</v>
      </c>
      <c r="C61" s="46" t="n">
        <f aca="false">C60+B61</f>
        <v>38359.38</v>
      </c>
      <c r="D61" s="50" t="n">
        <f aca="false">C61/SUM(v_valor)</f>
        <v>0.350812574986714</v>
      </c>
      <c r="E61" s="50" t="n">
        <f aca="false">A61/1000</f>
        <v>0.06</v>
      </c>
    </row>
    <row r="62" customFormat="false" ht="15" hidden="false" customHeight="false" outlineLevel="0" collapsed="false">
      <c r="A62" s="48" t="n">
        <v>61</v>
      </c>
      <c r="B62" s="46" t="n">
        <f aca="false">LARGE(v_valor,A62)</f>
        <v>397.69</v>
      </c>
      <c r="C62" s="46" t="n">
        <f aca="false">C61+B62</f>
        <v>38757.07</v>
      </c>
      <c r="D62" s="50" t="n">
        <f aca="false">C62/SUM(v_valor)</f>
        <v>0.354449616381712</v>
      </c>
      <c r="E62" s="50" t="n">
        <f aca="false">A62/1000</f>
        <v>0.061</v>
      </c>
    </row>
    <row r="63" customFormat="false" ht="15" hidden="false" customHeight="false" outlineLevel="0" collapsed="false">
      <c r="A63" s="48" t="n">
        <v>62</v>
      </c>
      <c r="B63" s="46" t="n">
        <f aca="false">LARGE(v_valor,A63)</f>
        <v>391.79</v>
      </c>
      <c r="C63" s="46" t="n">
        <f aca="false">C62+B63</f>
        <v>39148.86</v>
      </c>
      <c r="D63" s="50" t="n">
        <f aca="false">C63/SUM(v_valor)</f>
        <v>0.35803269980887</v>
      </c>
      <c r="E63" s="50" t="n">
        <f aca="false">A63/1000</f>
        <v>0.062</v>
      </c>
    </row>
    <row r="64" customFormat="false" ht="15" hidden="false" customHeight="false" outlineLevel="0" collapsed="false">
      <c r="A64" s="48" t="n">
        <v>63</v>
      </c>
      <c r="B64" s="46" t="n">
        <f aca="false">LARGE(v_valor,A64)</f>
        <v>391.44</v>
      </c>
      <c r="C64" s="46" t="n">
        <f aca="false">C63+B64</f>
        <v>39540.3</v>
      </c>
      <c r="D64" s="50" t="n">
        <f aca="false">C64/SUM(v_valor)</f>
        <v>0.36161258233963</v>
      </c>
      <c r="E64" s="50" t="n">
        <f aca="false">A64/1000</f>
        <v>0.063</v>
      </c>
    </row>
    <row r="65" customFormat="false" ht="15" hidden="false" customHeight="false" outlineLevel="0" collapsed="false">
      <c r="A65" s="48" t="n">
        <v>64</v>
      </c>
      <c r="B65" s="46" t="n">
        <f aca="false">LARGE(v_valor,A65)</f>
        <v>388.99</v>
      </c>
      <c r="C65" s="46" t="n">
        <f aca="false">C64+B65</f>
        <v>39929.29</v>
      </c>
      <c r="D65" s="50" t="n">
        <f aca="false">C65/SUM(v_valor)</f>
        <v>0.365170058595609</v>
      </c>
      <c r="E65" s="50" t="n">
        <f aca="false">A65/1000</f>
        <v>0.064</v>
      </c>
    </row>
    <row r="66" customFormat="false" ht="15" hidden="false" customHeight="false" outlineLevel="0" collapsed="false">
      <c r="A66" s="48" t="n">
        <v>65</v>
      </c>
      <c r="B66" s="46" t="n">
        <f aca="false">LARGE(v_valor,A66)</f>
        <v>385.93</v>
      </c>
      <c r="C66" s="46" t="n">
        <f aca="false">C65+B66</f>
        <v>40315.22</v>
      </c>
      <c r="D66" s="50" t="n">
        <f aca="false">C66/SUM(v_valor)</f>
        <v>0.368699549871658</v>
      </c>
      <c r="E66" s="50" t="n">
        <f aca="false">A66/1000</f>
        <v>0.065</v>
      </c>
    </row>
    <row r="67" customFormat="false" ht="15" hidden="false" customHeight="false" outlineLevel="0" collapsed="false">
      <c r="A67" s="48" t="n">
        <v>66</v>
      </c>
      <c r="B67" s="46" t="n">
        <f aca="false">LARGE(v_valor,A67)</f>
        <v>382.97</v>
      </c>
      <c r="C67" s="46" t="n">
        <f aca="false">C66+B67</f>
        <v>40698.19</v>
      </c>
      <c r="D67" s="50" t="n">
        <f aca="false">C67/SUM(v_valor)</f>
        <v>0.372201970709603</v>
      </c>
      <c r="E67" s="50" t="n">
        <f aca="false">A67/1000</f>
        <v>0.066</v>
      </c>
    </row>
    <row r="68" customFormat="false" ht="15" hidden="false" customHeight="false" outlineLevel="0" collapsed="false">
      <c r="A68" s="48" t="n">
        <v>67</v>
      </c>
      <c r="B68" s="46" t="n">
        <f aca="false">LARGE(v_valor,A68)</f>
        <v>382.4</v>
      </c>
      <c r="C68" s="46" t="n">
        <f aca="false">C67+B68</f>
        <v>41080.59</v>
      </c>
      <c r="D68" s="50" t="n">
        <f aca="false">C68/SUM(v_valor)</f>
        <v>0.37569917865913</v>
      </c>
      <c r="E68" s="50" t="n">
        <f aca="false">A68/1000</f>
        <v>0.067</v>
      </c>
    </row>
    <row r="69" customFormat="false" ht="15" hidden="false" customHeight="false" outlineLevel="0" collapsed="false">
      <c r="A69" s="48" t="n">
        <v>68</v>
      </c>
      <c r="B69" s="46" t="n">
        <f aca="false">LARGE(v_valor,A69)</f>
        <v>376.47</v>
      </c>
      <c r="C69" s="46" t="n">
        <f aca="false">C68+B69</f>
        <v>41457.06</v>
      </c>
      <c r="D69" s="50" t="n">
        <f aca="false">C69/SUM(v_valor)</f>
        <v>0.379142154278268</v>
      </c>
      <c r="E69" s="50" t="n">
        <f aca="false">A69/1000</f>
        <v>0.068</v>
      </c>
    </row>
    <row r="70" customFormat="false" ht="15" hidden="false" customHeight="false" outlineLevel="0" collapsed="false">
      <c r="A70" s="48" t="n">
        <v>69</v>
      </c>
      <c r="B70" s="46" t="n">
        <f aca="false">LARGE(v_valor,A70)</f>
        <v>374.37</v>
      </c>
      <c r="C70" s="46" t="n">
        <f aca="false">C69+B70</f>
        <v>41831.43</v>
      </c>
      <c r="D70" s="50" t="n">
        <f aca="false">C70/SUM(v_valor)</f>
        <v>0.382565924519022</v>
      </c>
      <c r="E70" s="50" t="n">
        <f aca="false">A70/1000</f>
        <v>0.069</v>
      </c>
    </row>
    <row r="71" customFormat="false" ht="15" hidden="false" customHeight="false" outlineLevel="0" collapsed="false">
      <c r="A71" s="48" t="n">
        <v>70</v>
      </c>
      <c r="B71" s="46" t="n">
        <f aca="false">LARGE(v_valor,A71)</f>
        <v>372.69</v>
      </c>
      <c r="C71" s="46" t="n">
        <f aca="false">C70+B71</f>
        <v>42204.12</v>
      </c>
      <c r="D71" s="50" t="n">
        <f aca="false">C71/SUM(v_valor)</f>
        <v>0.385974330457069</v>
      </c>
      <c r="E71" s="50" t="n">
        <f aca="false">A71/1000</f>
        <v>0.07</v>
      </c>
    </row>
    <row r="72" customFormat="false" ht="15" hidden="false" customHeight="false" outlineLevel="0" collapsed="false">
      <c r="A72" s="48" t="n">
        <v>71</v>
      </c>
      <c r="B72" s="46" t="n">
        <f aca="false">LARGE(v_valor,A72)</f>
        <v>371.23</v>
      </c>
      <c r="C72" s="46" t="n">
        <f aca="false">C71+B72</f>
        <v>42575.35</v>
      </c>
      <c r="D72" s="50" t="n">
        <f aca="false">C72/SUM(v_valor)</f>
        <v>0.38936938408443</v>
      </c>
      <c r="E72" s="50" t="n">
        <f aca="false">A72/1000</f>
        <v>0.071</v>
      </c>
    </row>
    <row r="73" customFormat="false" ht="15" hidden="false" customHeight="false" outlineLevel="0" collapsed="false">
      <c r="A73" s="48" t="n">
        <v>72</v>
      </c>
      <c r="B73" s="46" t="n">
        <f aca="false">LARGE(v_valor,A73)</f>
        <v>359.86</v>
      </c>
      <c r="C73" s="46" t="n">
        <f aca="false">C72+B73</f>
        <v>42935.21</v>
      </c>
      <c r="D73" s="50" t="n">
        <f aca="false">C73/SUM(v_valor)</f>
        <v>0.392660454305969</v>
      </c>
      <c r="E73" s="50" t="n">
        <f aca="false">A73/1000</f>
        <v>0.072</v>
      </c>
    </row>
    <row r="74" customFormat="false" ht="15" hidden="false" customHeight="false" outlineLevel="0" collapsed="false">
      <c r="A74" s="48" t="n">
        <v>73</v>
      </c>
      <c r="B74" s="46" t="n">
        <f aca="false">LARGE(v_valor,A74)</f>
        <v>336.93</v>
      </c>
      <c r="C74" s="46" t="n">
        <f aca="false">C73+B74</f>
        <v>43272.14</v>
      </c>
      <c r="D74" s="50" t="n">
        <f aca="false">C74/SUM(v_valor)</f>
        <v>0.395741820086393</v>
      </c>
      <c r="E74" s="50" t="n">
        <f aca="false">A74/1000</f>
        <v>0.073</v>
      </c>
    </row>
    <row r="75" customFormat="false" ht="15" hidden="false" customHeight="false" outlineLevel="0" collapsed="false">
      <c r="A75" s="48" t="n">
        <v>74</v>
      </c>
      <c r="B75" s="46" t="n">
        <f aca="false">LARGE(v_valor,A75)</f>
        <v>330.19</v>
      </c>
      <c r="C75" s="46" t="n">
        <f aca="false">C74+B75</f>
        <v>43602.33</v>
      </c>
      <c r="D75" s="50" t="n">
        <f aca="false">C75/SUM(v_valor)</f>
        <v>0.398761545747623</v>
      </c>
      <c r="E75" s="50" t="n">
        <f aca="false">A75/1000</f>
        <v>0.074</v>
      </c>
    </row>
    <row r="76" customFormat="false" ht="15" hidden="false" customHeight="false" outlineLevel="0" collapsed="false">
      <c r="A76" s="48" t="n">
        <v>75</v>
      </c>
      <c r="B76" s="46" t="n">
        <f aca="false">LARGE(v_valor,A76)</f>
        <v>330.01</v>
      </c>
      <c r="C76" s="46" t="n">
        <f aca="false">C75+B76</f>
        <v>43932.34</v>
      </c>
      <c r="D76" s="50" t="n">
        <f aca="false">C76/SUM(v_valor)</f>
        <v>0.401779625233563</v>
      </c>
      <c r="E76" s="50" t="n">
        <f aca="false">A76/1000</f>
        <v>0.075</v>
      </c>
    </row>
    <row r="77" customFormat="false" ht="15" hidden="false" customHeight="false" outlineLevel="0" collapsed="false">
      <c r="A77" s="48" t="n">
        <v>76</v>
      </c>
      <c r="B77" s="46" t="n">
        <f aca="false">LARGE(v_valor,A77)</f>
        <v>329.42</v>
      </c>
      <c r="C77" s="46" t="n">
        <f aca="false">C76+B77</f>
        <v>44261.76</v>
      </c>
      <c r="D77" s="50" t="n">
        <f aca="false">C77/SUM(v_valor)</f>
        <v>0.404792308922718</v>
      </c>
      <c r="E77" s="50" t="n">
        <f aca="false">A77/1000</f>
        <v>0.076</v>
      </c>
    </row>
    <row r="78" customFormat="false" ht="15" hidden="false" customHeight="false" outlineLevel="0" collapsed="false">
      <c r="A78" s="48" t="n">
        <v>77</v>
      </c>
      <c r="B78" s="46" t="n">
        <f aca="false">LARGE(v_valor,A78)</f>
        <v>327.23</v>
      </c>
      <c r="C78" s="46" t="n">
        <f aca="false">C77+B78</f>
        <v>44588.99</v>
      </c>
      <c r="D78" s="50" t="n">
        <f aca="false">C78/SUM(v_valor)</f>
        <v>0.407784964145845</v>
      </c>
      <c r="E78" s="50" t="n">
        <f aca="false">A78/1000</f>
        <v>0.077</v>
      </c>
    </row>
    <row r="79" customFormat="false" ht="15" hidden="false" customHeight="false" outlineLevel="0" collapsed="false">
      <c r="A79" s="48" t="n">
        <v>78</v>
      </c>
      <c r="B79" s="46" t="n">
        <f aca="false">LARGE(v_valor,A79)</f>
        <v>325.97</v>
      </c>
      <c r="C79" s="46" t="n">
        <f aca="false">C78+B79</f>
        <v>44914.96</v>
      </c>
      <c r="D79" s="50" t="n">
        <f aca="false">C79/SUM(v_valor)</f>
        <v>0.410766096141942</v>
      </c>
      <c r="E79" s="50" t="n">
        <f aca="false">A79/1000</f>
        <v>0.078</v>
      </c>
    </row>
    <row r="80" customFormat="false" ht="15" hidden="false" customHeight="false" outlineLevel="0" collapsed="false">
      <c r="A80" s="48" t="n">
        <v>79</v>
      </c>
      <c r="B80" s="46" t="n">
        <f aca="false">LARGE(v_valor,A80)</f>
        <v>325.72</v>
      </c>
      <c r="C80" s="46" t="n">
        <f aca="false">C79+B80</f>
        <v>45240.68</v>
      </c>
      <c r="D80" s="50" t="n">
        <f aca="false">C80/SUM(v_valor)</f>
        <v>0.413744941783468</v>
      </c>
      <c r="E80" s="50" t="n">
        <f aca="false">A80/1000</f>
        <v>0.079</v>
      </c>
    </row>
    <row r="81" customFormat="false" ht="15" hidden="false" customHeight="false" outlineLevel="0" collapsed="false">
      <c r="A81" s="48" t="n">
        <v>80</v>
      </c>
      <c r="B81" s="46" t="n">
        <f aca="false">LARGE(v_valor,A81)</f>
        <v>324.53</v>
      </c>
      <c r="C81" s="46" t="n">
        <f aca="false">C80+B81</f>
        <v>45565.21</v>
      </c>
      <c r="D81" s="50" t="n">
        <f aca="false">C81/SUM(v_valor)</f>
        <v>0.416712904377244</v>
      </c>
      <c r="E81" s="50" t="n">
        <f aca="false">A81/1000</f>
        <v>0.08</v>
      </c>
    </row>
    <row r="82" customFormat="false" ht="15" hidden="false" customHeight="false" outlineLevel="0" collapsed="false">
      <c r="A82" s="48" t="n">
        <v>81</v>
      </c>
      <c r="B82" s="46" t="n">
        <f aca="false">LARGE(v_valor,A82)</f>
        <v>320.56</v>
      </c>
      <c r="C82" s="46" t="n">
        <f aca="false">C81+B82</f>
        <v>45885.77</v>
      </c>
      <c r="D82" s="50" t="n">
        <f aca="false">C82/SUM(v_valor)</f>
        <v>0.419644559660456</v>
      </c>
      <c r="E82" s="50" t="n">
        <f aca="false">A82/1000</f>
        <v>0.081</v>
      </c>
    </row>
    <row r="83" customFormat="false" ht="15" hidden="false" customHeight="false" outlineLevel="0" collapsed="false">
      <c r="A83" s="48" t="n">
        <v>82</v>
      </c>
      <c r="B83" s="46" t="n">
        <f aca="false">LARGE(v_valor,A83)</f>
        <v>320.06</v>
      </c>
      <c r="C83" s="46" t="n">
        <f aca="false">C82+B83</f>
        <v>46205.83</v>
      </c>
      <c r="D83" s="50" t="n">
        <f aca="false">C83/SUM(v_valor)</f>
        <v>0.42257164223453</v>
      </c>
      <c r="E83" s="50" t="n">
        <f aca="false">A83/1000</f>
        <v>0.082</v>
      </c>
    </row>
    <row r="84" customFormat="false" ht="15" hidden="false" customHeight="false" outlineLevel="0" collapsed="false">
      <c r="A84" s="48" t="n">
        <v>83</v>
      </c>
      <c r="B84" s="46" t="n">
        <f aca="false">LARGE(v_valor,A84)</f>
        <v>316.68</v>
      </c>
      <c r="C84" s="46" t="n">
        <f aca="false">C83+B84</f>
        <v>46522.51</v>
      </c>
      <c r="D84" s="50" t="n">
        <f aca="false">C84/SUM(v_valor)</f>
        <v>0.425467813294823</v>
      </c>
      <c r="E84" s="50" t="n">
        <f aca="false">A84/1000</f>
        <v>0.083</v>
      </c>
    </row>
    <row r="85" customFormat="false" ht="15" hidden="false" customHeight="false" outlineLevel="0" collapsed="false">
      <c r="A85" s="48" t="n">
        <v>84</v>
      </c>
      <c r="B85" s="46" t="n">
        <f aca="false">LARGE(v_valor,A85)</f>
        <v>316.28</v>
      </c>
      <c r="C85" s="46" t="n">
        <f aca="false">C84+B85</f>
        <v>46838.79</v>
      </c>
      <c r="D85" s="50" t="n">
        <f aca="false">C85/SUM(v_valor)</f>
        <v>0.428360326187805</v>
      </c>
      <c r="E85" s="50" t="n">
        <f aca="false">A85/1000</f>
        <v>0.084</v>
      </c>
    </row>
    <row r="86" customFormat="false" ht="15" hidden="false" customHeight="false" outlineLevel="0" collapsed="false">
      <c r="A86" s="48" t="n">
        <v>85</v>
      </c>
      <c r="B86" s="46" t="n">
        <f aca="false">LARGE(v_valor,A86)</f>
        <v>316.09</v>
      </c>
      <c r="C86" s="46" t="n">
        <f aca="false">C85+B86</f>
        <v>47154.88</v>
      </c>
      <c r="D86" s="50" t="n">
        <f aca="false">C86/SUM(v_valor)</f>
        <v>0.431251101451314</v>
      </c>
      <c r="E86" s="50" t="n">
        <f aca="false">A86/1000</f>
        <v>0.085</v>
      </c>
    </row>
    <row r="87" customFormat="false" ht="15" hidden="false" customHeight="false" outlineLevel="0" collapsed="false">
      <c r="A87" s="48" t="n">
        <v>86</v>
      </c>
      <c r="B87" s="46" t="n">
        <f aca="false">LARGE(v_valor,A87)</f>
        <v>314.09</v>
      </c>
      <c r="C87" s="46" t="n">
        <f aca="false">C86+B87</f>
        <v>47468.97</v>
      </c>
      <c r="D87" s="50" t="n">
        <f aca="false">C87/SUM(v_valor)</f>
        <v>0.434123585878267</v>
      </c>
      <c r="E87" s="50" t="n">
        <f aca="false">A87/1000</f>
        <v>0.086</v>
      </c>
    </row>
    <row r="88" customFormat="false" ht="15" hidden="false" customHeight="false" outlineLevel="0" collapsed="false">
      <c r="A88" s="48" t="n">
        <v>87</v>
      </c>
      <c r="B88" s="46" t="n">
        <f aca="false">LARGE(v_valor,A88)</f>
        <v>313.79</v>
      </c>
      <c r="C88" s="46" t="n">
        <f aca="false">C87+B88</f>
        <v>47782.76</v>
      </c>
      <c r="D88" s="50" t="n">
        <f aca="false">C88/SUM(v_valor)</f>
        <v>0.436993326679737</v>
      </c>
      <c r="E88" s="50" t="n">
        <f aca="false">A88/1000</f>
        <v>0.087</v>
      </c>
    </row>
    <row r="89" customFormat="false" ht="15" hidden="false" customHeight="false" outlineLevel="0" collapsed="false">
      <c r="A89" s="48" t="n">
        <v>88</v>
      </c>
      <c r="B89" s="46" t="n">
        <f aca="false">LARGE(v_valor,A89)</f>
        <v>312.94</v>
      </c>
      <c r="C89" s="46" t="n">
        <f aca="false">C88+B89</f>
        <v>48095.7</v>
      </c>
      <c r="D89" s="50" t="n">
        <f aca="false">C89/SUM(v_valor)</f>
        <v>0.43985529387567</v>
      </c>
      <c r="E89" s="50" t="n">
        <f aca="false">A89/1000</f>
        <v>0.088</v>
      </c>
    </row>
    <row r="90" customFormat="false" ht="15" hidden="false" customHeight="false" outlineLevel="0" collapsed="false">
      <c r="A90" s="48" t="n">
        <v>89</v>
      </c>
      <c r="B90" s="46" t="n">
        <f aca="false">LARGE(v_valor,A90)</f>
        <v>310.56</v>
      </c>
      <c r="C90" s="46" t="n">
        <f aca="false">C89+B90</f>
        <v>48406.26</v>
      </c>
      <c r="D90" s="50" t="n">
        <f aca="false">C90/SUM(v_valor)</f>
        <v>0.442695494976102</v>
      </c>
      <c r="E90" s="50" t="n">
        <f aca="false">A90/1000</f>
        <v>0.089</v>
      </c>
    </row>
    <row r="91" customFormat="false" ht="15" hidden="false" customHeight="false" outlineLevel="0" collapsed="false">
      <c r="A91" s="48" t="n">
        <v>90</v>
      </c>
      <c r="B91" s="46" t="n">
        <f aca="false">LARGE(v_valor,A91)</f>
        <v>310.24</v>
      </c>
      <c r="C91" s="46" t="n">
        <f aca="false">C90+B91</f>
        <v>48716.5</v>
      </c>
      <c r="D91" s="50" t="n">
        <f aca="false">C91/SUM(v_valor)</f>
        <v>0.445532769542684</v>
      </c>
      <c r="E91" s="50" t="n">
        <f aca="false">A91/1000</f>
        <v>0.09</v>
      </c>
    </row>
    <row r="92" customFormat="false" ht="15" hidden="false" customHeight="false" outlineLevel="0" collapsed="false">
      <c r="A92" s="48" t="n">
        <v>91</v>
      </c>
      <c r="B92" s="46" t="n">
        <f aca="false">LARGE(v_valor,A92)</f>
        <v>310.03</v>
      </c>
      <c r="C92" s="46" t="n">
        <f aca="false">C91+B92</f>
        <v>49026.53</v>
      </c>
      <c r="D92" s="50" t="n">
        <f aca="false">C92/SUM(v_valor)</f>
        <v>0.448368123571429</v>
      </c>
      <c r="E92" s="50" t="n">
        <f aca="false">A92/1000</f>
        <v>0.091</v>
      </c>
    </row>
    <row r="93" customFormat="false" ht="15" hidden="false" customHeight="false" outlineLevel="0" collapsed="false">
      <c r="A93" s="48" t="n">
        <v>92</v>
      </c>
      <c r="B93" s="46" t="n">
        <f aca="false">LARGE(v_valor,A93)</f>
        <v>308.93</v>
      </c>
      <c r="C93" s="46" t="n">
        <f aca="false">C92+B93</f>
        <v>49335.46</v>
      </c>
      <c r="D93" s="50" t="n">
        <f aca="false">C93/SUM(v_valor)</f>
        <v>0.451193417640067</v>
      </c>
      <c r="E93" s="50" t="n">
        <f aca="false">A93/1000</f>
        <v>0.092</v>
      </c>
    </row>
    <row r="94" customFormat="false" ht="15" hidden="false" customHeight="false" outlineLevel="0" collapsed="false">
      <c r="A94" s="48" t="n">
        <v>93</v>
      </c>
      <c r="B94" s="46" t="n">
        <f aca="false">LARGE(v_valor,A94)</f>
        <v>307.23</v>
      </c>
      <c r="C94" s="46" t="n">
        <f aca="false">C93+B94</f>
        <v>49642.69</v>
      </c>
      <c r="D94" s="50" t="n">
        <f aca="false">C94/SUM(v_valor)</f>
        <v>0.454003164497633</v>
      </c>
      <c r="E94" s="50" t="n">
        <f aca="false">A94/1000</f>
        <v>0.093</v>
      </c>
    </row>
    <row r="95" customFormat="false" ht="15" hidden="false" customHeight="false" outlineLevel="0" collapsed="false">
      <c r="A95" s="48" t="n">
        <v>94</v>
      </c>
      <c r="B95" s="46" t="n">
        <f aca="false">LARGE(v_valor,A95)</f>
        <v>305.96</v>
      </c>
      <c r="C95" s="46" t="n">
        <f aca="false">C94+B95</f>
        <v>49948.65</v>
      </c>
      <c r="D95" s="50" t="n">
        <f aca="false">C95/SUM(v_valor)</f>
        <v>0.456801296673985</v>
      </c>
      <c r="E95" s="50" t="n">
        <f aca="false">A95/1000</f>
        <v>0.094</v>
      </c>
    </row>
    <row r="96" customFormat="false" ht="15" hidden="false" customHeight="false" outlineLevel="0" collapsed="false">
      <c r="A96" s="48" t="n">
        <v>95</v>
      </c>
      <c r="B96" s="46" t="n">
        <f aca="false">LARGE(v_valor,A96)</f>
        <v>303.88</v>
      </c>
      <c r="C96" s="46" t="n">
        <f aca="false">C95+B96</f>
        <v>50252.53</v>
      </c>
      <c r="D96" s="50" t="n">
        <f aca="false">C96/SUM(v_valor)</f>
        <v>0.459580406380319</v>
      </c>
      <c r="E96" s="50" t="n">
        <f aca="false">A96/1000</f>
        <v>0.095</v>
      </c>
    </row>
    <row r="97" customFormat="false" ht="15" hidden="false" customHeight="false" outlineLevel="0" collapsed="false">
      <c r="A97" s="48" t="n">
        <v>96</v>
      </c>
      <c r="B97" s="46" t="n">
        <f aca="false">LARGE(v_valor,A97)</f>
        <v>302.55</v>
      </c>
      <c r="C97" s="46" t="n">
        <f aca="false">C96+B97</f>
        <v>50555.08</v>
      </c>
      <c r="D97" s="50" t="n">
        <f aca="false">C97/SUM(v_valor)</f>
        <v>0.462347352680344</v>
      </c>
      <c r="E97" s="50" t="n">
        <f aca="false">A97/1000</f>
        <v>0.096</v>
      </c>
    </row>
    <row r="98" customFormat="false" ht="15" hidden="false" customHeight="false" outlineLevel="0" collapsed="false">
      <c r="A98" s="48" t="n">
        <v>97</v>
      </c>
      <c r="B98" s="46" t="n">
        <f aca="false">LARGE(v_valor,A98)</f>
        <v>301.03</v>
      </c>
      <c r="C98" s="46" t="n">
        <f aca="false">C97+B98</f>
        <v>50856.11</v>
      </c>
      <c r="D98" s="50" t="n">
        <f aca="false">C98/SUM(v_valor)</f>
        <v>0.465100397944586</v>
      </c>
      <c r="E98" s="50" t="n">
        <f aca="false">A98/1000</f>
        <v>0.097</v>
      </c>
    </row>
    <row r="99" customFormat="false" ht="15" hidden="false" customHeight="false" outlineLevel="0" collapsed="false">
      <c r="A99" s="48" t="n">
        <v>98</v>
      </c>
      <c r="B99" s="46" t="n">
        <f aca="false">LARGE(v_valor,A99)</f>
        <v>299.15</v>
      </c>
      <c r="C99" s="46" t="n">
        <f aca="false">C98+B99</f>
        <v>51155.26</v>
      </c>
      <c r="D99" s="50" t="n">
        <f aca="false">C99/SUM(v_valor)</f>
        <v>0.467836249822465</v>
      </c>
      <c r="E99" s="50" t="n">
        <f aca="false">A99/1000</f>
        <v>0.098</v>
      </c>
    </row>
    <row r="100" customFormat="false" ht="15" hidden="false" customHeight="false" outlineLevel="0" collapsed="false">
      <c r="A100" s="48" t="n">
        <v>99</v>
      </c>
      <c r="B100" s="46" t="n">
        <f aca="false">LARGE(v_valor,A100)</f>
        <v>296.89</v>
      </c>
      <c r="C100" s="46" t="n">
        <f aca="false">C99+B100</f>
        <v>51452.15</v>
      </c>
      <c r="D100" s="50" t="n">
        <f aca="false">C100/SUM(v_valor)</f>
        <v>0.470551433055035</v>
      </c>
      <c r="E100" s="50" t="n">
        <f aca="false">A100/1000</f>
        <v>0.099</v>
      </c>
    </row>
    <row r="101" customFormat="false" ht="15" hidden="false" customHeight="false" outlineLevel="0" collapsed="false">
      <c r="A101" s="48" t="n">
        <v>100</v>
      </c>
      <c r="B101" s="46" t="n">
        <f aca="false">LARGE(v_valor,A101)</f>
        <v>293.77</v>
      </c>
      <c r="C101" s="46" t="n">
        <f aca="false">C100+B101</f>
        <v>51745.92</v>
      </c>
      <c r="D101" s="50" t="n">
        <f aca="false">C101/SUM(v_valor)</f>
        <v>0.473238082582578</v>
      </c>
      <c r="E101" s="50" t="n">
        <f aca="false">A101/1000</f>
        <v>0.1</v>
      </c>
    </row>
    <row r="102" customFormat="false" ht="15" hidden="false" customHeight="false" outlineLevel="0" collapsed="false">
      <c r="A102" s="48" t="n">
        <v>101</v>
      </c>
      <c r="B102" s="46" t="n">
        <f aca="false">LARGE(v_valor,A102)</f>
        <v>293.55</v>
      </c>
      <c r="C102" s="46" t="n">
        <f aca="false">C101+B102</f>
        <v>52039.47</v>
      </c>
      <c r="D102" s="50" t="n">
        <f aca="false">C102/SUM(v_valor)</f>
        <v>0.4759227201181</v>
      </c>
      <c r="E102" s="50" t="n">
        <f aca="false">A102/1000</f>
        <v>0.101</v>
      </c>
    </row>
    <row r="103" customFormat="false" ht="15" hidden="false" customHeight="false" outlineLevel="0" collapsed="false">
      <c r="A103" s="48" t="n">
        <v>102</v>
      </c>
      <c r="B103" s="46" t="n">
        <f aca="false">LARGE(v_valor,A103)</f>
        <v>293.23</v>
      </c>
      <c r="C103" s="46" t="n">
        <f aca="false">C102+B103</f>
        <v>52332.7</v>
      </c>
      <c r="D103" s="50" t="n">
        <f aca="false">C103/SUM(v_valor)</f>
        <v>0.478604431119773</v>
      </c>
      <c r="E103" s="50" t="n">
        <f aca="false">A103/1000</f>
        <v>0.102</v>
      </c>
    </row>
    <row r="104" customFormat="false" ht="15" hidden="false" customHeight="false" outlineLevel="0" collapsed="false">
      <c r="A104" s="48" t="n">
        <v>103</v>
      </c>
      <c r="B104" s="46" t="n">
        <f aca="false">LARGE(v_valor,A104)</f>
        <v>293.06</v>
      </c>
      <c r="C104" s="46" t="n">
        <f aca="false">C103+B104</f>
        <v>52625.76</v>
      </c>
      <c r="D104" s="50" t="n">
        <f aca="false">C104/SUM(v_valor)</f>
        <v>0.481284587400339</v>
      </c>
      <c r="E104" s="50" t="n">
        <f aca="false">A104/1000</f>
        <v>0.103</v>
      </c>
    </row>
    <row r="105" customFormat="false" ht="15" hidden="false" customHeight="false" outlineLevel="0" collapsed="false">
      <c r="A105" s="48" t="n">
        <v>104</v>
      </c>
      <c r="B105" s="46" t="n">
        <f aca="false">LARGE(v_valor,A105)</f>
        <v>289</v>
      </c>
      <c r="C105" s="46" t="n">
        <f aca="false">C104+B105</f>
        <v>52914.76</v>
      </c>
      <c r="D105" s="50" t="n">
        <f aca="false">C105/SUM(v_valor)</f>
        <v>0.483927613282696</v>
      </c>
      <c r="E105" s="50" t="n">
        <f aca="false">A105/1000</f>
        <v>0.104</v>
      </c>
    </row>
    <row r="106" customFormat="false" ht="15" hidden="false" customHeight="false" outlineLevel="0" collapsed="false">
      <c r="A106" s="48" t="n">
        <v>105</v>
      </c>
      <c r="B106" s="46" t="n">
        <f aca="false">LARGE(v_valor,A106)</f>
        <v>286.51</v>
      </c>
      <c r="C106" s="46" t="n">
        <f aca="false">C105+B106</f>
        <v>53201.27</v>
      </c>
      <c r="D106" s="50" t="n">
        <f aca="false">C106/SUM(v_valor)</f>
        <v>0.48654786707354</v>
      </c>
      <c r="E106" s="50" t="n">
        <f aca="false">A106/1000</f>
        <v>0.105</v>
      </c>
    </row>
    <row r="107" customFormat="false" ht="15" hidden="false" customHeight="false" outlineLevel="0" collapsed="false">
      <c r="A107" s="48" t="n">
        <v>106</v>
      </c>
      <c r="B107" s="46" t="n">
        <f aca="false">LARGE(v_valor,A107)</f>
        <v>285.42</v>
      </c>
      <c r="C107" s="46" t="n">
        <f aca="false">C106+B107</f>
        <v>53486.69</v>
      </c>
      <c r="D107" s="50" t="n">
        <f aca="false">C107/SUM(v_valor)</f>
        <v>0.489158152358462</v>
      </c>
      <c r="E107" s="50" t="n">
        <f aca="false">A107/1000</f>
        <v>0.106</v>
      </c>
    </row>
    <row r="108" customFormat="false" ht="15" hidden="false" customHeight="false" outlineLevel="0" collapsed="false">
      <c r="A108" s="48" t="n">
        <v>107</v>
      </c>
      <c r="B108" s="46" t="n">
        <f aca="false">LARGE(v_valor,A108)</f>
        <v>283.16</v>
      </c>
      <c r="C108" s="46" t="n">
        <f aca="false">C107+B108</f>
        <v>53769.85</v>
      </c>
      <c r="D108" s="50" t="n">
        <f aca="false">C108/SUM(v_valor)</f>
        <v>0.491747768998075</v>
      </c>
      <c r="E108" s="50" t="n">
        <f aca="false">A108/1000</f>
        <v>0.107</v>
      </c>
    </row>
    <row r="109" customFormat="false" ht="15" hidden="false" customHeight="false" outlineLevel="0" collapsed="false">
      <c r="A109" s="48" t="n">
        <v>108</v>
      </c>
      <c r="B109" s="46" t="n">
        <f aca="false">LARGE(v_valor,A109)</f>
        <v>281.66</v>
      </c>
      <c r="C109" s="46" t="n">
        <f aca="false">C108+B109</f>
        <v>54051.51</v>
      </c>
      <c r="D109" s="50" t="n">
        <f aca="false">C109/SUM(v_valor)</f>
        <v>0.494323667510271</v>
      </c>
      <c r="E109" s="50" t="n">
        <f aca="false">A109/1000</f>
        <v>0.108</v>
      </c>
    </row>
    <row r="110" customFormat="false" ht="15" hidden="false" customHeight="false" outlineLevel="0" collapsed="false">
      <c r="A110" s="48" t="n">
        <v>109</v>
      </c>
      <c r="B110" s="46" t="n">
        <f aca="false">LARGE(v_valor,A110)</f>
        <v>281.61</v>
      </c>
      <c r="C110" s="46" t="n">
        <f aca="false">C109+B110</f>
        <v>54333.12</v>
      </c>
      <c r="D110" s="50" t="n">
        <f aca="false">C110/SUM(v_valor)</f>
        <v>0.496899108751553</v>
      </c>
      <c r="E110" s="50" t="n">
        <f aca="false">A110/1000</f>
        <v>0.109</v>
      </c>
    </row>
    <row r="111" customFormat="false" ht="15" hidden="false" customHeight="false" outlineLevel="0" collapsed="false">
      <c r="A111" s="48" t="n">
        <v>110</v>
      </c>
      <c r="B111" s="46" t="n">
        <f aca="false">LARGE(v_valor,A111)</f>
        <v>280.9</v>
      </c>
      <c r="C111" s="46" t="n">
        <f aca="false">C110+B111</f>
        <v>54614.02</v>
      </c>
      <c r="D111" s="50" t="n">
        <f aca="false">C111/SUM(v_valor)</f>
        <v>0.499468056745857</v>
      </c>
      <c r="E111" s="50" t="n">
        <f aca="false">A111/1000</f>
        <v>0.11</v>
      </c>
    </row>
    <row r="112" customFormat="false" ht="15" hidden="false" customHeight="false" outlineLevel="0" collapsed="false">
      <c r="A112" s="48" t="n">
        <v>111</v>
      </c>
      <c r="B112" s="46" t="n">
        <f aca="false">LARGE(v_valor,A112)</f>
        <v>279.18</v>
      </c>
      <c r="C112" s="46" t="n">
        <f aca="false">C111+B112</f>
        <v>54893.2</v>
      </c>
      <c r="D112" s="50" t="n">
        <f aca="false">C112/SUM(v_valor)</f>
        <v>0.502021274620724</v>
      </c>
      <c r="E112" s="50" t="n">
        <f aca="false">A112/1000</f>
        <v>0.111</v>
      </c>
    </row>
    <row r="113" customFormat="false" ht="15" hidden="false" customHeight="false" outlineLevel="0" collapsed="false">
      <c r="A113" s="48" t="n">
        <v>112</v>
      </c>
      <c r="B113" s="46" t="n">
        <f aca="false">LARGE(v_valor,A113)</f>
        <v>278.86</v>
      </c>
      <c r="C113" s="46" t="n">
        <f aca="false">C112+B113</f>
        <v>55172.06</v>
      </c>
      <c r="D113" s="50" t="n">
        <f aca="false">C113/SUM(v_valor)</f>
        <v>0.504571565961741</v>
      </c>
      <c r="E113" s="50" t="n">
        <f aca="false">A113/1000</f>
        <v>0.112</v>
      </c>
    </row>
    <row r="114" customFormat="false" ht="15" hidden="false" customHeight="false" outlineLevel="0" collapsed="false">
      <c r="A114" s="48" t="n">
        <v>113</v>
      </c>
      <c r="B114" s="46" t="n">
        <f aca="false">LARGE(v_valor,A114)</f>
        <v>277.54</v>
      </c>
      <c r="C114" s="46" t="n">
        <f aca="false">C113+B114</f>
        <v>55449.6</v>
      </c>
      <c r="D114" s="50" t="n">
        <f aca="false">C114/SUM(v_valor)</f>
        <v>0.507109785350631</v>
      </c>
      <c r="E114" s="50" t="n">
        <f aca="false">A114/1000</f>
        <v>0.113</v>
      </c>
    </row>
    <row r="115" customFormat="false" ht="15" hidden="false" customHeight="false" outlineLevel="0" collapsed="false">
      <c r="A115" s="48" t="n">
        <v>114</v>
      </c>
      <c r="B115" s="46" t="n">
        <f aca="false">LARGE(v_valor,A115)</f>
        <v>275.53</v>
      </c>
      <c r="C115" s="46" t="n">
        <f aca="false">C114+B115</f>
        <v>55725.13</v>
      </c>
      <c r="D115" s="50" t="n">
        <f aca="false">C115/SUM(v_valor)</f>
        <v>0.509629622448783</v>
      </c>
      <c r="E115" s="50" t="n">
        <f aca="false">A115/1000</f>
        <v>0.114</v>
      </c>
    </row>
    <row r="116" customFormat="false" ht="15" hidden="false" customHeight="false" outlineLevel="0" collapsed="false">
      <c r="A116" s="48" t="n">
        <v>115</v>
      </c>
      <c r="B116" s="46" t="n">
        <f aca="false">LARGE(v_valor,A116)</f>
        <v>272.09</v>
      </c>
      <c r="C116" s="46" t="n">
        <f aca="false">C115+B116</f>
        <v>55997.22</v>
      </c>
      <c r="D116" s="50" t="n">
        <f aca="false">C116/SUM(v_valor)</f>
        <v>0.512117999308058</v>
      </c>
      <c r="E116" s="50" t="n">
        <f aca="false">A116/1000</f>
        <v>0.115</v>
      </c>
    </row>
    <row r="117" customFormat="false" ht="15" hidden="false" customHeight="false" outlineLevel="0" collapsed="false">
      <c r="A117" s="48" t="n">
        <v>116</v>
      </c>
      <c r="B117" s="46" t="n">
        <f aca="false">LARGE(v_valor,A117)</f>
        <v>270.31</v>
      </c>
      <c r="C117" s="46" t="n">
        <f aca="false">C116+B117</f>
        <v>56267.53</v>
      </c>
      <c r="D117" s="50" t="n">
        <f aca="false">C117/SUM(v_valor)</f>
        <v>0.514590097322798</v>
      </c>
      <c r="E117" s="50" t="n">
        <f aca="false">A117/1000</f>
        <v>0.116</v>
      </c>
    </row>
    <row r="118" customFormat="false" ht="15" hidden="false" customHeight="false" outlineLevel="0" collapsed="false">
      <c r="A118" s="48" t="n">
        <v>117</v>
      </c>
      <c r="B118" s="46" t="n">
        <f aca="false">LARGE(v_valor,A118)</f>
        <v>270.23</v>
      </c>
      <c r="C118" s="46" t="n">
        <f aca="false">C117+B118</f>
        <v>56537.76</v>
      </c>
      <c r="D118" s="50" t="n">
        <f aca="false">C118/SUM(v_valor)</f>
        <v>0.517061463704076</v>
      </c>
      <c r="E118" s="50" t="n">
        <f aca="false">A118/1000</f>
        <v>0.117</v>
      </c>
    </row>
    <row r="119" customFormat="false" ht="15" hidden="false" customHeight="false" outlineLevel="0" collapsed="false">
      <c r="A119" s="48" t="n">
        <v>118</v>
      </c>
      <c r="B119" s="46" t="n">
        <f aca="false">LARGE(v_valor,A119)</f>
        <v>269.28</v>
      </c>
      <c r="C119" s="46" t="n">
        <f aca="false">C118+B119</f>
        <v>56807.04</v>
      </c>
      <c r="D119" s="50" t="n">
        <f aca="false">C119/SUM(v_valor)</f>
        <v>0.519524141937989</v>
      </c>
      <c r="E119" s="50" t="n">
        <f aca="false">A119/1000</f>
        <v>0.118</v>
      </c>
    </row>
    <row r="120" customFormat="false" ht="15" hidden="false" customHeight="false" outlineLevel="0" collapsed="false">
      <c r="A120" s="48" t="n">
        <v>119</v>
      </c>
      <c r="B120" s="46" t="n">
        <f aca="false">LARGE(v_valor,A120)</f>
        <v>263.38</v>
      </c>
      <c r="C120" s="46" t="n">
        <f aca="false">C119+B120</f>
        <v>57070.42</v>
      </c>
      <c r="D120" s="50" t="n">
        <f aca="false">C120/SUM(v_valor)</f>
        <v>0.521932862204062</v>
      </c>
      <c r="E120" s="50" t="n">
        <f aca="false">A120/1000</f>
        <v>0.119</v>
      </c>
    </row>
    <row r="121" customFormat="false" ht="15" hidden="false" customHeight="false" outlineLevel="0" collapsed="false">
      <c r="A121" s="48" t="n">
        <v>120</v>
      </c>
      <c r="B121" s="46" t="n">
        <f aca="false">LARGE(v_valor,A121)</f>
        <v>263.18</v>
      </c>
      <c r="C121" s="46" t="n">
        <f aca="false">C120+B121</f>
        <v>57333.6</v>
      </c>
      <c r="D121" s="50" t="n">
        <f aca="false">C121/SUM(v_valor)</f>
        <v>0.52433975338648</v>
      </c>
      <c r="E121" s="50" t="n">
        <f aca="false">A121/1000</f>
        <v>0.12</v>
      </c>
    </row>
    <row r="122" customFormat="false" ht="15" hidden="false" customHeight="false" outlineLevel="0" collapsed="false">
      <c r="A122" s="48" t="n">
        <v>121</v>
      </c>
      <c r="B122" s="46" t="n">
        <f aca="false">LARGE(v_valor,A122)</f>
        <v>262.95</v>
      </c>
      <c r="C122" s="46" t="n">
        <f aca="false">C121+B122</f>
        <v>57596.55</v>
      </c>
      <c r="D122" s="50" t="n">
        <f aca="false">C122/SUM(v_valor)</f>
        <v>0.526744541122694</v>
      </c>
      <c r="E122" s="50" t="n">
        <f aca="false">A122/1000</f>
        <v>0.121</v>
      </c>
    </row>
    <row r="123" customFormat="false" ht="15" hidden="false" customHeight="false" outlineLevel="0" collapsed="false">
      <c r="A123" s="48" t="n">
        <v>122</v>
      </c>
      <c r="B123" s="46" t="n">
        <f aca="false">LARGE(v_valor,A123)</f>
        <v>262.74</v>
      </c>
      <c r="C123" s="46" t="n">
        <f aca="false">C122+B123</f>
        <v>57859.29</v>
      </c>
      <c r="D123" s="50" t="n">
        <f aca="false">C123/SUM(v_valor)</f>
        <v>0.529147408321069</v>
      </c>
      <c r="E123" s="50" t="n">
        <f aca="false">A123/1000</f>
        <v>0.122</v>
      </c>
    </row>
    <row r="124" customFormat="false" ht="15" hidden="false" customHeight="false" outlineLevel="0" collapsed="false">
      <c r="A124" s="48" t="n">
        <v>123</v>
      </c>
      <c r="B124" s="46" t="n">
        <f aca="false">LARGE(v_valor,A124)</f>
        <v>261.28</v>
      </c>
      <c r="C124" s="46" t="n">
        <f aca="false">C123+B124</f>
        <v>58120.57</v>
      </c>
      <c r="D124" s="50" t="n">
        <f aca="false">C124/SUM(v_valor)</f>
        <v>0.531536923208758</v>
      </c>
      <c r="E124" s="50" t="n">
        <f aca="false">A124/1000</f>
        <v>0.123</v>
      </c>
    </row>
    <row r="125" customFormat="false" ht="15" hidden="false" customHeight="false" outlineLevel="0" collapsed="false">
      <c r="A125" s="48" t="n">
        <v>124</v>
      </c>
      <c r="B125" s="46" t="n">
        <f aca="false">LARGE(v_valor,A125)</f>
        <v>260.62</v>
      </c>
      <c r="C125" s="46" t="n">
        <f aca="false">C124+B125</f>
        <v>58381.19</v>
      </c>
      <c r="D125" s="50" t="n">
        <f aca="false">C125/SUM(v_valor)</f>
        <v>0.533920402120384</v>
      </c>
      <c r="E125" s="50" t="n">
        <f aca="false">A125/1000</f>
        <v>0.124</v>
      </c>
    </row>
    <row r="126" customFormat="false" ht="15" hidden="false" customHeight="false" outlineLevel="0" collapsed="false">
      <c r="A126" s="48" t="n">
        <v>125</v>
      </c>
      <c r="B126" s="46" t="n">
        <f aca="false">LARGE(v_valor,A126)</f>
        <v>259.88</v>
      </c>
      <c r="C126" s="46" t="n">
        <f aca="false">C125+B126</f>
        <v>58641.07</v>
      </c>
      <c r="D126" s="50" t="n">
        <f aca="false">C126/SUM(v_valor)</f>
        <v>0.536297113422484</v>
      </c>
      <c r="E126" s="50" t="n">
        <f aca="false">A126/1000</f>
        <v>0.125</v>
      </c>
    </row>
    <row r="127" customFormat="false" ht="15" hidden="false" customHeight="false" outlineLevel="0" collapsed="false">
      <c r="A127" s="48" t="n">
        <v>126</v>
      </c>
      <c r="B127" s="46" t="n">
        <f aca="false">LARGE(v_valor,A127)</f>
        <v>257.63</v>
      </c>
      <c r="C127" s="46" t="n">
        <f aca="false">C126+B127</f>
        <v>58898.7</v>
      </c>
      <c r="D127" s="50" t="n">
        <f aca="false">C127/SUM(v_valor)</f>
        <v>0.538653247533458</v>
      </c>
      <c r="E127" s="50" t="n">
        <f aca="false">A127/1000</f>
        <v>0.126</v>
      </c>
    </row>
    <row r="128" customFormat="false" ht="15" hidden="false" customHeight="false" outlineLevel="0" collapsed="false">
      <c r="A128" s="48" t="n">
        <v>127</v>
      </c>
      <c r="B128" s="46" t="n">
        <f aca="false">LARGE(v_valor,A128)</f>
        <v>257.56</v>
      </c>
      <c r="C128" s="46" t="n">
        <f aca="false">C127+B128</f>
        <v>59156.26</v>
      </c>
      <c r="D128" s="50" t="n">
        <f aca="false">C128/SUM(v_valor)</f>
        <v>0.541008741465153</v>
      </c>
      <c r="E128" s="50" t="n">
        <f aca="false">A128/1000</f>
        <v>0.127</v>
      </c>
    </row>
    <row r="129" customFormat="false" ht="15" hidden="false" customHeight="false" outlineLevel="0" collapsed="false">
      <c r="A129" s="48" t="n">
        <v>128</v>
      </c>
      <c r="B129" s="46" t="n">
        <f aca="false">LARGE(v_valor,A129)</f>
        <v>256.1</v>
      </c>
      <c r="C129" s="46" t="n">
        <f aca="false">C128+B129</f>
        <v>59412.36</v>
      </c>
      <c r="D129" s="50" t="n">
        <f aca="false">C129/SUM(v_valor)</f>
        <v>0.543350883086162</v>
      </c>
      <c r="E129" s="50" t="n">
        <f aca="false">A129/1000</f>
        <v>0.128</v>
      </c>
    </row>
    <row r="130" customFormat="false" ht="15" hidden="false" customHeight="false" outlineLevel="0" collapsed="false">
      <c r="A130" s="48" t="n">
        <v>129</v>
      </c>
      <c r="B130" s="46" t="n">
        <f aca="false">LARGE(v_valor,A130)</f>
        <v>253.53</v>
      </c>
      <c r="C130" s="46" t="n">
        <f aca="false">C129+B130</f>
        <v>59665.89</v>
      </c>
      <c r="D130" s="50" t="n">
        <f aca="false">C130/SUM(v_valor)</f>
        <v>0.545669520982196</v>
      </c>
      <c r="E130" s="50" t="n">
        <f aca="false">A130/1000</f>
        <v>0.129</v>
      </c>
    </row>
    <row r="131" customFormat="false" ht="15" hidden="false" customHeight="false" outlineLevel="0" collapsed="false">
      <c r="A131" s="48" t="n">
        <v>130</v>
      </c>
      <c r="B131" s="46" t="n">
        <f aca="false">LARGE(v_valor,A131)</f>
        <v>246.12</v>
      </c>
      <c r="C131" s="46" t="n">
        <f aca="false">C130+B131</f>
        <v>59912.01</v>
      </c>
      <c r="D131" s="50" t="n">
        <f aca="false">C131/SUM(v_valor)</f>
        <v>0.54792039132879</v>
      </c>
      <c r="E131" s="50" t="n">
        <f aca="false">A131/1000</f>
        <v>0.13</v>
      </c>
    </row>
    <row r="132" customFormat="false" ht="15" hidden="false" customHeight="false" outlineLevel="0" collapsed="false">
      <c r="A132" s="48" t="n">
        <v>131</v>
      </c>
      <c r="B132" s="46" t="n">
        <f aca="false">LARGE(v_valor,A132)</f>
        <v>242.66</v>
      </c>
      <c r="C132" s="46" t="n">
        <f aca="false">C131+B132</f>
        <v>60154.67</v>
      </c>
      <c r="D132" s="50" t="n">
        <f aca="false">C132/SUM(v_valor)</f>
        <v>0.550139618528142</v>
      </c>
      <c r="E132" s="50" t="n">
        <f aca="false">A132/1000</f>
        <v>0.131</v>
      </c>
    </row>
    <row r="133" customFormat="false" ht="15" hidden="false" customHeight="false" outlineLevel="0" collapsed="false">
      <c r="A133" s="48" t="n">
        <v>132</v>
      </c>
      <c r="B133" s="46" t="n">
        <f aca="false">LARGE(v_valor,A133)</f>
        <v>234.12</v>
      </c>
      <c r="C133" s="46" t="n">
        <f aca="false">C132+B133</f>
        <v>60388.79</v>
      </c>
      <c r="D133" s="50" t="n">
        <f aca="false">C133/SUM(v_valor)</f>
        <v>0.552280743855399</v>
      </c>
      <c r="E133" s="50" t="n">
        <f aca="false">A133/1000</f>
        <v>0.132</v>
      </c>
    </row>
    <row r="134" customFormat="false" ht="15" hidden="false" customHeight="false" outlineLevel="0" collapsed="false">
      <c r="A134" s="48" t="n">
        <v>133</v>
      </c>
      <c r="B134" s="46" t="n">
        <f aca="false">LARGE(v_valor,A134)</f>
        <v>232.85</v>
      </c>
      <c r="C134" s="46" t="n">
        <f aca="false">C133+B134</f>
        <v>60621.64</v>
      </c>
      <c r="D134" s="50" t="n">
        <f aca="false">C134/SUM(v_valor)</f>
        <v>0.554410254501444</v>
      </c>
      <c r="E134" s="50" t="n">
        <f aca="false">A134/1000</f>
        <v>0.133</v>
      </c>
    </row>
    <row r="135" customFormat="false" ht="15" hidden="false" customHeight="false" outlineLevel="0" collapsed="false">
      <c r="A135" s="48" t="n">
        <v>134</v>
      </c>
      <c r="B135" s="46" t="n">
        <f aca="false">LARGE(v_valor,A135)</f>
        <v>231.14</v>
      </c>
      <c r="C135" s="46" t="n">
        <f aca="false">C134+B135</f>
        <v>60852.78</v>
      </c>
      <c r="D135" s="50" t="n">
        <f aca="false">C135/SUM(v_valor)</f>
        <v>0.556524126482232</v>
      </c>
      <c r="E135" s="50" t="n">
        <f aca="false">A135/1000</f>
        <v>0.134</v>
      </c>
    </row>
    <row r="136" customFormat="false" ht="15" hidden="false" customHeight="false" outlineLevel="0" collapsed="false">
      <c r="A136" s="48" t="n">
        <v>135</v>
      </c>
      <c r="B136" s="46" t="n">
        <f aca="false">LARGE(v_valor,A136)</f>
        <v>230.81</v>
      </c>
      <c r="C136" s="46" t="n">
        <f aca="false">C135+B136</f>
        <v>61083.59</v>
      </c>
      <c r="D136" s="50" t="n">
        <f aca="false">C136/SUM(v_valor)</f>
        <v>0.558634980474989</v>
      </c>
      <c r="E136" s="50" t="n">
        <f aca="false">A136/1000</f>
        <v>0.135</v>
      </c>
    </row>
    <row r="137" customFormat="false" ht="15" hidden="false" customHeight="false" outlineLevel="0" collapsed="false">
      <c r="A137" s="48" t="n">
        <v>136</v>
      </c>
      <c r="B137" s="46" t="n">
        <f aca="false">LARGE(v_valor,A137)</f>
        <v>230.59</v>
      </c>
      <c r="C137" s="46" t="n">
        <f aca="false">C136+B137</f>
        <v>61314.18</v>
      </c>
      <c r="D137" s="50" t="n">
        <f aca="false">C137/SUM(v_valor)</f>
        <v>0.560743822475725</v>
      </c>
      <c r="E137" s="50" t="n">
        <f aca="false">A137/1000</f>
        <v>0.136</v>
      </c>
    </row>
    <row r="138" customFormat="false" ht="15" hidden="false" customHeight="false" outlineLevel="0" collapsed="false">
      <c r="A138" s="48" t="n">
        <v>137</v>
      </c>
      <c r="B138" s="46" t="n">
        <f aca="false">LARGE(v_valor,A138)</f>
        <v>229.5</v>
      </c>
      <c r="C138" s="46" t="n">
        <f aca="false">C137+B138</f>
        <v>61543.68</v>
      </c>
      <c r="D138" s="50" t="n">
        <f aca="false">C138/SUM(v_valor)</f>
        <v>0.562842695970538</v>
      </c>
      <c r="E138" s="50" t="n">
        <f aca="false">A138/1000</f>
        <v>0.137</v>
      </c>
    </row>
    <row r="139" customFormat="false" ht="15" hidden="false" customHeight="false" outlineLevel="0" collapsed="false">
      <c r="A139" s="48" t="n">
        <v>138</v>
      </c>
      <c r="B139" s="46" t="n">
        <f aca="false">LARGE(v_valor,A139)</f>
        <v>228.99</v>
      </c>
      <c r="C139" s="46" t="n">
        <f aca="false">C138+B139</f>
        <v>61772.67</v>
      </c>
      <c r="D139" s="50" t="n">
        <f aca="false">C139/SUM(v_valor)</f>
        <v>0.564936905302029</v>
      </c>
      <c r="E139" s="50" t="n">
        <f aca="false">A139/1000</f>
        <v>0.138</v>
      </c>
    </row>
    <row r="140" customFormat="false" ht="15" hidden="false" customHeight="false" outlineLevel="0" collapsed="false">
      <c r="A140" s="48" t="n">
        <v>139</v>
      </c>
      <c r="B140" s="46" t="n">
        <f aca="false">LARGE(v_valor,A140)</f>
        <v>228.79</v>
      </c>
      <c r="C140" s="46" t="n">
        <f aca="false">C139+B140</f>
        <v>62001.46</v>
      </c>
      <c r="D140" s="50" t="n">
        <f aca="false">C140/SUM(v_valor)</f>
        <v>0.567029285549864</v>
      </c>
      <c r="E140" s="50" t="n">
        <f aca="false">A140/1000</f>
        <v>0.139</v>
      </c>
    </row>
    <row r="141" customFormat="false" ht="15" hidden="false" customHeight="false" outlineLevel="0" collapsed="false">
      <c r="A141" s="48" t="n">
        <v>140</v>
      </c>
      <c r="B141" s="46" t="n">
        <f aca="false">LARGE(v_valor,A141)</f>
        <v>228.52</v>
      </c>
      <c r="C141" s="46" t="n">
        <f aca="false">C140+B141</f>
        <v>62229.98</v>
      </c>
      <c r="D141" s="50" t="n">
        <f aca="false">C141/SUM(v_valor)</f>
        <v>0.569119196534764</v>
      </c>
      <c r="E141" s="50" t="n">
        <f aca="false">A141/1000</f>
        <v>0.14</v>
      </c>
    </row>
    <row r="142" customFormat="false" ht="15" hidden="false" customHeight="false" outlineLevel="0" collapsed="false">
      <c r="A142" s="48" t="n">
        <v>141</v>
      </c>
      <c r="B142" s="46" t="n">
        <f aca="false">LARGE(v_valor,A142)</f>
        <v>224.54</v>
      </c>
      <c r="C142" s="46" t="n">
        <f aca="false">C141+B142</f>
        <v>62454.52</v>
      </c>
      <c r="D142" s="50" t="n">
        <f aca="false">C142/SUM(v_valor)</f>
        <v>0.571172708754918</v>
      </c>
      <c r="E142" s="50" t="n">
        <f aca="false">A142/1000</f>
        <v>0.141</v>
      </c>
    </row>
    <row r="143" customFormat="false" ht="15" hidden="false" customHeight="false" outlineLevel="0" collapsed="false">
      <c r="A143" s="48" t="n">
        <v>142</v>
      </c>
      <c r="B143" s="46" t="n">
        <f aca="false">LARGE(v_valor,A143)</f>
        <v>222.11</v>
      </c>
      <c r="C143" s="46" t="n">
        <f aca="false">C142+B143</f>
        <v>62676.63</v>
      </c>
      <c r="D143" s="50" t="n">
        <f aca="false">C143/SUM(v_valor)</f>
        <v>0.573203997608656</v>
      </c>
      <c r="E143" s="50" t="n">
        <f aca="false">A143/1000</f>
        <v>0.142</v>
      </c>
    </row>
    <row r="144" customFormat="false" ht="15" hidden="false" customHeight="false" outlineLevel="0" collapsed="false">
      <c r="A144" s="48" t="n">
        <v>143</v>
      </c>
      <c r="B144" s="46" t="n">
        <f aca="false">LARGE(v_valor,A144)</f>
        <v>221.82</v>
      </c>
      <c r="C144" s="46" t="n">
        <f aca="false">C143+B144</f>
        <v>62898.45</v>
      </c>
      <c r="D144" s="50" t="n">
        <f aca="false">C144/SUM(v_valor)</f>
        <v>0.575232634291093</v>
      </c>
      <c r="E144" s="50" t="n">
        <f aca="false">A144/1000</f>
        <v>0.143</v>
      </c>
    </row>
    <row r="145" customFormat="false" ht="15" hidden="false" customHeight="false" outlineLevel="0" collapsed="false">
      <c r="A145" s="48" t="n">
        <v>144</v>
      </c>
      <c r="B145" s="46" t="n">
        <f aca="false">LARGE(v_valor,A145)</f>
        <v>221.37</v>
      </c>
      <c r="C145" s="46" t="n">
        <f aca="false">C144+B145</f>
        <v>63119.82</v>
      </c>
      <c r="D145" s="50" t="n">
        <f aca="false">C145/SUM(v_valor)</f>
        <v>0.577257155535306</v>
      </c>
      <c r="E145" s="50" t="n">
        <f aca="false">A145/1000</f>
        <v>0.144</v>
      </c>
    </row>
    <row r="146" customFormat="false" ht="15" hidden="false" customHeight="false" outlineLevel="0" collapsed="false">
      <c r="A146" s="48" t="n">
        <v>145</v>
      </c>
      <c r="B146" s="46" t="n">
        <f aca="false">LARGE(v_valor,A146)</f>
        <v>217.98</v>
      </c>
      <c r="C146" s="46" t="n">
        <f aca="false">C145+B146</f>
        <v>63337.8</v>
      </c>
      <c r="D146" s="50" t="n">
        <f aca="false">C146/SUM(v_valor)</f>
        <v>0.579250673811555</v>
      </c>
      <c r="E146" s="50" t="n">
        <f aca="false">A146/1000</f>
        <v>0.145</v>
      </c>
    </row>
    <row r="147" customFormat="false" ht="15" hidden="false" customHeight="false" outlineLevel="0" collapsed="false">
      <c r="A147" s="48" t="n">
        <v>146</v>
      </c>
      <c r="B147" s="46" t="n">
        <f aca="false">LARGE(v_valor,A147)</f>
        <v>217.07</v>
      </c>
      <c r="C147" s="46" t="n">
        <f aca="false">C146+B147</f>
        <v>63554.87</v>
      </c>
      <c r="D147" s="50" t="n">
        <f aca="false">C147/SUM(v_valor)</f>
        <v>0.581235869757172</v>
      </c>
      <c r="E147" s="50" t="n">
        <f aca="false">A147/1000</f>
        <v>0.146</v>
      </c>
    </row>
    <row r="148" customFormat="false" ht="15" hidden="false" customHeight="false" outlineLevel="0" collapsed="false">
      <c r="A148" s="48" t="n">
        <v>147</v>
      </c>
      <c r="B148" s="46" t="n">
        <f aca="false">LARGE(v_valor,A148)</f>
        <v>214.42</v>
      </c>
      <c r="C148" s="46" t="n">
        <f aca="false">C147+B148</f>
        <v>63769.29</v>
      </c>
      <c r="D148" s="50" t="n">
        <f aca="false">C148/SUM(v_valor)</f>
        <v>0.583196830344352</v>
      </c>
      <c r="E148" s="50" t="n">
        <f aca="false">A148/1000</f>
        <v>0.147</v>
      </c>
    </row>
    <row r="149" customFormat="false" ht="15" hidden="false" customHeight="false" outlineLevel="0" collapsed="false">
      <c r="A149" s="48" t="n">
        <v>148</v>
      </c>
      <c r="B149" s="46" t="n">
        <f aca="false">LARGE(v_valor,A149)</f>
        <v>214.1</v>
      </c>
      <c r="C149" s="46" t="n">
        <f aca="false">C148+B149</f>
        <v>63983.39</v>
      </c>
      <c r="D149" s="50" t="n">
        <f aca="false">C149/SUM(v_valor)</f>
        <v>0.585154864397682</v>
      </c>
      <c r="E149" s="50" t="n">
        <f aca="false">A149/1000</f>
        <v>0.148</v>
      </c>
    </row>
    <row r="150" customFormat="false" ht="15" hidden="false" customHeight="false" outlineLevel="0" collapsed="false">
      <c r="A150" s="48" t="n">
        <v>149</v>
      </c>
      <c r="B150" s="46" t="n">
        <f aca="false">LARGE(v_valor,A150)</f>
        <v>212.5</v>
      </c>
      <c r="C150" s="46" t="n">
        <f aca="false">C149+B150</f>
        <v>64195.89</v>
      </c>
      <c r="D150" s="50" t="n">
        <f aca="false">C150/SUM(v_valor)</f>
        <v>0.587098265781768</v>
      </c>
      <c r="E150" s="50" t="n">
        <f aca="false">A150/1000</f>
        <v>0.149</v>
      </c>
    </row>
    <row r="151" customFormat="false" ht="15" hidden="false" customHeight="false" outlineLevel="0" collapsed="false">
      <c r="A151" s="48" t="n">
        <v>150</v>
      </c>
      <c r="B151" s="46" t="n">
        <f aca="false">LARGE(v_valor,A151)</f>
        <v>210.29</v>
      </c>
      <c r="C151" s="46" t="n">
        <f aca="false">C150+B151</f>
        <v>64406.18</v>
      </c>
      <c r="D151" s="50" t="n">
        <f aca="false">C151/SUM(v_valor)</f>
        <v>0.58902145579146</v>
      </c>
      <c r="E151" s="50" t="n">
        <f aca="false">A151/1000</f>
        <v>0.15</v>
      </c>
    </row>
    <row r="152" customFormat="false" ht="15" hidden="false" customHeight="false" outlineLevel="0" collapsed="false">
      <c r="A152" s="48" t="n">
        <v>151</v>
      </c>
      <c r="B152" s="46" t="n">
        <f aca="false">LARGE(v_valor,A152)</f>
        <v>209.69</v>
      </c>
      <c r="C152" s="46" t="n">
        <f aca="false">C151+B152</f>
        <v>64615.87</v>
      </c>
      <c r="D152" s="50" t="n">
        <f aca="false">C152/SUM(v_valor)</f>
        <v>0.590939158550184</v>
      </c>
      <c r="E152" s="50" t="n">
        <f aca="false">A152/1000</f>
        <v>0.151</v>
      </c>
    </row>
    <row r="153" customFormat="false" ht="15" hidden="false" customHeight="false" outlineLevel="0" collapsed="false">
      <c r="A153" s="48" t="n">
        <v>152</v>
      </c>
      <c r="B153" s="46" t="n">
        <f aca="false">LARGE(v_valor,A153)</f>
        <v>209.45</v>
      </c>
      <c r="C153" s="46" t="n">
        <f aca="false">C152+B153</f>
        <v>64825.32</v>
      </c>
      <c r="D153" s="50" t="n">
        <f aca="false">C153/SUM(v_valor)</f>
        <v>0.592854666408522</v>
      </c>
      <c r="E153" s="50" t="n">
        <f aca="false">A153/1000</f>
        <v>0.152</v>
      </c>
    </row>
    <row r="154" customFormat="false" ht="15" hidden="false" customHeight="false" outlineLevel="0" collapsed="false">
      <c r="A154" s="48" t="n">
        <v>153</v>
      </c>
      <c r="B154" s="46" t="n">
        <f aca="false">LARGE(v_valor,A154)</f>
        <v>208.94</v>
      </c>
      <c r="C154" s="46" t="n">
        <f aca="false">C153+B154</f>
        <v>65034.26</v>
      </c>
      <c r="D154" s="50" t="n">
        <f aca="false">C154/SUM(v_valor)</f>
        <v>0.594765510103538</v>
      </c>
      <c r="E154" s="50" t="n">
        <f aca="false">A154/1000</f>
        <v>0.153</v>
      </c>
    </row>
    <row r="155" customFormat="false" ht="15" hidden="false" customHeight="false" outlineLevel="0" collapsed="false">
      <c r="A155" s="48" t="n">
        <v>154</v>
      </c>
      <c r="B155" s="46" t="n">
        <f aca="false">LARGE(v_valor,A155)</f>
        <v>208.15</v>
      </c>
      <c r="C155" s="46" t="n">
        <f aca="false">C154+B155</f>
        <v>65242.41</v>
      </c>
      <c r="D155" s="50" t="n">
        <f aca="false">C155/SUM(v_valor)</f>
        <v>0.596669128918114</v>
      </c>
      <c r="E155" s="50" t="n">
        <f aca="false">A155/1000</f>
        <v>0.154</v>
      </c>
    </row>
    <row r="156" customFormat="false" ht="15" hidden="false" customHeight="false" outlineLevel="0" collapsed="false">
      <c r="A156" s="48" t="n">
        <v>155</v>
      </c>
      <c r="B156" s="46" t="n">
        <f aca="false">LARGE(v_valor,A156)</f>
        <v>207.28</v>
      </c>
      <c r="C156" s="46" t="n">
        <f aca="false">C155+B156</f>
        <v>65449.69</v>
      </c>
      <c r="D156" s="50" t="n">
        <f aca="false">C156/SUM(v_valor)</f>
        <v>0.598564791218789</v>
      </c>
      <c r="E156" s="50" t="n">
        <f aca="false">A156/1000</f>
        <v>0.155</v>
      </c>
    </row>
    <row r="157" customFormat="false" ht="15" hidden="false" customHeight="false" outlineLevel="0" collapsed="false">
      <c r="A157" s="48" t="n">
        <v>156</v>
      </c>
      <c r="B157" s="46" t="n">
        <f aca="false">LARGE(v_valor,A157)</f>
        <v>206.89</v>
      </c>
      <c r="C157" s="46" t="n">
        <f aca="false">C156+B157</f>
        <v>65656.58</v>
      </c>
      <c r="D157" s="50" t="n">
        <f aca="false">C157/SUM(v_valor)</f>
        <v>0.600456886806335</v>
      </c>
      <c r="E157" s="50" t="n">
        <f aca="false">A157/1000</f>
        <v>0.156</v>
      </c>
    </row>
    <row r="158" customFormat="false" ht="15" hidden="false" customHeight="false" outlineLevel="0" collapsed="false">
      <c r="A158" s="48" t="n">
        <v>157</v>
      </c>
      <c r="B158" s="46" t="n">
        <f aca="false">LARGE(v_valor,A158)</f>
        <v>205.26</v>
      </c>
      <c r="C158" s="46" t="n">
        <f aca="false">C157+B158</f>
        <v>65861.84</v>
      </c>
      <c r="D158" s="50" t="n">
        <f aca="false">C158/SUM(v_valor)</f>
        <v>0.602334075362088</v>
      </c>
      <c r="E158" s="50" t="n">
        <f aca="false">A158/1000</f>
        <v>0.157</v>
      </c>
    </row>
    <row r="159" customFormat="false" ht="15" hidden="false" customHeight="false" outlineLevel="0" collapsed="false">
      <c r="A159" s="48" t="n">
        <v>158</v>
      </c>
      <c r="B159" s="46" t="n">
        <f aca="false">LARGE(v_valor,A159)</f>
        <v>204.63</v>
      </c>
      <c r="C159" s="46" t="n">
        <f aca="false">C158+B159</f>
        <v>66066.47</v>
      </c>
      <c r="D159" s="50" t="n">
        <f aca="false">C159/SUM(v_valor)</f>
        <v>0.604205502304325</v>
      </c>
      <c r="E159" s="50" t="n">
        <f aca="false">A159/1000</f>
        <v>0.158</v>
      </c>
    </row>
    <row r="160" customFormat="false" ht="15" hidden="false" customHeight="false" outlineLevel="0" collapsed="false">
      <c r="A160" s="48" t="n">
        <v>159</v>
      </c>
      <c r="B160" s="46" t="n">
        <f aca="false">LARGE(v_valor,A160)</f>
        <v>203.92</v>
      </c>
      <c r="C160" s="46" t="n">
        <f aca="false">C159+B160</f>
        <v>66270.39</v>
      </c>
      <c r="D160" s="50" t="n">
        <f aca="false">C160/SUM(v_valor)</f>
        <v>0.606070435999586</v>
      </c>
      <c r="E160" s="50" t="n">
        <f aca="false">A160/1000</f>
        <v>0.159</v>
      </c>
    </row>
    <row r="161" customFormat="false" ht="15" hidden="false" customHeight="false" outlineLevel="0" collapsed="false">
      <c r="A161" s="48" t="n">
        <v>160</v>
      </c>
      <c r="B161" s="46" t="n">
        <f aca="false">LARGE(v_valor,A161)</f>
        <v>203.85</v>
      </c>
      <c r="C161" s="46" t="n">
        <f aca="false">C160+B161</f>
        <v>66474.24</v>
      </c>
      <c r="D161" s="50" t="n">
        <f aca="false">C161/SUM(v_valor)</f>
        <v>0.607934729515566</v>
      </c>
      <c r="E161" s="50" t="n">
        <f aca="false">A161/1000</f>
        <v>0.16</v>
      </c>
    </row>
    <row r="162" customFormat="false" ht="15" hidden="false" customHeight="false" outlineLevel="0" collapsed="false">
      <c r="A162" s="48" t="n">
        <v>161</v>
      </c>
      <c r="B162" s="46" t="n">
        <f aca="false">LARGE(v_valor,A162)</f>
        <v>203.54</v>
      </c>
      <c r="C162" s="46" t="n">
        <f aca="false">C161+B162</f>
        <v>66677.78</v>
      </c>
      <c r="D162" s="50" t="n">
        <f aca="false">C162/SUM(v_valor)</f>
        <v>0.609796187951881</v>
      </c>
      <c r="E162" s="50" t="n">
        <f aca="false">A162/1000</f>
        <v>0.161</v>
      </c>
    </row>
    <row r="163" customFormat="false" ht="15" hidden="false" customHeight="false" outlineLevel="0" collapsed="false">
      <c r="A163" s="48" t="n">
        <v>162</v>
      </c>
      <c r="B163" s="46" t="n">
        <f aca="false">LARGE(v_valor,A163)</f>
        <v>200.74</v>
      </c>
      <c r="C163" s="46" t="n">
        <f aca="false">C162+B163</f>
        <v>66878.52</v>
      </c>
      <c r="D163" s="50" t="n">
        <f aca="false">C163/SUM(v_valor)</f>
        <v>0.611632039217017</v>
      </c>
      <c r="E163" s="50" t="n">
        <f aca="false">A163/1000</f>
        <v>0.162</v>
      </c>
    </row>
    <row r="164" customFormat="false" ht="15" hidden="false" customHeight="false" outlineLevel="0" collapsed="false">
      <c r="A164" s="48" t="n">
        <v>163</v>
      </c>
      <c r="B164" s="46" t="n">
        <f aca="false">LARGE(v_valor,A164)</f>
        <v>200.63</v>
      </c>
      <c r="C164" s="46" t="n">
        <f aca="false">C163+B164</f>
        <v>67079.15</v>
      </c>
      <c r="D164" s="50" t="n">
        <f aca="false">C164/SUM(v_valor)</f>
        <v>0.613466884486142</v>
      </c>
      <c r="E164" s="50" t="n">
        <f aca="false">A164/1000</f>
        <v>0.163</v>
      </c>
    </row>
    <row r="165" customFormat="false" ht="15" hidden="false" customHeight="false" outlineLevel="0" collapsed="false">
      <c r="A165" s="48" t="n">
        <v>164</v>
      </c>
      <c r="B165" s="46" t="n">
        <f aca="false">LARGE(v_valor,A165)</f>
        <v>199.74</v>
      </c>
      <c r="C165" s="46" t="n">
        <f aca="false">C164+B165</f>
        <v>67278.89</v>
      </c>
      <c r="D165" s="50" t="n">
        <f aca="false">C165/SUM(v_valor)</f>
        <v>0.615293590333</v>
      </c>
      <c r="E165" s="50" t="n">
        <f aca="false">A165/1000</f>
        <v>0.164</v>
      </c>
    </row>
    <row r="166" customFormat="false" ht="15" hidden="false" customHeight="false" outlineLevel="0" collapsed="false">
      <c r="A166" s="48" t="n">
        <v>165</v>
      </c>
      <c r="B166" s="46" t="n">
        <f aca="false">LARGE(v_valor,A166)</f>
        <v>197.22</v>
      </c>
      <c r="C166" s="46" t="n">
        <f aca="false">C165+B166</f>
        <v>67476.11</v>
      </c>
      <c r="D166" s="50" t="n">
        <f aca="false">C166/SUM(v_valor)</f>
        <v>0.617097249725798</v>
      </c>
      <c r="E166" s="50" t="n">
        <f aca="false">A166/1000</f>
        <v>0.165</v>
      </c>
    </row>
    <row r="167" customFormat="false" ht="15" hidden="false" customHeight="false" outlineLevel="0" collapsed="false">
      <c r="A167" s="48" t="n">
        <v>166</v>
      </c>
      <c r="B167" s="46" t="n">
        <f aca="false">LARGE(v_valor,A167)</f>
        <v>195.8</v>
      </c>
      <c r="C167" s="46" t="n">
        <f aca="false">C166+B167</f>
        <v>67671.91</v>
      </c>
      <c r="D167" s="50" t="n">
        <f aca="false">C167/SUM(v_valor)</f>
        <v>0.61888792262464</v>
      </c>
      <c r="E167" s="50" t="n">
        <f aca="false">A167/1000</f>
        <v>0.166</v>
      </c>
    </row>
    <row r="168" customFormat="false" ht="15" hidden="false" customHeight="false" outlineLevel="0" collapsed="false">
      <c r="A168" s="48" t="n">
        <v>167</v>
      </c>
      <c r="B168" s="46" t="n">
        <f aca="false">LARGE(v_valor,A168)</f>
        <v>194.32</v>
      </c>
      <c r="C168" s="46" t="n">
        <f aca="false">C167+B168</f>
        <v>67866.23</v>
      </c>
      <c r="D168" s="50" t="n">
        <f aca="false">C168/SUM(v_valor)</f>
        <v>0.620665060304431</v>
      </c>
      <c r="E168" s="50" t="n">
        <f aca="false">A168/1000</f>
        <v>0.167</v>
      </c>
    </row>
    <row r="169" customFormat="false" ht="15" hidden="false" customHeight="false" outlineLevel="0" collapsed="false">
      <c r="A169" s="48" t="n">
        <v>168</v>
      </c>
      <c r="B169" s="46" t="n">
        <f aca="false">LARGE(v_valor,A169)</f>
        <v>193.81</v>
      </c>
      <c r="C169" s="46" t="n">
        <f aca="false">C168+B169</f>
        <v>68060.04</v>
      </c>
      <c r="D169" s="50" t="n">
        <f aca="false">C169/SUM(v_valor)</f>
        <v>0.6224375338209</v>
      </c>
      <c r="E169" s="50" t="n">
        <f aca="false">A169/1000</f>
        <v>0.168</v>
      </c>
    </row>
    <row r="170" customFormat="false" ht="15" hidden="false" customHeight="false" outlineLevel="0" collapsed="false">
      <c r="A170" s="48" t="n">
        <v>169</v>
      </c>
      <c r="B170" s="46" t="n">
        <f aca="false">LARGE(v_valor,A170)</f>
        <v>193.28</v>
      </c>
      <c r="C170" s="46" t="n">
        <f aca="false">C169+B170</f>
        <v>68253.32</v>
      </c>
      <c r="D170" s="50" t="n">
        <f aca="false">C170/SUM(v_valor)</f>
        <v>0.624205160265682</v>
      </c>
      <c r="E170" s="50" t="n">
        <f aca="false">A170/1000</f>
        <v>0.169</v>
      </c>
    </row>
    <row r="171" customFormat="false" ht="15" hidden="false" customHeight="false" outlineLevel="0" collapsed="false">
      <c r="A171" s="48" t="n">
        <v>170</v>
      </c>
      <c r="B171" s="46" t="n">
        <f aca="false">LARGE(v_valor,A171)</f>
        <v>191.5</v>
      </c>
      <c r="C171" s="46" t="n">
        <f aca="false">C170+B171</f>
        <v>68444.82</v>
      </c>
      <c r="D171" s="50" t="n">
        <f aca="false">C171/SUM(v_valor)</f>
        <v>0.625956507865929</v>
      </c>
      <c r="E171" s="50" t="n">
        <f aca="false">A171/1000</f>
        <v>0.17</v>
      </c>
    </row>
    <row r="172" customFormat="false" ht="15" hidden="false" customHeight="false" outlineLevel="0" collapsed="false">
      <c r="A172" s="48" t="n">
        <v>171</v>
      </c>
      <c r="B172" s="46" t="n">
        <f aca="false">LARGE(v_valor,A172)</f>
        <v>189.53</v>
      </c>
      <c r="C172" s="46" t="n">
        <f aca="false">C171+B172</f>
        <v>68634.35</v>
      </c>
      <c r="D172" s="50" t="n">
        <f aca="false">C172/SUM(v_valor)</f>
        <v>0.627689838992168</v>
      </c>
      <c r="E172" s="50" t="n">
        <f aca="false">A172/1000</f>
        <v>0.171</v>
      </c>
    </row>
    <row r="173" customFormat="false" ht="15" hidden="false" customHeight="false" outlineLevel="0" collapsed="false">
      <c r="A173" s="48" t="n">
        <v>172</v>
      </c>
      <c r="B173" s="46" t="n">
        <f aca="false">LARGE(v_valor,A173)</f>
        <v>189.33</v>
      </c>
      <c r="C173" s="46" t="n">
        <f aca="false">C172+B173</f>
        <v>68823.68</v>
      </c>
      <c r="D173" s="50" t="n">
        <f aca="false">C173/SUM(v_valor)</f>
        <v>0.629421341034751</v>
      </c>
      <c r="E173" s="50" t="n">
        <f aca="false">A173/1000</f>
        <v>0.172</v>
      </c>
    </row>
    <row r="174" customFormat="false" ht="15" hidden="false" customHeight="false" outlineLevel="0" collapsed="false">
      <c r="A174" s="48" t="n">
        <v>173</v>
      </c>
      <c r="B174" s="46" t="n">
        <f aca="false">LARGE(v_valor,A174)</f>
        <v>186.35</v>
      </c>
      <c r="C174" s="46" t="n">
        <f aca="false">C173+B174</f>
        <v>69010.03</v>
      </c>
      <c r="D174" s="50" t="n">
        <f aca="false">C174/SUM(v_valor)</f>
        <v>0.631125589730866</v>
      </c>
      <c r="E174" s="50" t="n">
        <f aca="false">A174/1000</f>
        <v>0.173</v>
      </c>
    </row>
    <row r="175" customFormat="false" ht="15" hidden="false" customHeight="false" outlineLevel="0" collapsed="false">
      <c r="A175" s="48" t="n">
        <v>174</v>
      </c>
      <c r="B175" s="46" t="n">
        <f aca="false">LARGE(v_valor,A175)</f>
        <v>184.52</v>
      </c>
      <c r="C175" s="46" t="n">
        <f aca="false">C174+B175</f>
        <v>69194.55</v>
      </c>
      <c r="D175" s="50" t="n">
        <f aca="false">C175/SUM(v_valor)</f>
        <v>0.632813102311532</v>
      </c>
      <c r="E175" s="50" t="n">
        <f aca="false">A175/1000</f>
        <v>0.174</v>
      </c>
    </row>
    <row r="176" customFormat="false" ht="15" hidden="false" customHeight="false" outlineLevel="0" collapsed="false">
      <c r="A176" s="48" t="n">
        <v>175</v>
      </c>
      <c r="B176" s="46" t="n">
        <f aca="false">LARGE(v_valor,A176)</f>
        <v>183.61</v>
      </c>
      <c r="C176" s="46" t="n">
        <f aca="false">C175+B176</f>
        <v>69378.16</v>
      </c>
      <c r="D176" s="50" t="n">
        <f aca="false">C176/SUM(v_valor)</f>
        <v>0.634492292561565</v>
      </c>
      <c r="E176" s="50" t="n">
        <f aca="false">A176/1000</f>
        <v>0.175</v>
      </c>
    </row>
    <row r="177" customFormat="false" ht="15" hidden="false" customHeight="false" outlineLevel="0" collapsed="false">
      <c r="A177" s="48" t="n">
        <v>176</v>
      </c>
      <c r="B177" s="46" t="n">
        <f aca="false">LARGE(v_valor,A177)</f>
        <v>183.27</v>
      </c>
      <c r="C177" s="46" t="n">
        <f aca="false">C176+B177</f>
        <v>69561.43</v>
      </c>
      <c r="D177" s="50" t="n">
        <f aca="false">C177/SUM(v_valor)</f>
        <v>0.636168373369384</v>
      </c>
      <c r="E177" s="50" t="n">
        <f aca="false">A177/1000</f>
        <v>0.176</v>
      </c>
    </row>
    <row r="178" customFormat="false" ht="15" hidden="false" customHeight="false" outlineLevel="0" collapsed="false">
      <c r="A178" s="48" t="n">
        <v>177</v>
      </c>
      <c r="B178" s="46" t="n">
        <f aca="false">LARGE(v_valor,A178)</f>
        <v>182.1</v>
      </c>
      <c r="C178" s="46" t="n">
        <f aca="false">C177+B178</f>
        <v>69743.53</v>
      </c>
      <c r="D178" s="50" t="n">
        <f aca="false">C178/SUM(v_valor)</f>
        <v>0.637833754037817</v>
      </c>
      <c r="E178" s="50" t="n">
        <f aca="false">A178/1000</f>
        <v>0.177</v>
      </c>
    </row>
    <row r="179" customFormat="false" ht="15" hidden="false" customHeight="false" outlineLevel="0" collapsed="false">
      <c r="A179" s="48" t="n">
        <v>178</v>
      </c>
      <c r="B179" s="46" t="n">
        <f aca="false">LARGE(v_valor,A179)</f>
        <v>181.23</v>
      </c>
      <c r="C179" s="46" t="n">
        <f aca="false">C178+B179</f>
        <v>69924.76</v>
      </c>
      <c r="D179" s="50" t="n">
        <f aca="false">C179/SUM(v_valor)</f>
        <v>0.639491178192348</v>
      </c>
      <c r="E179" s="50" t="n">
        <f aca="false">A179/1000</f>
        <v>0.178</v>
      </c>
    </row>
    <row r="180" customFormat="false" ht="15" hidden="false" customHeight="false" outlineLevel="0" collapsed="false">
      <c r="A180" s="48" t="n">
        <v>179</v>
      </c>
      <c r="B180" s="46" t="n">
        <f aca="false">LARGE(v_valor,A180)</f>
        <v>180.73</v>
      </c>
      <c r="C180" s="46" t="n">
        <f aca="false">C179+B180</f>
        <v>70105.49</v>
      </c>
      <c r="D180" s="50" t="n">
        <f aca="false">C180/SUM(v_valor)</f>
        <v>0.64114402963774</v>
      </c>
      <c r="E180" s="50" t="n">
        <f aca="false">A180/1000</f>
        <v>0.179</v>
      </c>
    </row>
    <row r="181" customFormat="false" ht="15" hidden="false" customHeight="false" outlineLevel="0" collapsed="false">
      <c r="A181" s="48" t="n">
        <v>180</v>
      </c>
      <c r="B181" s="46" t="n">
        <f aca="false">LARGE(v_valor,A181)</f>
        <v>180.47</v>
      </c>
      <c r="C181" s="46" t="n">
        <f aca="false">C180+B181</f>
        <v>70285.96</v>
      </c>
      <c r="D181" s="50" t="n">
        <f aca="false">C181/SUM(v_valor)</f>
        <v>0.64279450327438</v>
      </c>
      <c r="E181" s="50" t="n">
        <f aca="false">A181/1000</f>
        <v>0.18</v>
      </c>
    </row>
    <row r="182" customFormat="false" ht="15" hidden="false" customHeight="false" outlineLevel="0" collapsed="false">
      <c r="A182" s="48" t="n">
        <v>181</v>
      </c>
      <c r="B182" s="46" t="n">
        <f aca="false">LARGE(v_valor,A182)</f>
        <v>179.81</v>
      </c>
      <c r="C182" s="46" t="n">
        <f aca="false">C181+B182</f>
        <v>70465.77</v>
      </c>
      <c r="D182" s="50" t="n">
        <f aca="false">C182/SUM(v_valor)</f>
        <v>0.644438940934957</v>
      </c>
      <c r="E182" s="50" t="n">
        <f aca="false">A182/1000</f>
        <v>0.181</v>
      </c>
    </row>
    <row r="183" customFormat="false" ht="15" hidden="false" customHeight="false" outlineLevel="0" collapsed="false">
      <c r="A183" s="48" t="n">
        <v>182</v>
      </c>
      <c r="B183" s="46" t="n">
        <f aca="false">LARGE(v_valor,A183)</f>
        <v>178.8</v>
      </c>
      <c r="C183" s="46" t="n">
        <f aca="false">C182+B183</f>
        <v>70644.57</v>
      </c>
      <c r="D183" s="50" t="n">
        <f aca="false">C183/SUM(v_valor)</f>
        <v>0.646074141723072</v>
      </c>
      <c r="E183" s="50" t="n">
        <f aca="false">A183/1000</f>
        <v>0.182</v>
      </c>
    </row>
    <row r="184" customFormat="false" ht="15" hidden="false" customHeight="false" outlineLevel="0" collapsed="false">
      <c r="A184" s="48" t="n">
        <v>183</v>
      </c>
      <c r="B184" s="46" t="n">
        <f aca="false">LARGE(v_valor,A184)</f>
        <v>177.52</v>
      </c>
      <c r="C184" s="46" t="n">
        <f aca="false">C183+B184</f>
        <v>70822.09</v>
      </c>
      <c r="D184" s="50" t="n">
        <f aca="false">C184/SUM(v_valor)</f>
        <v>0.647697636375792</v>
      </c>
      <c r="E184" s="50" t="n">
        <f aca="false">A184/1000</f>
        <v>0.183</v>
      </c>
    </row>
    <row r="185" customFormat="false" ht="15" hidden="false" customHeight="false" outlineLevel="0" collapsed="false">
      <c r="A185" s="48" t="n">
        <v>184</v>
      </c>
      <c r="B185" s="46" t="n">
        <f aca="false">LARGE(v_valor,A185)</f>
        <v>176.35</v>
      </c>
      <c r="C185" s="46" t="n">
        <f aca="false">C184+B185</f>
        <v>70998.4400000001</v>
      </c>
      <c r="D185" s="50" t="n">
        <f aca="false">C185/SUM(v_valor)</f>
        <v>0.649310430889126</v>
      </c>
      <c r="E185" s="50" t="n">
        <f aca="false">A185/1000</f>
        <v>0.184</v>
      </c>
    </row>
    <row r="186" customFormat="false" ht="15" hidden="false" customHeight="false" outlineLevel="0" collapsed="false">
      <c r="A186" s="48" t="n">
        <v>185</v>
      </c>
      <c r="B186" s="46" t="n">
        <f aca="false">LARGE(v_valor,A186)</f>
        <v>175.82</v>
      </c>
      <c r="C186" s="46" t="n">
        <f aca="false">C185+B186</f>
        <v>71174.2600000001</v>
      </c>
      <c r="D186" s="50" t="n">
        <f aca="false">C186/SUM(v_valor)</f>
        <v>0.650918378330773</v>
      </c>
      <c r="E186" s="50" t="n">
        <f aca="false">A186/1000</f>
        <v>0.185</v>
      </c>
    </row>
    <row r="187" customFormat="false" ht="15" hidden="false" customHeight="false" outlineLevel="0" collapsed="false">
      <c r="A187" s="48" t="n">
        <v>186</v>
      </c>
      <c r="B187" s="46" t="n">
        <f aca="false">LARGE(v_valor,A187)</f>
        <v>174.46</v>
      </c>
      <c r="C187" s="46" t="n">
        <f aca="false">C186+B187</f>
        <v>71348.7200000001</v>
      </c>
      <c r="D187" s="50" t="n">
        <f aca="false">C187/SUM(v_valor)</f>
        <v>0.652513888003562</v>
      </c>
      <c r="E187" s="50" t="n">
        <f aca="false">A187/1000</f>
        <v>0.186</v>
      </c>
    </row>
    <row r="188" customFormat="false" ht="15" hidden="false" customHeight="false" outlineLevel="0" collapsed="false">
      <c r="A188" s="48" t="n">
        <v>187</v>
      </c>
      <c r="B188" s="46" t="n">
        <f aca="false">LARGE(v_valor,A188)</f>
        <v>173.29</v>
      </c>
      <c r="C188" s="46" t="n">
        <f aca="false">C187+B188</f>
        <v>71522.0100000001</v>
      </c>
      <c r="D188" s="50" t="n">
        <f aca="false">C188/SUM(v_valor)</f>
        <v>0.654098697536966</v>
      </c>
      <c r="E188" s="50" t="n">
        <f aca="false">A188/1000</f>
        <v>0.187</v>
      </c>
    </row>
    <row r="189" customFormat="false" ht="15" hidden="false" customHeight="false" outlineLevel="0" collapsed="false">
      <c r="A189" s="48" t="n">
        <v>188</v>
      </c>
      <c r="B189" s="46" t="n">
        <f aca="false">LARGE(v_valor,A189)</f>
        <v>173.16</v>
      </c>
      <c r="C189" s="46" t="n">
        <f aca="false">C188+B189</f>
        <v>71695.1700000001</v>
      </c>
      <c r="D189" s="50" t="n">
        <f aca="false">C189/SUM(v_valor)</f>
        <v>0.655682318165993</v>
      </c>
      <c r="E189" s="50" t="n">
        <f aca="false">A189/1000</f>
        <v>0.188</v>
      </c>
    </row>
    <row r="190" customFormat="false" ht="15" hidden="false" customHeight="false" outlineLevel="0" collapsed="false">
      <c r="A190" s="48" t="n">
        <v>189</v>
      </c>
      <c r="B190" s="46" t="n">
        <f aca="false">LARGE(v_valor,A190)</f>
        <v>171.41</v>
      </c>
      <c r="C190" s="46" t="n">
        <f aca="false">C189+B190</f>
        <v>71866.5800000001</v>
      </c>
      <c r="D190" s="50" t="n">
        <f aca="false">C190/SUM(v_valor)</f>
        <v>0.657249934313034</v>
      </c>
      <c r="E190" s="50" t="n">
        <f aca="false">A190/1000</f>
        <v>0.189</v>
      </c>
    </row>
    <row r="191" customFormat="false" ht="15" hidden="false" customHeight="false" outlineLevel="0" collapsed="false">
      <c r="A191" s="48" t="n">
        <v>190</v>
      </c>
      <c r="B191" s="46" t="n">
        <f aca="false">LARGE(v_valor,A191)</f>
        <v>171.29</v>
      </c>
      <c r="C191" s="46" t="n">
        <f aca="false">C190+B191</f>
        <v>72037.8700000001</v>
      </c>
      <c r="D191" s="50" t="n">
        <f aca="false">C191/SUM(v_valor)</f>
        <v>0.658816453009881</v>
      </c>
      <c r="E191" s="50" t="n">
        <f aca="false">A191/1000</f>
        <v>0.19</v>
      </c>
    </row>
    <row r="192" customFormat="false" ht="15" hidden="false" customHeight="false" outlineLevel="0" collapsed="false">
      <c r="A192" s="48" t="n">
        <v>191</v>
      </c>
      <c r="B192" s="46" t="n">
        <f aca="false">LARGE(v_valor,A192)</f>
        <v>170.74</v>
      </c>
      <c r="C192" s="46" t="n">
        <f aca="false">C191+B192</f>
        <v>72208.6100000001</v>
      </c>
      <c r="D192" s="50" t="n">
        <f aca="false">C192/SUM(v_valor)</f>
        <v>0.660377941726676</v>
      </c>
      <c r="E192" s="50" t="n">
        <f aca="false">A192/1000</f>
        <v>0.191</v>
      </c>
    </row>
    <row r="193" customFormat="false" ht="15" hidden="false" customHeight="false" outlineLevel="0" collapsed="false">
      <c r="A193" s="48" t="n">
        <v>192</v>
      </c>
      <c r="B193" s="46" t="n">
        <f aca="false">LARGE(v_valor,A193)</f>
        <v>168.33</v>
      </c>
      <c r="C193" s="46" t="n">
        <f aca="false">C192+B193</f>
        <v>72376.9400000001</v>
      </c>
      <c r="D193" s="50" t="n">
        <f aca="false">C193/SUM(v_valor)</f>
        <v>0.66191738998542</v>
      </c>
      <c r="E193" s="50" t="n">
        <f aca="false">A193/1000</f>
        <v>0.192</v>
      </c>
    </row>
    <row r="194" customFormat="false" ht="15" hidden="false" customHeight="false" outlineLevel="0" collapsed="false">
      <c r="A194" s="48" t="n">
        <v>193</v>
      </c>
      <c r="B194" s="46" t="n">
        <f aca="false">LARGE(v_valor,A194)</f>
        <v>168.23</v>
      </c>
      <c r="C194" s="46" t="n">
        <f aca="false">C193+B194</f>
        <v>72545.1700000001</v>
      </c>
      <c r="D194" s="50" t="n">
        <f aca="false">C194/SUM(v_valor)</f>
        <v>0.663455923702337</v>
      </c>
      <c r="E194" s="50" t="n">
        <f aca="false">A194/1000</f>
        <v>0.193</v>
      </c>
    </row>
    <row r="195" customFormat="false" ht="15" hidden="false" customHeight="false" outlineLevel="0" collapsed="false">
      <c r="A195" s="48" t="n">
        <v>194</v>
      </c>
      <c r="B195" s="46" t="n">
        <f aca="false">LARGE(v_valor,A195)</f>
        <v>168.01</v>
      </c>
      <c r="C195" s="46" t="n">
        <f aca="false">C194+B195</f>
        <v>72713.1800000001</v>
      </c>
      <c r="D195" s="50" t="n">
        <f aca="false">C195/SUM(v_valor)</f>
        <v>0.664992445427232</v>
      </c>
      <c r="E195" s="50" t="n">
        <f aca="false">A195/1000</f>
        <v>0.194</v>
      </c>
    </row>
    <row r="196" customFormat="false" ht="15" hidden="false" customHeight="false" outlineLevel="0" collapsed="false">
      <c r="A196" s="48" t="n">
        <v>195</v>
      </c>
      <c r="B196" s="46" t="n">
        <f aca="false">LARGE(v_valor,A196)</f>
        <v>167.93</v>
      </c>
      <c r="C196" s="46" t="n">
        <f aca="false">C195+B196</f>
        <v>72881.11</v>
      </c>
      <c r="D196" s="50" t="n">
        <f aca="false">C196/SUM(v_valor)</f>
        <v>0.666528235518665</v>
      </c>
      <c r="E196" s="50" t="n">
        <f aca="false">A196/1000</f>
        <v>0.195</v>
      </c>
    </row>
    <row r="197" customFormat="false" ht="15" hidden="false" customHeight="false" outlineLevel="0" collapsed="false">
      <c r="A197" s="48" t="n">
        <v>196</v>
      </c>
      <c r="B197" s="46" t="n">
        <f aca="false">LARGE(v_valor,A197)</f>
        <v>167.93</v>
      </c>
      <c r="C197" s="46" t="n">
        <f aca="false">C196+B197</f>
        <v>73049.04</v>
      </c>
      <c r="D197" s="50" t="n">
        <f aca="false">C197/SUM(v_valor)</f>
        <v>0.668064025610098</v>
      </c>
      <c r="E197" s="50" t="n">
        <f aca="false">A197/1000</f>
        <v>0.196</v>
      </c>
    </row>
    <row r="198" customFormat="false" ht="15" hidden="false" customHeight="false" outlineLevel="0" collapsed="false">
      <c r="A198" s="48" t="n">
        <v>197</v>
      </c>
      <c r="B198" s="46" t="n">
        <f aca="false">LARGE(v_valor,A198)</f>
        <v>167.89</v>
      </c>
      <c r="C198" s="46" t="n">
        <f aca="false">C197+B198</f>
        <v>73216.93</v>
      </c>
      <c r="D198" s="50" t="n">
        <f aca="false">C198/SUM(v_valor)</f>
        <v>0.6695994498848</v>
      </c>
      <c r="E198" s="50" t="n">
        <f aca="false">A198/1000</f>
        <v>0.197</v>
      </c>
    </row>
    <row r="199" customFormat="false" ht="15" hidden="false" customHeight="false" outlineLevel="0" collapsed="false">
      <c r="A199" s="48" t="n">
        <v>198</v>
      </c>
      <c r="B199" s="46" t="n">
        <f aca="false">LARGE(v_valor,A199)</f>
        <v>166.46</v>
      </c>
      <c r="C199" s="46" t="n">
        <f aca="false">C198+B199</f>
        <v>73383.39</v>
      </c>
      <c r="D199" s="50" t="n">
        <f aca="false">C199/SUM(v_valor)</f>
        <v>0.671121796211365</v>
      </c>
      <c r="E199" s="50" t="n">
        <f aca="false">A199/1000</f>
        <v>0.198</v>
      </c>
    </row>
    <row r="200" customFormat="false" ht="15" hidden="false" customHeight="false" outlineLevel="0" collapsed="false">
      <c r="A200" s="48" t="n">
        <v>199</v>
      </c>
      <c r="B200" s="46" t="n">
        <f aca="false">LARGE(v_valor,A200)</f>
        <v>166.22</v>
      </c>
      <c r="C200" s="46" t="n">
        <f aca="false">C199+B200</f>
        <v>73549.61</v>
      </c>
      <c r="D200" s="50" t="n">
        <f aca="false">C200/SUM(v_valor)</f>
        <v>0.672641947637542</v>
      </c>
      <c r="E200" s="50" t="n">
        <f aca="false">A200/1000</f>
        <v>0.199</v>
      </c>
    </row>
    <row r="201" customFormat="false" ht="15" hidden="false" customHeight="false" outlineLevel="0" collapsed="false">
      <c r="A201" s="48" t="n">
        <v>200</v>
      </c>
      <c r="B201" s="46" t="n">
        <f aca="false">LARGE(v_valor,A201)</f>
        <v>166.13</v>
      </c>
      <c r="C201" s="46" t="n">
        <f aca="false">C200+B201</f>
        <v>73715.7400000001</v>
      </c>
      <c r="D201" s="50" t="n">
        <f aca="false">C201/SUM(v_valor)</f>
        <v>0.674161275976075</v>
      </c>
      <c r="E201" s="50" t="n">
        <f aca="false">A201/1000</f>
        <v>0.2</v>
      </c>
    </row>
    <row r="202" customFormat="false" ht="15" hidden="false" customHeight="false" outlineLevel="0" collapsed="false">
      <c r="A202" s="48" t="n">
        <v>201</v>
      </c>
      <c r="B202" s="46" t="n">
        <f aca="false">LARGE(v_valor,A202)</f>
        <v>165.75</v>
      </c>
      <c r="C202" s="46" t="n">
        <f aca="false">C201+B202</f>
        <v>73881.4900000001</v>
      </c>
      <c r="D202" s="50" t="n">
        <f aca="false">C202/SUM(v_valor)</f>
        <v>0.675677129055662</v>
      </c>
      <c r="E202" s="50" t="n">
        <f aca="false">A202/1000</f>
        <v>0.201</v>
      </c>
    </row>
    <row r="203" customFormat="false" ht="15" hidden="false" customHeight="false" outlineLevel="0" collapsed="false">
      <c r="A203" s="48" t="n">
        <v>202</v>
      </c>
      <c r="B203" s="46" t="n">
        <f aca="false">LARGE(v_valor,A203)</f>
        <v>165.01</v>
      </c>
      <c r="C203" s="46" t="n">
        <f aca="false">C202+B203</f>
        <v>74046.5</v>
      </c>
      <c r="D203" s="50" t="n">
        <f aca="false">C203/SUM(v_valor)</f>
        <v>0.677186214525723</v>
      </c>
      <c r="E203" s="50" t="n">
        <f aca="false">A203/1000</f>
        <v>0.202</v>
      </c>
    </row>
    <row r="204" customFormat="false" ht="15" hidden="false" customHeight="false" outlineLevel="0" collapsed="false">
      <c r="A204" s="48" t="n">
        <v>203</v>
      </c>
      <c r="B204" s="46" t="n">
        <f aca="false">LARGE(v_valor,A204)</f>
        <v>164</v>
      </c>
      <c r="C204" s="46" t="n">
        <f aca="false">C203+B204</f>
        <v>74210.5</v>
      </c>
      <c r="D204" s="50" t="n">
        <f aca="false">C204/SUM(v_valor)</f>
        <v>0.678686063123324</v>
      </c>
      <c r="E204" s="50" t="n">
        <f aca="false">A204/1000</f>
        <v>0.203</v>
      </c>
    </row>
    <row r="205" customFormat="false" ht="15" hidden="false" customHeight="false" outlineLevel="0" collapsed="false">
      <c r="A205" s="48" t="n">
        <v>204</v>
      </c>
      <c r="B205" s="46" t="n">
        <f aca="false">LARGE(v_valor,A205)</f>
        <v>163.53</v>
      </c>
      <c r="C205" s="46" t="n">
        <f aca="false">C204+B205</f>
        <v>74374.03</v>
      </c>
      <c r="D205" s="50" t="n">
        <f aca="false">C205/SUM(v_valor)</f>
        <v>0.680181613374333</v>
      </c>
      <c r="E205" s="50" t="n">
        <f aca="false">A205/1000</f>
        <v>0.204</v>
      </c>
    </row>
    <row r="206" customFormat="false" ht="15" hidden="false" customHeight="false" outlineLevel="0" collapsed="false">
      <c r="A206" s="48" t="n">
        <v>205</v>
      </c>
      <c r="B206" s="46" t="n">
        <f aca="false">LARGE(v_valor,A206)</f>
        <v>163.04</v>
      </c>
      <c r="C206" s="46" t="n">
        <f aca="false">C205+B206</f>
        <v>74537.07</v>
      </c>
      <c r="D206" s="50" t="n">
        <f aca="false">C206/SUM(v_valor)</f>
        <v>0.681672682370387</v>
      </c>
      <c r="E206" s="50" t="n">
        <f aca="false">A206/1000</f>
        <v>0.205</v>
      </c>
    </row>
    <row r="207" customFormat="false" ht="15" hidden="false" customHeight="false" outlineLevel="0" collapsed="false">
      <c r="A207" s="48" t="n">
        <v>206</v>
      </c>
      <c r="B207" s="46" t="n">
        <f aca="false">LARGE(v_valor,A207)</f>
        <v>161.42</v>
      </c>
      <c r="C207" s="46" t="n">
        <f aca="false">C206+B207</f>
        <v>74698.49</v>
      </c>
      <c r="D207" s="50" t="n">
        <f aca="false">C207/SUM(v_valor)</f>
        <v>0.68314893578883</v>
      </c>
      <c r="E207" s="50" t="n">
        <f aca="false">A207/1000</f>
        <v>0.206</v>
      </c>
    </row>
    <row r="208" customFormat="false" ht="15" hidden="false" customHeight="false" outlineLevel="0" collapsed="false">
      <c r="A208" s="48" t="n">
        <v>207</v>
      </c>
      <c r="B208" s="46" t="n">
        <f aca="false">LARGE(v_valor,A208)</f>
        <v>160.65</v>
      </c>
      <c r="C208" s="46" t="n">
        <f aca="false">C207+B208</f>
        <v>74859.14</v>
      </c>
      <c r="D208" s="50" t="n">
        <f aca="false">C208/SUM(v_valor)</f>
        <v>0.684618147235199</v>
      </c>
      <c r="E208" s="50" t="n">
        <f aca="false">A208/1000</f>
        <v>0.207</v>
      </c>
    </row>
    <row r="209" customFormat="false" ht="15" hidden="false" customHeight="false" outlineLevel="0" collapsed="false">
      <c r="A209" s="48" t="n">
        <v>208</v>
      </c>
      <c r="B209" s="46" t="n">
        <f aca="false">LARGE(v_valor,A209)</f>
        <v>159.67</v>
      </c>
      <c r="C209" s="46" t="n">
        <f aca="false">C208+B209</f>
        <v>75018.81</v>
      </c>
      <c r="D209" s="50" t="n">
        <f aca="false">C209/SUM(v_valor)</f>
        <v>0.686078396171655</v>
      </c>
      <c r="E209" s="50" t="n">
        <f aca="false">A209/1000</f>
        <v>0.208</v>
      </c>
    </row>
    <row r="210" customFormat="false" ht="15" hidden="false" customHeight="false" outlineLevel="0" collapsed="false">
      <c r="A210" s="48" t="n">
        <v>209</v>
      </c>
      <c r="B210" s="46" t="n">
        <f aca="false">LARGE(v_valor,A210)</f>
        <v>158.78</v>
      </c>
      <c r="C210" s="46" t="n">
        <f aca="false">C209+B210</f>
        <v>75177.59</v>
      </c>
      <c r="D210" s="50" t="n">
        <f aca="false">C210/SUM(v_valor)</f>
        <v>0.687530505685844</v>
      </c>
      <c r="E210" s="50" t="n">
        <f aca="false">A210/1000</f>
        <v>0.209</v>
      </c>
    </row>
    <row r="211" customFormat="false" ht="15" hidden="false" customHeight="false" outlineLevel="0" collapsed="false">
      <c r="A211" s="48" t="n">
        <v>210</v>
      </c>
      <c r="B211" s="46" t="n">
        <f aca="false">LARGE(v_valor,A211)</f>
        <v>158.43</v>
      </c>
      <c r="C211" s="46" t="n">
        <f aca="false">C210+B211</f>
        <v>75336.02</v>
      </c>
      <c r="D211" s="50" t="n">
        <f aca="false">C211/SUM(v_valor)</f>
        <v>0.688979414303636</v>
      </c>
      <c r="E211" s="50" t="n">
        <f aca="false">A211/1000</f>
        <v>0.21</v>
      </c>
    </row>
    <row r="212" customFormat="false" ht="15" hidden="false" customHeight="false" outlineLevel="0" collapsed="false">
      <c r="A212" s="48" t="n">
        <v>211</v>
      </c>
      <c r="B212" s="46" t="n">
        <f aca="false">LARGE(v_valor,A212)</f>
        <v>158.1</v>
      </c>
      <c r="C212" s="46" t="n">
        <f aca="false">C211+B212</f>
        <v>75494.12</v>
      </c>
      <c r="D212" s="50" t="n">
        <f aca="false">C212/SUM(v_valor)</f>
        <v>0.690425304933396</v>
      </c>
      <c r="E212" s="50" t="n">
        <f aca="false">A212/1000</f>
        <v>0.211</v>
      </c>
    </row>
    <row r="213" customFormat="false" ht="15" hidden="false" customHeight="false" outlineLevel="0" collapsed="false">
      <c r="A213" s="48" t="n">
        <v>212</v>
      </c>
      <c r="B213" s="46" t="n">
        <f aca="false">LARGE(v_valor,A213)</f>
        <v>157.82</v>
      </c>
      <c r="C213" s="46" t="n">
        <f aca="false">C212+B213</f>
        <v>75651.94</v>
      </c>
      <c r="D213" s="50" t="n">
        <f aca="false">C213/SUM(v_valor)</f>
        <v>0.691868634846038</v>
      </c>
      <c r="E213" s="50" t="n">
        <f aca="false">A213/1000</f>
        <v>0.212</v>
      </c>
    </row>
    <row r="214" customFormat="false" ht="15" hidden="false" customHeight="false" outlineLevel="0" collapsed="false">
      <c r="A214" s="48" t="n">
        <v>213</v>
      </c>
      <c r="B214" s="46" t="n">
        <f aca="false">LARGE(v_valor,A214)</f>
        <v>157.52</v>
      </c>
      <c r="C214" s="46" t="n">
        <f aca="false">C213+B214</f>
        <v>75809.46</v>
      </c>
      <c r="D214" s="50" t="n">
        <f aca="false">C214/SUM(v_valor)</f>
        <v>0.693309221133196</v>
      </c>
      <c r="E214" s="50" t="n">
        <f aca="false">A214/1000</f>
        <v>0.213</v>
      </c>
    </row>
    <row r="215" customFormat="false" ht="15" hidden="false" customHeight="false" outlineLevel="0" collapsed="false">
      <c r="A215" s="48" t="n">
        <v>214</v>
      </c>
      <c r="B215" s="46" t="n">
        <f aca="false">LARGE(v_valor,A215)</f>
        <v>155.37</v>
      </c>
      <c r="C215" s="46" t="n">
        <f aca="false">C214+B215</f>
        <v>75964.83</v>
      </c>
      <c r="D215" s="50" t="n">
        <f aca="false">C215/SUM(v_valor)</f>
        <v>0.694730144771057</v>
      </c>
      <c r="E215" s="50" t="n">
        <f aca="false">A215/1000</f>
        <v>0.214</v>
      </c>
    </row>
    <row r="216" customFormat="false" ht="15" hidden="false" customHeight="false" outlineLevel="0" collapsed="false">
      <c r="A216" s="48" t="n">
        <v>215</v>
      </c>
      <c r="B216" s="46" t="n">
        <f aca="false">LARGE(v_valor,A216)</f>
        <v>154.46</v>
      </c>
      <c r="C216" s="46" t="n">
        <f aca="false">C215+B216</f>
        <v>76119.29</v>
      </c>
      <c r="D216" s="50" t="n">
        <f aca="false">C216/SUM(v_valor)</f>
        <v>0.696142746078285</v>
      </c>
      <c r="E216" s="50" t="n">
        <f aca="false">A216/1000</f>
        <v>0.215</v>
      </c>
    </row>
    <row r="217" customFormat="false" ht="15" hidden="false" customHeight="false" outlineLevel="0" collapsed="false">
      <c r="A217" s="48" t="n">
        <v>216</v>
      </c>
      <c r="B217" s="46" t="n">
        <f aca="false">LARGE(v_valor,A217)</f>
        <v>154.22</v>
      </c>
      <c r="C217" s="46" t="n">
        <f aca="false">C216+B217</f>
        <v>76273.51</v>
      </c>
      <c r="D217" s="50" t="n">
        <f aca="false">C217/SUM(v_valor)</f>
        <v>0.697553152485126</v>
      </c>
      <c r="E217" s="50" t="n">
        <f aca="false">A217/1000</f>
        <v>0.216</v>
      </c>
    </row>
    <row r="218" customFormat="false" ht="15" hidden="false" customHeight="false" outlineLevel="0" collapsed="false">
      <c r="A218" s="48" t="n">
        <v>217</v>
      </c>
      <c r="B218" s="46" t="n">
        <f aca="false">LARGE(v_valor,A218)</f>
        <v>152.2</v>
      </c>
      <c r="C218" s="46" t="n">
        <f aca="false">C217+B218</f>
        <v>76425.71</v>
      </c>
      <c r="D218" s="50" t="n">
        <f aca="false">C218/SUM(v_valor)</f>
        <v>0.698945085147046</v>
      </c>
      <c r="E218" s="50" t="n">
        <f aca="false">A218/1000</f>
        <v>0.217</v>
      </c>
    </row>
    <row r="219" customFormat="false" ht="15" hidden="false" customHeight="false" outlineLevel="0" collapsed="false">
      <c r="A219" s="48" t="n">
        <v>218</v>
      </c>
      <c r="B219" s="46" t="n">
        <f aca="false">LARGE(v_valor,A219)</f>
        <v>150.59</v>
      </c>
      <c r="C219" s="46" t="n">
        <f aca="false">C218+B219</f>
        <v>76576.3</v>
      </c>
      <c r="D219" s="50" t="n">
        <f aca="false">C219/SUM(v_valor)</f>
        <v>0.700322293685537</v>
      </c>
      <c r="E219" s="50" t="n">
        <f aca="false">A219/1000</f>
        <v>0.218</v>
      </c>
    </row>
    <row r="220" customFormat="false" ht="15" hidden="false" customHeight="false" outlineLevel="0" collapsed="false">
      <c r="A220" s="48" t="n">
        <v>219</v>
      </c>
      <c r="B220" s="46" t="n">
        <f aca="false">LARGE(v_valor,A220)</f>
        <v>150.48</v>
      </c>
      <c r="C220" s="46" t="n">
        <f aca="false">C219+B220</f>
        <v>76726.78</v>
      </c>
      <c r="D220" s="50" t="n">
        <f aca="false">C220/SUM(v_valor)</f>
        <v>0.701698496228018</v>
      </c>
      <c r="E220" s="50" t="n">
        <f aca="false">A220/1000</f>
        <v>0.219</v>
      </c>
    </row>
    <row r="221" customFormat="false" ht="15" hidden="false" customHeight="false" outlineLevel="0" collapsed="false">
      <c r="A221" s="48" t="n">
        <v>220</v>
      </c>
      <c r="B221" s="46" t="n">
        <f aca="false">LARGE(v_valor,A221)</f>
        <v>150.04</v>
      </c>
      <c r="C221" s="46" t="n">
        <f aca="false">C220+B221</f>
        <v>76876.82</v>
      </c>
      <c r="D221" s="50" t="n">
        <f aca="false">C221/SUM(v_valor)</f>
        <v>0.703070674786457</v>
      </c>
      <c r="E221" s="50" t="n">
        <f aca="false">A221/1000</f>
        <v>0.22</v>
      </c>
    </row>
    <row r="222" customFormat="false" ht="15" hidden="false" customHeight="false" outlineLevel="0" collapsed="false">
      <c r="A222" s="48" t="n">
        <v>221</v>
      </c>
      <c r="B222" s="46" t="n">
        <f aca="false">LARGE(v_valor,A222)</f>
        <v>148.19</v>
      </c>
      <c r="C222" s="46" t="n">
        <f aca="false">C221+B222</f>
        <v>77025.01</v>
      </c>
      <c r="D222" s="50" t="n">
        <f aca="false">C222/SUM(v_valor)</f>
        <v>0.704425934321082</v>
      </c>
      <c r="E222" s="50" t="n">
        <f aca="false">A222/1000</f>
        <v>0.221</v>
      </c>
    </row>
    <row r="223" customFormat="false" ht="15" hidden="false" customHeight="false" outlineLevel="0" collapsed="false">
      <c r="A223" s="48" t="n">
        <v>222</v>
      </c>
      <c r="B223" s="46" t="n">
        <f aca="false">LARGE(v_valor,A223)</f>
        <v>148.03</v>
      </c>
      <c r="C223" s="46" t="n">
        <f aca="false">C222+B223</f>
        <v>77173.04</v>
      </c>
      <c r="D223" s="50" t="n">
        <f aca="false">C223/SUM(v_valor)</f>
        <v>0.705779730588781</v>
      </c>
      <c r="E223" s="50" t="n">
        <f aca="false">A223/1000</f>
        <v>0.222</v>
      </c>
    </row>
    <row r="224" customFormat="false" ht="15" hidden="false" customHeight="false" outlineLevel="0" collapsed="false">
      <c r="A224" s="48" t="n">
        <v>223</v>
      </c>
      <c r="B224" s="46" t="n">
        <f aca="false">LARGE(v_valor,A224)</f>
        <v>147.61</v>
      </c>
      <c r="C224" s="46" t="n">
        <f aca="false">C223+B224</f>
        <v>77320.65</v>
      </c>
      <c r="D224" s="50" t="n">
        <f aca="false">C224/SUM(v_valor)</f>
        <v>0.707129685780805</v>
      </c>
      <c r="E224" s="50" t="n">
        <f aca="false">A224/1000</f>
        <v>0.223</v>
      </c>
    </row>
    <row r="225" customFormat="false" ht="15" hidden="false" customHeight="false" outlineLevel="0" collapsed="false">
      <c r="A225" s="48" t="n">
        <v>224</v>
      </c>
      <c r="B225" s="46" t="n">
        <f aca="false">LARGE(v_valor,A225)</f>
        <v>146.92</v>
      </c>
      <c r="C225" s="46" t="n">
        <f aca="false">C224+B225</f>
        <v>77467.57</v>
      </c>
      <c r="D225" s="50" t="n">
        <f aca="false">C225/SUM(v_valor)</f>
        <v>0.708473330634216</v>
      </c>
      <c r="E225" s="50" t="n">
        <f aca="false">A225/1000</f>
        <v>0.224</v>
      </c>
    </row>
    <row r="226" customFormat="false" ht="15" hidden="false" customHeight="false" outlineLevel="0" collapsed="false">
      <c r="A226" s="48" t="n">
        <v>225</v>
      </c>
      <c r="B226" s="46" t="n">
        <f aca="false">LARGE(v_valor,A226)</f>
        <v>146.88</v>
      </c>
      <c r="C226" s="46" t="n">
        <f aca="false">C225+B226</f>
        <v>77614.45</v>
      </c>
      <c r="D226" s="50" t="n">
        <f aca="false">C226/SUM(v_valor)</f>
        <v>0.709816609670896</v>
      </c>
      <c r="E226" s="50" t="n">
        <f aca="false">A226/1000</f>
        <v>0.225</v>
      </c>
    </row>
    <row r="227" customFormat="false" ht="15" hidden="false" customHeight="false" outlineLevel="0" collapsed="false">
      <c r="A227" s="48" t="n">
        <v>226</v>
      </c>
      <c r="B227" s="46" t="n">
        <f aca="false">LARGE(v_valor,A227)</f>
        <v>146.52</v>
      </c>
      <c r="C227" s="46" t="n">
        <f aca="false">C226+B227</f>
        <v>77760.97</v>
      </c>
      <c r="D227" s="50" t="n">
        <f aca="false">C227/SUM(v_valor)</f>
        <v>0.711156596356996</v>
      </c>
      <c r="E227" s="50" t="n">
        <f aca="false">A227/1000</f>
        <v>0.226</v>
      </c>
    </row>
    <row r="228" customFormat="false" ht="15" hidden="false" customHeight="false" outlineLevel="0" collapsed="false">
      <c r="A228" s="48" t="n">
        <v>227</v>
      </c>
      <c r="B228" s="46" t="n">
        <f aca="false">LARGE(v_valor,A228)</f>
        <v>145.99</v>
      </c>
      <c r="C228" s="46" t="n">
        <f aca="false">C227+B228</f>
        <v>77906.96</v>
      </c>
      <c r="D228" s="50" t="n">
        <f aca="false">C228/SUM(v_valor)</f>
        <v>0.712491735971409</v>
      </c>
      <c r="E228" s="50" t="n">
        <f aca="false">A228/1000</f>
        <v>0.227</v>
      </c>
    </row>
    <row r="229" customFormat="false" ht="15" hidden="false" customHeight="false" outlineLevel="0" collapsed="false">
      <c r="A229" s="48" t="n">
        <v>228</v>
      </c>
      <c r="B229" s="46" t="n">
        <f aca="false">LARGE(v_valor,A229)</f>
        <v>145.2</v>
      </c>
      <c r="C229" s="46" t="n">
        <f aca="false">C228+B229</f>
        <v>78052.16</v>
      </c>
      <c r="D229" s="50" t="n">
        <f aca="false">C229/SUM(v_valor)</f>
        <v>0.713819650705382</v>
      </c>
      <c r="E229" s="50" t="n">
        <f aca="false">A229/1000</f>
        <v>0.228</v>
      </c>
    </row>
    <row r="230" customFormat="false" ht="15" hidden="false" customHeight="false" outlineLevel="0" collapsed="false">
      <c r="A230" s="48" t="n">
        <v>229</v>
      </c>
      <c r="B230" s="46" t="n">
        <f aca="false">LARGE(v_valor,A230)</f>
        <v>145.03</v>
      </c>
      <c r="C230" s="46" t="n">
        <f aca="false">C229+B230</f>
        <v>78197.19</v>
      </c>
      <c r="D230" s="50" t="n">
        <f aca="false">C230/SUM(v_valor)</f>
        <v>0.715146010718248</v>
      </c>
      <c r="E230" s="50" t="n">
        <f aca="false">A230/1000</f>
        <v>0.229</v>
      </c>
    </row>
    <row r="231" customFormat="false" ht="15" hidden="false" customHeight="false" outlineLevel="0" collapsed="false">
      <c r="A231" s="48" t="n">
        <v>230</v>
      </c>
      <c r="B231" s="46" t="n">
        <f aca="false">LARGE(v_valor,A231)</f>
        <v>144.52</v>
      </c>
      <c r="C231" s="46" t="n">
        <f aca="false">C230+B231</f>
        <v>78341.71</v>
      </c>
      <c r="D231" s="50" t="n">
        <f aca="false">C231/SUM(v_valor)</f>
        <v>0.716467706567792</v>
      </c>
      <c r="E231" s="50" t="n">
        <f aca="false">A231/1000</f>
        <v>0.23</v>
      </c>
    </row>
    <row r="232" customFormat="false" ht="15" hidden="false" customHeight="false" outlineLevel="0" collapsed="false">
      <c r="A232" s="48" t="n">
        <v>231</v>
      </c>
      <c r="B232" s="46" t="n">
        <f aca="false">LARGE(v_valor,A232)</f>
        <v>143.52</v>
      </c>
      <c r="C232" s="46" t="n">
        <f aca="false">C231+B232</f>
        <v>78485.23</v>
      </c>
      <c r="D232" s="50" t="n">
        <f aca="false">C232/SUM(v_valor)</f>
        <v>0.717780256999058</v>
      </c>
      <c r="E232" s="50" t="n">
        <f aca="false">A232/1000</f>
        <v>0.231</v>
      </c>
    </row>
    <row r="233" customFormat="false" ht="15" hidden="false" customHeight="false" outlineLevel="0" collapsed="false">
      <c r="A233" s="48" t="n">
        <v>232</v>
      </c>
      <c r="B233" s="46" t="n">
        <f aca="false">LARGE(v_valor,A233)</f>
        <v>143.07</v>
      </c>
      <c r="C233" s="46" t="n">
        <f aca="false">C232+B233</f>
        <v>78628.3000000001</v>
      </c>
      <c r="D233" s="50" t="n">
        <f aca="false">C233/SUM(v_valor)</f>
        <v>0.719088691992099</v>
      </c>
      <c r="E233" s="50" t="n">
        <f aca="false">A233/1000</f>
        <v>0.232</v>
      </c>
    </row>
    <row r="234" customFormat="false" ht="15" hidden="false" customHeight="false" outlineLevel="0" collapsed="false">
      <c r="A234" s="48" t="n">
        <v>233</v>
      </c>
      <c r="B234" s="46" t="n">
        <f aca="false">LARGE(v_valor,A234)</f>
        <v>143.06</v>
      </c>
      <c r="C234" s="46" t="n">
        <f aca="false">C233+B234</f>
        <v>78771.36</v>
      </c>
      <c r="D234" s="50" t="n">
        <f aca="false">C234/SUM(v_valor)</f>
        <v>0.720397035530957</v>
      </c>
      <c r="E234" s="50" t="n">
        <f aca="false">A234/1000</f>
        <v>0.233</v>
      </c>
    </row>
    <row r="235" customFormat="false" ht="15" hidden="false" customHeight="false" outlineLevel="0" collapsed="false">
      <c r="A235" s="48" t="n">
        <v>234</v>
      </c>
      <c r="B235" s="46" t="n">
        <f aca="false">LARGE(v_valor,A235)</f>
        <v>142.98</v>
      </c>
      <c r="C235" s="46" t="n">
        <f aca="false">C234+B235</f>
        <v>78914.34</v>
      </c>
      <c r="D235" s="50" t="n">
        <f aca="false">C235/SUM(v_valor)</f>
        <v>0.721704647436352</v>
      </c>
      <c r="E235" s="50" t="n">
        <f aca="false">A235/1000</f>
        <v>0.234</v>
      </c>
    </row>
    <row r="236" customFormat="false" ht="15" hidden="false" customHeight="false" outlineLevel="0" collapsed="false">
      <c r="A236" s="48" t="n">
        <v>235</v>
      </c>
      <c r="B236" s="46" t="n">
        <f aca="false">LARGE(v_valor,A236)</f>
        <v>142.34</v>
      </c>
      <c r="C236" s="46" t="n">
        <f aca="false">C235+B236</f>
        <v>79056.68</v>
      </c>
      <c r="D236" s="50" t="n">
        <f aca="false">C236/SUM(v_valor)</f>
        <v>0.72300640627405</v>
      </c>
      <c r="E236" s="50" t="n">
        <f aca="false">A236/1000</f>
        <v>0.235</v>
      </c>
    </row>
    <row r="237" customFormat="false" ht="15" hidden="false" customHeight="false" outlineLevel="0" collapsed="false">
      <c r="A237" s="48" t="n">
        <v>236</v>
      </c>
      <c r="B237" s="46" t="n">
        <f aca="false">LARGE(v_valor,A237)</f>
        <v>142.16</v>
      </c>
      <c r="C237" s="46" t="n">
        <f aca="false">C236+B237</f>
        <v>79198.84</v>
      </c>
      <c r="D237" s="50" t="n">
        <f aca="false">C237/SUM(v_valor)</f>
        <v>0.724306518936458</v>
      </c>
      <c r="E237" s="50" t="n">
        <f aca="false">A237/1000</f>
        <v>0.236</v>
      </c>
    </row>
    <row r="238" customFormat="false" ht="15" hidden="false" customHeight="false" outlineLevel="0" collapsed="false">
      <c r="A238" s="48" t="n">
        <v>237</v>
      </c>
      <c r="B238" s="46" t="n">
        <f aca="false">LARGE(v_valor,A238)</f>
        <v>142.05</v>
      </c>
      <c r="C238" s="46" t="n">
        <f aca="false">C237+B238</f>
        <v>79340.89</v>
      </c>
      <c r="D238" s="50" t="n">
        <f aca="false">C238/SUM(v_valor)</f>
        <v>0.725605625602855</v>
      </c>
      <c r="E238" s="50" t="n">
        <f aca="false">A238/1000</f>
        <v>0.237</v>
      </c>
    </row>
    <row r="239" customFormat="false" ht="15" hidden="false" customHeight="false" outlineLevel="0" collapsed="false">
      <c r="A239" s="48" t="n">
        <v>238</v>
      </c>
      <c r="B239" s="46" t="n">
        <f aca="false">LARGE(v_valor,A239)</f>
        <v>141.46</v>
      </c>
      <c r="C239" s="46" t="n">
        <f aca="false">C238+B239</f>
        <v>79482.3500000001</v>
      </c>
      <c r="D239" s="50" t="n">
        <f aca="false">C239/SUM(v_valor)</f>
        <v>0.726899336472468</v>
      </c>
      <c r="E239" s="50" t="n">
        <f aca="false">A239/1000</f>
        <v>0.238</v>
      </c>
    </row>
    <row r="240" customFormat="false" ht="15" hidden="false" customHeight="false" outlineLevel="0" collapsed="false">
      <c r="A240" s="48" t="n">
        <v>239</v>
      </c>
      <c r="B240" s="46" t="n">
        <f aca="false">LARGE(v_valor,A240)</f>
        <v>141.19</v>
      </c>
      <c r="C240" s="46" t="n">
        <f aca="false">C239+B240</f>
        <v>79623.5400000001</v>
      </c>
      <c r="D240" s="50" t="n">
        <f aca="false">C240/SUM(v_valor)</f>
        <v>0.728190578079146</v>
      </c>
      <c r="E240" s="50" t="n">
        <f aca="false">A240/1000</f>
        <v>0.239</v>
      </c>
    </row>
    <row r="241" customFormat="false" ht="15" hidden="false" customHeight="false" outlineLevel="0" collapsed="false">
      <c r="A241" s="48" t="n">
        <v>240</v>
      </c>
      <c r="B241" s="46" t="n">
        <f aca="false">LARGE(v_valor,A241)</f>
        <v>140.53</v>
      </c>
      <c r="C241" s="46" t="n">
        <f aca="false">C240+B241</f>
        <v>79764.0700000001</v>
      </c>
      <c r="D241" s="50" t="n">
        <f aca="false">C241/SUM(v_valor)</f>
        <v>0.729475783709761</v>
      </c>
      <c r="E241" s="50" t="n">
        <f aca="false">A241/1000</f>
        <v>0.24</v>
      </c>
    </row>
    <row r="242" customFormat="false" ht="15" hidden="false" customHeight="false" outlineLevel="0" collapsed="false">
      <c r="A242" s="48" t="n">
        <v>241</v>
      </c>
      <c r="B242" s="46" t="n">
        <f aca="false">LARGE(v_valor,A242)</f>
        <v>138.69</v>
      </c>
      <c r="C242" s="46" t="n">
        <f aca="false">C241+B242</f>
        <v>79902.7600000001</v>
      </c>
      <c r="D242" s="50" t="n">
        <f aca="false">C242/SUM(v_valor)</f>
        <v>0.730744161770744</v>
      </c>
      <c r="E242" s="50" t="n">
        <f aca="false">A242/1000</f>
        <v>0.241</v>
      </c>
    </row>
    <row r="243" customFormat="false" ht="15" hidden="false" customHeight="false" outlineLevel="0" collapsed="false">
      <c r="A243" s="48" t="n">
        <v>242</v>
      </c>
      <c r="B243" s="46" t="n">
        <f aca="false">LARGE(v_valor,A243)</f>
        <v>138.42</v>
      </c>
      <c r="C243" s="46" t="n">
        <f aca="false">C242+B243</f>
        <v>80041.1800000001</v>
      </c>
      <c r="D243" s="50" t="n">
        <f aca="false">C243/SUM(v_valor)</f>
        <v>0.732010070568792</v>
      </c>
      <c r="E243" s="50" t="n">
        <f aca="false">A243/1000</f>
        <v>0.242</v>
      </c>
    </row>
    <row r="244" customFormat="false" ht="15" hidden="false" customHeight="false" outlineLevel="0" collapsed="false">
      <c r="A244" s="48" t="n">
        <v>243</v>
      </c>
      <c r="B244" s="46" t="n">
        <f aca="false">LARGE(v_valor,A244)</f>
        <v>137.43</v>
      </c>
      <c r="C244" s="46" t="n">
        <f aca="false">C243+B244</f>
        <v>80178.61</v>
      </c>
      <c r="D244" s="50" t="n">
        <f aca="false">C244/SUM(v_valor)</f>
        <v>0.733266925402744</v>
      </c>
      <c r="E244" s="50" t="n">
        <f aca="false">A244/1000</f>
        <v>0.243</v>
      </c>
    </row>
    <row r="245" customFormat="false" ht="15" hidden="false" customHeight="false" outlineLevel="0" collapsed="false">
      <c r="A245" s="48" t="n">
        <v>244</v>
      </c>
      <c r="B245" s="46" t="n">
        <f aca="false">LARGE(v_valor,A245)</f>
        <v>137.19</v>
      </c>
      <c r="C245" s="46" t="n">
        <f aca="false">C244+B245</f>
        <v>80315.8000000001</v>
      </c>
      <c r="D245" s="50" t="n">
        <f aca="false">C245/SUM(v_valor)</f>
        <v>0.73452158533631</v>
      </c>
      <c r="E245" s="50" t="n">
        <f aca="false">A245/1000</f>
        <v>0.244</v>
      </c>
    </row>
    <row r="246" customFormat="false" ht="15" hidden="false" customHeight="false" outlineLevel="0" collapsed="false">
      <c r="A246" s="48" t="n">
        <v>245</v>
      </c>
      <c r="B246" s="46" t="n">
        <f aca="false">LARGE(v_valor,A246)</f>
        <v>136.35</v>
      </c>
      <c r="C246" s="46" t="n">
        <f aca="false">C245+B246</f>
        <v>80452.1500000001</v>
      </c>
      <c r="D246" s="50" t="n">
        <f aca="false">C246/SUM(v_valor)</f>
        <v>0.735768563118522</v>
      </c>
      <c r="E246" s="50" t="n">
        <f aca="false">A246/1000</f>
        <v>0.245</v>
      </c>
    </row>
    <row r="247" customFormat="false" ht="15" hidden="false" customHeight="false" outlineLevel="0" collapsed="false">
      <c r="A247" s="48" t="n">
        <v>246</v>
      </c>
      <c r="B247" s="46" t="n">
        <f aca="false">LARGE(v_valor,A247)</f>
        <v>134.45</v>
      </c>
      <c r="C247" s="46" t="n">
        <f aca="false">C246+B247</f>
        <v>80586.6000000001</v>
      </c>
      <c r="D247" s="50" t="n">
        <f aca="false">C247/SUM(v_valor)</f>
        <v>0.736998164606006</v>
      </c>
      <c r="E247" s="50" t="n">
        <f aca="false">A247/1000</f>
        <v>0.246</v>
      </c>
    </row>
    <row r="248" customFormat="false" ht="15" hidden="false" customHeight="false" outlineLevel="0" collapsed="false">
      <c r="A248" s="48" t="n">
        <v>247</v>
      </c>
      <c r="B248" s="46" t="n">
        <f aca="false">LARGE(v_valor,A248)</f>
        <v>134.26</v>
      </c>
      <c r="C248" s="46" t="n">
        <f aca="false">C247+B248</f>
        <v>80720.86</v>
      </c>
      <c r="D248" s="50" t="n">
        <f aca="false">C248/SUM(v_valor)</f>
        <v>0.738226028464017</v>
      </c>
      <c r="E248" s="50" t="n">
        <f aca="false">A248/1000</f>
        <v>0.247</v>
      </c>
    </row>
    <row r="249" customFormat="false" ht="15" hidden="false" customHeight="false" outlineLevel="0" collapsed="false">
      <c r="A249" s="48" t="n">
        <v>248</v>
      </c>
      <c r="B249" s="46" t="n">
        <f aca="false">LARGE(v_valor,A249)</f>
        <v>134.08</v>
      </c>
      <c r="C249" s="46" t="n">
        <f aca="false">C248+B249</f>
        <v>80854.9400000001</v>
      </c>
      <c r="D249" s="50" t="n">
        <f aca="false">C249/SUM(v_valor)</f>
        <v>0.739452246146739</v>
      </c>
      <c r="E249" s="50" t="n">
        <f aca="false">A249/1000</f>
        <v>0.248</v>
      </c>
    </row>
    <row r="250" customFormat="false" ht="15" hidden="false" customHeight="false" outlineLevel="0" collapsed="false">
      <c r="A250" s="48" t="n">
        <v>249</v>
      </c>
      <c r="B250" s="46" t="n">
        <f aca="false">LARGE(v_valor,A250)</f>
        <v>132.66</v>
      </c>
      <c r="C250" s="46" t="n">
        <f aca="false">C249+B250</f>
        <v>80987.6000000001</v>
      </c>
      <c r="D250" s="50" t="n">
        <f aca="false">C250/SUM(v_valor)</f>
        <v>0.740665477335505</v>
      </c>
      <c r="E250" s="50" t="n">
        <f aca="false">A250/1000</f>
        <v>0.249</v>
      </c>
    </row>
    <row r="251" customFormat="false" ht="15" hidden="false" customHeight="false" outlineLevel="0" collapsed="false">
      <c r="A251" s="48" t="n">
        <v>250</v>
      </c>
      <c r="B251" s="46" t="n">
        <f aca="false">LARGE(v_valor,A251)</f>
        <v>132.52</v>
      </c>
      <c r="C251" s="46" t="n">
        <f aca="false">C250+B251</f>
        <v>81120.1200000001</v>
      </c>
      <c r="D251" s="50" t="n">
        <f aca="false">C251/SUM(v_valor)</f>
        <v>0.741877428165712</v>
      </c>
      <c r="E251" s="50" t="n">
        <f aca="false">A251/1000</f>
        <v>0.25</v>
      </c>
    </row>
    <row r="252" customFormat="false" ht="15" hidden="false" customHeight="false" outlineLevel="0" collapsed="false">
      <c r="A252" s="48" t="n">
        <v>251</v>
      </c>
      <c r="B252" s="46" t="n">
        <f aca="false">LARGE(v_valor,A252)</f>
        <v>132.31</v>
      </c>
      <c r="C252" s="46" t="n">
        <f aca="false">C251+B252</f>
        <v>81252.4300000001</v>
      </c>
      <c r="D252" s="50" t="n">
        <f aca="false">C252/SUM(v_valor)</f>
        <v>0.743087458458081</v>
      </c>
      <c r="E252" s="50" t="n">
        <f aca="false">A252/1000</f>
        <v>0.251</v>
      </c>
    </row>
    <row r="253" customFormat="false" ht="15" hidden="false" customHeight="false" outlineLevel="0" collapsed="false">
      <c r="A253" s="48" t="n">
        <v>252</v>
      </c>
      <c r="B253" s="46" t="n">
        <f aca="false">LARGE(v_valor,A253)</f>
        <v>131.65</v>
      </c>
      <c r="C253" s="46" t="n">
        <f aca="false">C252+B253</f>
        <v>81384.0800000001</v>
      </c>
      <c r="D253" s="50" t="n">
        <f aca="false">C253/SUM(v_valor)</f>
        <v>0.744291452774387</v>
      </c>
      <c r="E253" s="50" t="n">
        <f aca="false">A253/1000</f>
        <v>0.252</v>
      </c>
    </row>
    <row r="254" customFormat="false" ht="15" hidden="false" customHeight="false" outlineLevel="0" collapsed="false">
      <c r="A254" s="48" t="n">
        <v>253</v>
      </c>
      <c r="B254" s="46" t="n">
        <f aca="false">LARGE(v_valor,A254)</f>
        <v>130.76</v>
      </c>
      <c r="C254" s="46" t="n">
        <f aca="false">C253+B254</f>
        <v>81514.84</v>
      </c>
      <c r="D254" s="50" t="n">
        <f aca="false">C254/SUM(v_valor)</f>
        <v>0.745487307668425</v>
      </c>
      <c r="E254" s="50" t="n">
        <f aca="false">A254/1000</f>
        <v>0.253</v>
      </c>
    </row>
    <row r="255" customFormat="false" ht="15" hidden="false" customHeight="false" outlineLevel="0" collapsed="false">
      <c r="A255" s="48" t="n">
        <v>254</v>
      </c>
      <c r="B255" s="46" t="n">
        <f aca="false">LARGE(v_valor,A255)</f>
        <v>130.58</v>
      </c>
      <c r="C255" s="46" t="n">
        <f aca="false">C254+B255</f>
        <v>81645.42</v>
      </c>
      <c r="D255" s="50" t="n">
        <f aca="false">C255/SUM(v_valor)</f>
        <v>0.746681516387172</v>
      </c>
      <c r="E255" s="50" t="n">
        <f aca="false">A255/1000</f>
        <v>0.254</v>
      </c>
    </row>
    <row r="256" customFormat="false" ht="15" hidden="false" customHeight="false" outlineLevel="0" collapsed="false">
      <c r="A256" s="48" t="n">
        <v>255</v>
      </c>
      <c r="B256" s="46" t="n">
        <f aca="false">LARGE(v_valor,A256)</f>
        <v>130.49</v>
      </c>
      <c r="C256" s="46" t="n">
        <f aca="false">C255+B256</f>
        <v>81775.9100000001</v>
      </c>
      <c r="D256" s="50" t="n">
        <f aca="false">C256/SUM(v_valor)</f>
        <v>0.747874902018275</v>
      </c>
      <c r="E256" s="50" t="n">
        <f aca="false">A256/1000</f>
        <v>0.255</v>
      </c>
    </row>
    <row r="257" customFormat="false" ht="15" hidden="false" customHeight="false" outlineLevel="0" collapsed="false">
      <c r="A257" s="48" t="n">
        <v>256</v>
      </c>
      <c r="B257" s="46" t="n">
        <f aca="false">LARGE(v_valor,A257)</f>
        <v>130.09</v>
      </c>
      <c r="C257" s="46" t="n">
        <f aca="false">C256+B257</f>
        <v>81906</v>
      </c>
      <c r="D257" s="50" t="n">
        <f aca="false">C257/SUM(v_valor)</f>
        <v>0.749064629482067</v>
      </c>
      <c r="E257" s="50" t="n">
        <f aca="false">A257/1000</f>
        <v>0.256</v>
      </c>
    </row>
    <row r="258" customFormat="false" ht="15" hidden="false" customHeight="false" outlineLevel="0" collapsed="false">
      <c r="A258" s="48" t="n">
        <v>257</v>
      </c>
      <c r="B258" s="46" t="n">
        <f aca="false">LARGE(v_valor,A258)</f>
        <v>130</v>
      </c>
      <c r="C258" s="46" t="n">
        <f aca="false">C257+B258</f>
        <v>82036</v>
      </c>
      <c r="D258" s="50" t="n">
        <f aca="false">C258/SUM(v_valor)</f>
        <v>0.750253533858214</v>
      </c>
      <c r="E258" s="50" t="n">
        <f aca="false">A258/1000</f>
        <v>0.257</v>
      </c>
    </row>
    <row r="259" customFormat="false" ht="15" hidden="false" customHeight="false" outlineLevel="0" collapsed="false">
      <c r="A259" s="48" t="n">
        <v>258</v>
      </c>
      <c r="B259" s="46" t="n">
        <f aca="false">LARGE(v_valor,A259)</f>
        <v>129.88</v>
      </c>
      <c r="C259" s="46" t="n">
        <f aca="false">C258+B259</f>
        <v>82165.8800000001</v>
      </c>
      <c r="D259" s="50" t="n">
        <f aca="false">C259/SUM(v_valor)</f>
        <v>0.751441340784167</v>
      </c>
      <c r="E259" s="50" t="n">
        <f aca="false">A259/1000</f>
        <v>0.258</v>
      </c>
    </row>
    <row r="260" customFormat="false" ht="15" hidden="false" customHeight="false" outlineLevel="0" collapsed="false">
      <c r="A260" s="48" t="n">
        <v>259</v>
      </c>
      <c r="B260" s="46" t="n">
        <f aca="false">LARGE(v_valor,A260)</f>
        <v>128.33</v>
      </c>
      <c r="C260" s="46" t="n">
        <f aca="false">C259+B260</f>
        <v>82294.2100000001</v>
      </c>
      <c r="D260" s="50" t="n">
        <f aca="false">C260/SUM(v_valor)</f>
        <v>0.752614972311789</v>
      </c>
      <c r="E260" s="50" t="n">
        <f aca="false">A260/1000</f>
        <v>0.259</v>
      </c>
    </row>
    <row r="261" customFormat="false" ht="15" hidden="false" customHeight="false" outlineLevel="0" collapsed="false">
      <c r="A261" s="48" t="n">
        <v>260</v>
      </c>
      <c r="B261" s="46" t="n">
        <f aca="false">LARGE(v_valor,A261)</f>
        <v>127.11</v>
      </c>
      <c r="C261" s="46" t="n">
        <f aca="false">C260+B261</f>
        <v>82421.3200000001</v>
      </c>
      <c r="D261" s="50" t="n">
        <f aca="false">C261/SUM(v_valor)</f>
        <v>0.753777446429113</v>
      </c>
      <c r="E261" s="50" t="n">
        <f aca="false">A261/1000</f>
        <v>0.26</v>
      </c>
    </row>
    <row r="262" customFormat="false" ht="15" hidden="false" customHeight="false" outlineLevel="0" collapsed="false">
      <c r="A262" s="48" t="n">
        <v>261</v>
      </c>
      <c r="B262" s="46" t="n">
        <f aca="false">LARGE(v_valor,A262)</f>
        <v>127.02</v>
      </c>
      <c r="C262" s="46" t="n">
        <f aca="false">C261+B262</f>
        <v>82548.3400000001</v>
      </c>
      <c r="D262" s="50" t="n">
        <f aca="false">C262/SUM(v_valor)</f>
        <v>0.754939097458791</v>
      </c>
      <c r="E262" s="50" t="n">
        <f aca="false">A262/1000</f>
        <v>0.261</v>
      </c>
    </row>
    <row r="263" customFormat="false" ht="15" hidden="false" customHeight="false" outlineLevel="0" collapsed="false">
      <c r="A263" s="48" t="n">
        <v>262</v>
      </c>
      <c r="B263" s="46" t="n">
        <f aca="false">LARGE(v_valor,A263)</f>
        <v>126.46</v>
      </c>
      <c r="C263" s="46" t="n">
        <f aca="false">C262+B263</f>
        <v>82674.8000000001</v>
      </c>
      <c r="D263" s="50" t="n">
        <f aca="false">C263/SUM(v_valor)</f>
        <v>0.756095627054233</v>
      </c>
      <c r="E263" s="50" t="n">
        <f aca="false">A263/1000</f>
        <v>0.262</v>
      </c>
    </row>
    <row r="264" customFormat="false" ht="15" hidden="false" customHeight="false" outlineLevel="0" collapsed="false">
      <c r="A264" s="48" t="n">
        <v>263</v>
      </c>
      <c r="B264" s="46" t="n">
        <f aca="false">LARGE(v_valor,A264)</f>
        <v>125.97</v>
      </c>
      <c r="C264" s="46" t="n">
        <f aca="false">C263+B264</f>
        <v>82800.7700000001</v>
      </c>
      <c r="D264" s="50" t="n">
        <f aca="false">C264/SUM(v_valor)</f>
        <v>0.757247675394719</v>
      </c>
      <c r="E264" s="50" t="n">
        <f aca="false">A264/1000</f>
        <v>0.263</v>
      </c>
    </row>
    <row r="265" customFormat="false" ht="15" hidden="false" customHeight="false" outlineLevel="0" collapsed="false">
      <c r="A265" s="48" t="n">
        <v>264</v>
      </c>
      <c r="B265" s="46" t="n">
        <f aca="false">LARGE(v_valor,A265)</f>
        <v>124.82</v>
      </c>
      <c r="C265" s="46" t="n">
        <f aca="false">C264+B265</f>
        <v>82925.5900000001</v>
      </c>
      <c r="D265" s="50" t="n">
        <f aca="false">C265/SUM(v_valor)</f>
        <v>0.758389206504186</v>
      </c>
      <c r="E265" s="50" t="n">
        <f aca="false">A265/1000</f>
        <v>0.264</v>
      </c>
    </row>
    <row r="266" customFormat="false" ht="15" hidden="false" customHeight="false" outlineLevel="0" collapsed="false">
      <c r="A266" s="48" t="n">
        <v>265</v>
      </c>
      <c r="B266" s="46" t="n">
        <f aca="false">LARGE(v_valor,A266)</f>
        <v>124.78</v>
      </c>
      <c r="C266" s="46" t="n">
        <f aca="false">C265+B266</f>
        <v>83050.3700000001</v>
      </c>
      <c r="D266" s="50" t="n">
        <f aca="false">C266/SUM(v_valor)</f>
        <v>0.759530371796921</v>
      </c>
      <c r="E266" s="50" t="n">
        <f aca="false">A266/1000</f>
        <v>0.265</v>
      </c>
    </row>
    <row r="267" customFormat="false" ht="15" hidden="false" customHeight="false" outlineLevel="0" collapsed="false">
      <c r="A267" s="48" t="n">
        <v>266</v>
      </c>
      <c r="B267" s="46" t="n">
        <f aca="false">LARGE(v_valor,A267)</f>
        <v>124.23</v>
      </c>
      <c r="C267" s="46" t="n">
        <f aca="false">C266+B267</f>
        <v>83174.6000000001</v>
      </c>
      <c r="D267" s="50" t="n">
        <f aca="false">C267/SUM(v_valor)</f>
        <v>0.760666507109603</v>
      </c>
      <c r="E267" s="50" t="n">
        <f aca="false">A267/1000</f>
        <v>0.266</v>
      </c>
    </row>
    <row r="268" customFormat="false" ht="15" hidden="false" customHeight="false" outlineLevel="0" collapsed="false">
      <c r="A268" s="48" t="n">
        <v>267</v>
      </c>
      <c r="B268" s="46" t="n">
        <f aca="false">LARGE(v_valor,A268)</f>
        <v>123.56</v>
      </c>
      <c r="C268" s="46" t="n">
        <f aca="false">C267+B268</f>
        <v>83298.1600000001</v>
      </c>
      <c r="D268" s="50" t="n">
        <f aca="false">C268/SUM(v_valor)</f>
        <v>0.761796514992039</v>
      </c>
      <c r="E268" s="50" t="n">
        <f aca="false">A268/1000</f>
        <v>0.267</v>
      </c>
    </row>
    <row r="269" customFormat="false" ht="15" hidden="false" customHeight="false" outlineLevel="0" collapsed="false">
      <c r="A269" s="48" t="n">
        <v>268</v>
      </c>
      <c r="B269" s="46" t="n">
        <f aca="false">LARGE(v_valor,A269)</f>
        <v>122.76</v>
      </c>
      <c r="C269" s="46" t="n">
        <f aca="false">C268+B269</f>
        <v>83420.9200000001</v>
      </c>
      <c r="D269" s="50" t="n">
        <f aca="false">C269/SUM(v_valor)</f>
        <v>0.762919206539853</v>
      </c>
      <c r="E269" s="50" t="n">
        <f aca="false">A269/1000</f>
        <v>0.268</v>
      </c>
    </row>
    <row r="270" customFormat="false" ht="15" hidden="false" customHeight="false" outlineLevel="0" collapsed="false">
      <c r="A270" s="48" t="n">
        <v>269</v>
      </c>
      <c r="B270" s="46" t="n">
        <f aca="false">LARGE(v_valor,A270)</f>
        <v>122.5</v>
      </c>
      <c r="C270" s="46" t="n">
        <f aca="false">C269+B270</f>
        <v>83543.4200000001</v>
      </c>
      <c r="D270" s="50" t="n">
        <f aca="false">C270/SUM(v_valor)</f>
        <v>0.764039520278914</v>
      </c>
      <c r="E270" s="50" t="n">
        <f aca="false">A270/1000</f>
        <v>0.269</v>
      </c>
    </row>
    <row r="271" customFormat="false" ht="15" hidden="false" customHeight="false" outlineLevel="0" collapsed="false">
      <c r="A271" s="48" t="n">
        <v>270</v>
      </c>
      <c r="B271" s="46" t="n">
        <f aca="false">LARGE(v_valor,A271)</f>
        <v>122.49</v>
      </c>
      <c r="C271" s="46" t="n">
        <f aca="false">C270+B271</f>
        <v>83665.9100000001</v>
      </c>
      <c r="D271" s="50" t="n">
        <f aca="false">C271/SUM(v_valor)</f>
        <v>0.765159742563792</v>
      </c>
      <c r="E271" s="50" t="n">
        <f aca="false">A271/1000</f>
        <v>0.27</v>
      </c>
    </row>
    <row r="272" customFormat="false" ht="15" hidden="false" customHeight="false" outlineLevel="0" collapsed="false">
      <c r="A272" s="48" t="n">
        <v>271</v>
      </c>
      <c r="B272" s="46" t="n">
        <f aca="false">LARGE(v_valor,A272)</f>
        <v>122.48</v>
      </c>
      <c r="C272" s="46" t="n">
        <f aca="false">C271+B272</f>
        <v>83788.3900000001</v>
      </c>
      <c r="D272" s="50" t="n">
        <f aca="false">C272/SUM(v_valor)</f>
        <v>0.766279873394488</v>
      </c>
      <c r="E272" s="50" t="n">
        <f aca="false">A272/1000</f>
        <v>0.271</v>
      </c>
    </row>
    <row r="273" customFormat="false" ht="15" hidden="false" customHeight="false" outlineLevel="0" collapsed="false">
      <c r="A273" s="48" t="n">
        <v>272</v>
      </c>
      <c r="B273" s="46" t="n">
        <f aca="false">LARGE(v_valor,A273)</f>
        <v>121.02</v>
      </c>
      <c r="C273" s="46" t="n">
        <f aca="false">C272+B273</f>
        <v>83909.4100000001</v>
      </c>
      <c r="D273" s="50" t="n">
        <f aca="false">C273/SUM(v_valor)</f>
        <v>0.767386651914498</v>
      </c>
      <c r="E273" s="50" t="n">
        <f aca="false">A273/1000</f>
        <v>0.272</v>
      </c>
    </row>
    <row r="274" customFormat="false" ht="15" hidden="false" customHeight="false" outlineLevel="0" collapsed="false">
      <c r="A274" s="48" t="n">
        <v>273</v>
      </c>
      <c r="B274" s="46" t="n">
        <f aca="false">LARGE(v_valor,A274)</f>
        <v>120.74</v>
      </c>
      <c r="C274" s="46" t="n">
        <f aca="false">C273+B274</f>
        <v>84030.1500000001</v>
      </c>
      <c r="D274" s="50" t="n">
        <f aca="false">C274/SUM(v_valor)</f>
        <v>0.76849086971739</v>
      </c>
      <c r="E274" s="50" t="n">
        <f aca="false">A274/1000</f>
        <v>0.273</v>
      </c>
    </row>
    <row r="275" customFormat="false" ht="15" hidden="false" customHeight="false" outlineLevel="0" collapsed="false">
      <c r="A275" s="48" t="n">
        <v>274</v>
      </c>
      <c r="B275" s="46" t="n">
        <f aca="false">LARGE(v_valor,A275)</f>
        <v>119.77</v>
      </c>
      <c r="C275" s="46" t="n">
        <f aca="false">C274+B275</f>
        <v>84149.9200000001</v>
      </c>
      <c r="D275" s="50" t="n">
        <f aca="false">C275/SUM(v_valor)</f>
        <v>0.769586216464552</v>
      </c>
      <c r="E275" s="50" t="n">
        <f aca="false">A275/1000</f>
        <v>0.274</v>
      </c>
    </row>
    <row r="276" customFormat="false" ht="15" hidden="false" customHeight="false" outlineLevel="0" collapsed="false">
      <c r="A276" s="48" t="n">
        <v>275</v>
      </c>
      <c r="B276" s="46" t="n">
        <f aca="false">LARGE(v_valor,A276)</f>
        <v>119.74</v>
      </c>
      <c r="C276" s="46" t="n">
        <f aca="false">C275+B276</f>
        <v>84269.6600000001</v>
      </c>
      <c r="D276" s="50" t="n">
        <f aca="false">C276/SUM(v_valor)</f>
        <v>0.770681288849166</v>
      </c>
      <c r="E276" s="50" t="n">
        <f aca="false">A276/1000</f>
        <v>0.275</v>
      </c>
    </row>
    <row r="277" customFormat="false" ht="15" hidden="false" customHeight="false" outlineLevel="0" collapsed="false">
      <c r="A277" s="48" t="n">
        <v>276</v>
      </c>
      <c r="B277" s="46" t="n">
        <f aca="false">LARGE(v_valor,A277)</f>
        <v>119.67</v>
      </c>
      <c r="C277" s="46" t="n">
        <f aca="false">C276+B277</f>
        <v>84389.3300000001</v>
      </c>
      <c r="D277" s="50" t="n">
        <f aca="false">C277/SUM(v_valor)</f>
        <v>0.7717757210545</v>
      </c>
      <c r="E277" s="50" t="n">
        <f aca="false">A277/1000</f>
        <v>0.276</v>
      </c>
    </row>
    <row r="278" customFormat="false" ht="15" hidden="false" customHeight="false" outlineLevel="0" collapsed="false">
      <c r="A278" s="48" t="n">
        <v>277</v>
      </c>
      <c r="B278" s="46" t="n">
        <f aca="false">LARGE(v_valor,A278)</f>
        <v>118.91</v>
      </c>
      <c r="C278" s="46" t="n">
        <f aca="false">C277+B278</f>
        <v>84508.2400000001</v>
      </c>
      <c r="D278" s="50" t="n">
        <f aca="false">C278/SUM(v_valor)</f>
        <v>0.772863202741943</v>
      </c>
      <c r="E278" s="50" t="n">
        <f aca="false">A278/1000</f>
        <v>0.277</v>
      </c>
    </row>
    <row r="279" customFormat="false" ht="15" hidden="false" customHeight="false" outlineLevel="0" collapsed="false">
      <c r="A279" s="48" t="n">
        <v>278</v>
      </c>
      <c r="B279" s="46" t="n">
        <f aca="false">LARGE(v_valor,A279)</f>
        <v>117.68</v>
      </c>
      <c r="C279" s="46" t="n">
        <f aca="false">C278+B279</f>
        <v>84625.9200000001</v>
      </c>
      <c r="D279" s="50" t="n">
        <f aca="false">C279/SUM(v_valor)</f>
        <v>0.773939435564905</v>
      </c>
      <c r="E279" s="50" t="n">
        <f aca="false">A279/1000</f>
        <v>0.278</v>
      </c>
    </row>
    <row r="280" customFormat="false" ht="15" hidden="false" customHeight="false" outlineLevel="0" collapsed="false">
      <c r="A280" s="48" t="n">
        <v>279</v>
      </c>
      <c r="B280" s="46" t="n">
        <f aca="false">LARGE(v_valor,A280)</f>
        <v>117.51</v>
      </c>
      <c r="C280" s="46" t="n">
        <f aca="false">C279+B280</f>
        <v>84743.4300000001</v>
      </c>
      <c r="D280" s="50" t="n">
        <f aca="false">C280/SUM(v_valor)</f>
        <v>0.775014113666758</v>
      </c>
      <c r="E280" s="50" t="n">
        <f aca="false">A280/1000</f>
        <v>0.279</v>
      </c>
    </row>
    <row r="281" customFormat="false" ht="15" hidden="false" customHeight="false" outlineLevel="0" collapsed="false">
      <c r="A281" s="48" t="n">
        <v>280</v>
      </c>
      <c r="B281" s="46" t="n">
        <f aca="false">LARGE(v_valor,A281)</f>
        <v>117.35</v>
      </c>
      <c r="C281" s="46" t="n">
        <f aca="false">C280+B281</f>
        <v>84860.7800000001</v>
      </c>
      <c r="D281" s="50" t="n">
        <f aca="false">C281/SUM(v_valor)</f>
        <v>0.776087328501688</v>
      </c>
      <c r="E281" s="50" t="n">
        <f aca="false">A281/1000</f>
        <v>0.28</v>
      </c>
    </row>
    <row r="282" customFormat="false" ht="15" hidden="false" customHeight="false" outlineLevel="0" collapsed="false">
      <c r="A282" s="48" t="n">
        <v>281</v>
      </c>
      <c r="B282" s="46" t="n">
        <f aca="false">LARGE(v_valor,A282)</f>
        <v>116.9</v>
      </c>
      <c r="C282" s="46" t="n">
        <f aca="false">C281+B282</f>
        <v>84977.6800000001</v>
      </c>
      <c r="D282" s="50" t="n">
        <f aca="false">C282/SUM(v_valor)</f>
        <v>0.777156427898392</v>
      </c>
      <c r="E282" s="50" t="n">
        <f aca="false">A282/1000</f>
        <v>0.281</v>
      </c>
    </row>
    <row r="283" customFormat="false" ht="15" hidden="false" customHeight="false" outlineLevel="0" collapsed="false">
      <c r="A283" s="48" t="n">
        <v>282</v>
      </c>
      <c r="B283" s="46" t="n">
        <f aca="false">LARGE(v_valor,A283)</f>
        <v>116.32</v>
      </c>
      <c r="C283" s="46" t="n">
        <f aca="false">C282+B283</f>
        <v>85094.0000000001</v>
      </c>
      <c r="D283" s="50" t="n">
        <f aca="false">C283/SUM(v_valor)</f>
        <v>0.778220222952495</v>
      </c>
      <c r="E283" s="50" t="n">
        <f aca="false">A283/1000</f>
        <v>0.282</v>
      </c>
    </row>
    <row r="284" customFormat="false" ht="15" hidden="false" customHeight="false" outlineLevel="0" collapsed="false">
      <c r="A284" s="48" t="n">
        <v>283</v>
      </c>
      <c r="B284" s="46" t="n">
        <f aca="false">LARGE(v_valor,A284)</f>
        <v>116.28</v>
      </c>
      <c r="C284" s="46" t="n">
        <f aca="false">C283+B284</f>
        <v>85210.2800000001</v>
      </c>
      <c r="D284" s="50" t="n">
        <f aca="false">C284/SUM(v_valor)</f>
        <v>0.779283652189867</v>
      </c>
      <c r="E284" s="50" t="n">
        <f aca="false">A284/1000</f>
        <v>0.283</v>
      </c>
    </row>
    <row r="285" customFormat="false" ht="15" hidden="false" customHeight="false" outlineLevel="0" collapsed="false">
      <c r="A285" s="48" t="n">
        <v>284</v>
      </c>
      <c r="B285" s="46" t="n">
        <f aca="false">LARGE(v_valor,A285)</f>
        <v>115.08</v>
      </c>
      <c r="C285" s="46" t="n">
        <f aca="false">C284+B285</f>
        <v>85325.3600000001</v>
      </c>
      <c r="D285" s="50" t="n">
        <f aca="false">C285/SUM(v_valor)</f>
        <v>0.780336106925305</v>
      </c>
      <c r="E285" s="50" t="n">
        <f aca="false">A285/1000</f>
        <v>0.284</v>
      </c>
    </row>
    <row r="286" customFormat="false" ht="15" hidden="false" customHeight="false" outlineLevel="0" collapsed="false">
      <c r="A286" s="48" t="n">
        <v>285</v>
      </c>
      <c r="B286" s="46" t="n">
        <f aca="false">LARGE(v_valor,A286)</f>
        <v>115.05</v>
      </c>
      <c r="C286" s="46" t="n">
        <f aca="false">C285+B286</f>
        <v>85440.4100000001</v>
      </c>
      <c r="D286" s="50" t="n">
        <f aca="false">C286/SUM(v_valor)</f>
        <v>0.781388287298195</v>
      </c>
      <c r="E286" s="50" t="n">
        <f aca="false">A286/1000</f>
        <v>0.285</v>
      </c>
    </row>
    <row r="287" customFormat="false" ht="15" hidden="false" customHeight="false" outlineLevel="0" collapsed="false">
      <c r="A287" s="48" t="n">
        <v>286</v>
      </c>
      <c r="B287" s="46" t="n">
        <f aca="false">LARGE(v_valor,A287)</f>
        <v>114.45</v>
      </c>
      <c r="C287" s="46" t="n">
        <f aca="false">C286+B287</f>
        <v>85554.8600000001</v>
      </c>
      <c r="D287" s="50" t="n">
        <f aca="false">C287/SUM(v_valor)</f>
        <v>0.782434980420117</v>
      </c>
      <c r="E287" s="50" t="n">
        <f aca="false">A287/1000</f>
        <v>0.286</v>
      </c>
    </row>
    <row r="288" customFormat="false" ht="15" hidden="false" customHeight="false" outlineLevel="0" collapsed="false">
      <c r="A288" s="48" t="n">
        <v>287</v>
      </c>
      <c r="B288" s="46" t="n">
        <f aca="false">LARGE(v_valor,A288)</f>
        <v>113.93</v>
      </c>
      <c r="C288" s="46" t="n">
        <f aca="false">C287+B288</f>
        <v>85668.7900000001</v>
      </c>
      <c r="D288" s="50" t="n">
        <f aca="false">C288/SUM(v_valor)</f>
        <v>0.783476917924536</v>
      </c>
      <c r="E288" s="50" t="n">
        <f aca="false">A288/1000</f>
        <v>0.287</v>
      </c>
    </row>
    <row r="289" customFormat="false" ht="15" hidden="false" customHeight="false" outlineLevel="0" collapsed="false">
      <c r="A289" s="48" t="n">
        <v>288</v>
      </c>
      <c r="B289" s="46" t="n">
        <f aca="false">LARGE(v_valor,A289)</f>
        <v>113.9</v>
      </c>
      <c r="C289" s="46" t="n">
        <f aca="false">C288+B289</f>
        <v>85782.6900000001</v>
      </c>
      <c r="D289" s="50" t="n">
        <f aca="false">C289/SUM(v_valor)</f>
        <v>0.784518581066406</v>
      </c>
      <c r="E289" s="50" t="n">
        <f aca="false">A289/1000</f>
        <v>0.288</v>
      </c>
    </row>
    <row r="290" customFormat="false" ht="15" hidden="false" customHeight="false" outlineLevel="0" collapsed="false">
      <c r="A290" s="48" t="n">
        <v>289</v>
      </c>
      <c r="B290" s="46" t="n">
        <f aca="false">LARGE(v_valor,A290)</f>
        <v>113.84</v>
      </c>
      <c r="C290" s="46" t="n">
        <f aca="false">C289+B290</f>
        <v>85896.5300000001</v>
      </c>
      <c r="D290" s="50" t="n">
        <f aca="false">C290/SUM(v_valor)</f>
        <v>0.785559695483179</v>
      </c>
      <c r="E290" s="50" t="n">
        <f aca="false">A290/1000</f>
        <v>0.289</v>
      </c>
    </row>
    <row r="291" customFormat="false" ht="15" hidden="false" customHeight="false" outlineLevel="0" collapsed="false">
      <c r="A291" s="48" t="n">
        <v>290</v>
      </c>
      <c r="B291" s="46" t="n">
        <f aca="false">LARGE(v_valor,A291)</f>
        <v>113.28</v>
      </c>
      <c r="C291" s="46" t="n">
        <f aca="false">C290+B291</f>
        <v>86009.8100000001</v>
      </c>
      <c r="D291" s="50" t="n">
        <f aca="false">C291/SUM(v_valor)</f>
        <v>0.786595688465717</v>
      </c>
      <c r="E291" s="50" t="n">
        <f aca="false">A291/1000</f>
        <v>0.29</v>
      </c>
    </row>
    <row r="292" customFormat="false" ht="15" hidden="false" customHeight="false" outlineLevel="0" collapsed="false">
      <c r="A292" s="48" t="n">
        <v>291</v>
      </c>
      <c r="B292" s="46" t="n">
        <f aca="false">LARGE(v_valor,A292)</f>
        <v>113.25</v>
      </c>
      <c r="C292" s="46" t="n">
        <f aca="false">C291+B292</f>
        <v>86123.0600000001</v>
      </c>
      <c r="D292" s="50" t="n">
        <f aca="false">C292/SUM(v_valor)</f>
        <v>0.787631407085706</v>
      </c>
      <c r="E292" s="50" t="n">
        <f aca="false">A292/1000</f>
        <v>0.291</v>
      </c>
    </row>
    <row r="293" customFormat="false" ht="15" hidden="false" customHeight="false" outlineLevel="0" collapsed="false">
      <c r="A293" s="48" t="n">
        <v>292</v>
      </c>
      <c r="B293" s="46" t="n">
        <f aca="false">LARGE(v_valor,A293)</f>
        <v>112.56</v>
      </c>
      <c r="C293" s="46" t="n">
        <f aca="false">C292+B293</f>
        <v>86235.6200000001</v>
      </c>
      <c r="D293" s="50" t="n">
        <f aca="false">C293/SUM(v_valor)</f>
        <v>0.788660815367083</v>
      </c>
      <c r="E293" s="50" t="n">
        <f aca="false">A293/1000</f>
        <v>0.292</v>
      </c>
    </row>
    <row r="294" customFormat="false" ht="15" hidden="false" customHeight="false" outlineLevel="0" collapsed="false">
      <c r="A294" s="48" t="n">
        <v>293</v>
      </c>
      <c r="B294" s="46" t="n">
        <f aca="false">LARGE(v_valor,A294)</f>
        <v>111.81</v>
      </c>
      <c r="C294" s="46" t="n">
        <f aca="false">C293+B294</f>
        <v>86347.4300000001</v>
      </c>
      <c r="D294" s="50" t="n">
        <f aca="false">C294/SUM(v_valor)</f>
        <v>0.789683364584752</v>
      </c>
      <c r="E294" s="50" t="n">
        <f aca="false">A294/1000</f>
        <v>0.293</v>
      </c>
    </row>
    <row r="295" customFormat="false" ht="15" hidden="false" customHeight="false" outlineLevel="0" collapsed="false">
      <c r="A295" s="48" t="n">
        <v>294</v>
      </c>
      <c r="B295" s="46" t="n">
        <f aca="false">LARGE(v_valor,A295)</f>
        <v>111.56</v>
      </c>
      <c r="C295" s="46" t="n">
        <f aca="false">C294+B295</f>
        <v>86458.9900000001</v>
      </c>
      <c r="D295" s="50" t="n">
        <f aca="false">C295/SUM(v_valor)</f>
        <v>0.790703627447852</v>
      </c>
      <c r="E295" s="50" t="n">
        <f aca="false">A295/1000</f>
        <v>0.294</v>
      </c>
    </row>
    <row r="296" customFormat="false" ht="15" hidden="false" customHeight="false" outlineLevel="0" collapsed="false">
      <c r="A296" s="48" t="n">
        <v>295</v>
      </c>
      <c r="B296" s="46" t="n">
        <f aca="false">LARGE(v_valor,A296)</f>
        <v>110.69</v>
      </c>
      <c r="C296" s="46" t="n">
        <f aca="false">C295+B296</f>
        <v>86569.6800000001</v>
      </c>
      <c r="D296" s="50" t="n">
        <f aca="false">C296/SUM(v_valor)</f>
        <v>0.791715933797049</v>
      </c>
      <c r="E296" s="50" t="n">
        <f aca="false">A296/1000</f>
        <v>0.295</v>
      </c>
    </row>
    <row r="297" customFormat="false" ht="15" hidden="false" customHeight="false" outlineLevel="0" collapsed="false">
      <c r="A297" s="48" t="n">
        <v>296</v>
      </c>
      <c r="B297" s="46" t="n">
        <f aca="false">LARGE(v_valor,A297)</f>
        <v>110.65</v>
      </c>
      <c r="C297" s="46" t="n">
        <f aca="false">C296+B297</f>
        <v>86680.3300000001</v>
      </c>
      <c r="D297" s="50" t="n">
        <f aca="false">C297/SUM(v_valor)</f>
        <v>0.792727874329516</v>
      </c>
      <c r="E297" s="50" t="n">
        <f aca="false">A297/1000</f>
        <v>0.296</v>
      </c>
    </row>
    <row r="298" customFormat="false" ht="15" hidden="false" customHeight="false" outlineLevel="0" collapsed="false">
      <c r="A298" s="48" t="n">
        <v>297</v>
      </c>
      <c r="B298" s="46" t="n">
        <f aca="false">LARGE(v_valor,A298)</f>
        <v>110.59</v>
      </c>
      <c r="C298" s="46" t="n">
        <f aca="false">C297+B298</f>
        <v>86790.92</v>
      </c>
      <c r="D298" s="50" t="n">
        <f aca="false">C298/SUM(v_valor)</f>
        <v>0.793739266136885</v>
      </c>
      <c r="E298" s="50" t="n">
        <f aca="false">A298/1000</f>
        <v>0.297</v>
      </c>
    </row>
    <row r="299" customFormat="false" ht="15" hidden="false" customHeight="false" outlineLevel="0" collapsed="false">
      <c r="A299" s="48" t="n">
        <v>298</v>
      </c>
      <c r="B299" s="46" t="n">
        <f aca="false">LARGE(v_valor,A299)</f>
        <v>109.33</v>
      </c>
      <c r="C299" s="46" t="n">
        <f aca="false">C298+B299</f>
        <v>86900.25</v>
      </c>
      <c r="D299" s="50" t="n">
        <f aca="false">C299/SUM(v_valor)</f>
        <v>0.794739134717225</v>
      </c>
      <c r="E299" s="50" t="n">
        <f aca="false">A299/1000</f>
        <v>0.298</v>
      </c>
    </row>
    <row r="300" customFormat="false" ht="15" hidden="false" customHeight="false" outlineLevel="0" collapsed="false">
      <c r="A300" s="48" t="n">
        <v>299</v>
      </c>
      <c r="B300" s="46" t="n">
        <f aca="false">LARGE(v_valor,A300)</f>
        <v>107.68</v>
      </c>
      <c r="C300" s="46" t="n">
        <f aca="false">C299+B300</f>
        <v>87007.93</v>
      </c>
      <c r="D300" s="50" t="n">
        <f aca="false">C300/SUM(v_valor)</f>
        <v>0.795723913357405</v>
      </c>
      <c r="E300" s="50" t="n">
        <f aca="false">A300/1000</f>
        <v>0.299</v>
      </c>
    </row>
    <row r="301" customFormat="false" ht="15" hidden="false" customHeight="false" outlineLevel="0" collapsed="false">
      <c r="A301" s="48" t="n">
        <v>300</v>
      </c>
      <c r="B301" s="46" t="n">
        <f aca="false">LARGE(v_valor,A301)</f>
        <v>107.49</v>
      </c>
      <c r="C301" s="46" t="n">
        <f aca="false">C300+B301</f>
        <v>87115.42</v>
      </c>
      <c r="D301" s="50" t="n">
        <f aca="false">C301/SUM(v_valor)</f>
        <v>0.796706954368113</v>
      </c>
      <c r="E301" s="50" t="n">
        <f aca="false">A301/1000</f>
        <v>0.3</v>
      </c>
    </row>
    <row r="302" customFormat="false" ht="15" hidden="false" customHeight="false" outlineLevel="0" collapsed="false">
      <c r="A302" s="48" t="n">
        <v>301</v>
      </c>
      <c r="B302" s="46" t="n">
        <f aca="false">LARGE(v_valor,A302)</f>
        <v>107.04</v>
      </c>
      <c r="C302" s="46" t="n">
        <f aca="false">C301+B302</f>
        <v>87222.46</v>
      </c>
      <c r="D302" s="50" t="n">
        <f aca="false">C302/SUM(v_valor)</f>
        <v>0.797685879940595</v>
      </c>
      <c r="E302" s="50" t="n">
        <f aca="false">A302/1000</f>
        <v>0.301</v>
      </c>
    </row>
    <row r="303" customFormat="false" ht="15" hidden="false" customHeight="false" outlineLevel="0" collapsed="false">
      <c r="A303" s="48" t="n">
        <v>302</v>
      </c>
      <c r="B303" s="46" t="n">
        <f aca="false">LARGE(v_valor,A303)</f>
        <v>106.75</v>
      </c>
      <c r="C303" s="46" t="n">
        <f aca="false">C302+B303</f>
        <v>87329.21</v>
      </c>
      <c r="D303" s="50" t="n">
        <f aca="false">C303/SUM(v_valor)</f>
        <v>0.798662153341777</v>
      </c>
      <c r="E303" s="50" t="n">
        <f aca="false">A303/1000</f>
        <v>0.302</v>
      </c>
    </row>
    <row r="304" customFormat="false" ht="15" hidden="false" customHeight="false" outlineLevel="0" collapsed="false">
      <c r="A304" s="48" t="n">
        <v>303</v>
      </c>
      <c r="B304" s="46" t="n">
        <f aca="false">LARGE(v_valor,A304)</f>
        <v>105.85</v>
      </c>
      <c r="C304" s="46" t="n">
        <f aca="false">C303+B304</f>
        <v>87435.06</v>
      </c>
      <c r="D304" s="50" t="n">
        <f aca="false">C304/SUM(v_valor)</f>
        <v>0.799630195866509</v>
      </c>
      <c r="E304" s="50" t="n">
        <f aca="false">A304/1000</f>
        <v>0.303</v>
      </c>
    </row>
    <row r="305" customFormat="false" ht="15" hidden="false" customHeight="false" outlineLevel="0" collapsed="false">
      <c r="A305" s="48" t="n">
        <v>304</v>
      </c>
      <c r="B305" s="46" t="n">
        <f aca="false">LARGE(v_valor,A305)</f>
        <v>105.47</v>
      </c>
      <c r="C305" s="46" t="n">
        <f aca="false">C304+B305</f>
        <v>87540.53</v>
      </c>
      <c r="D305" s="50" t="n">
        <f aca="false">C305/SUM(v_valor)</f>
        <v>0.800594763132295</v>
      </c>
      <c r="E305" s="50" t="n">
        <f aca="false">A305/1000</f>
        <v>0.304</v>
      </c>
    </row>
    <row r="306" customFormat="false" ht="15" hidden="false" customHeight="false" outlineLevel="0" collapsed="false">
      <c r="A306" s="48" t="n">
        <v>305</v>
      </c>
      <c r="B306" s="46" t="n">
        <f aca="false">LARGE(v_valor,A306)</f>
        <v>105.44</v>
      </c>
      <c r="C306" s="46" t="n">
        <f aca="false">C305+B306</f>
        <v>87645.97</v>
      </c>
      <c r="D306" s="50" t="n">
        <f aca="false">C306/SUM(v_valor)</f>
        <v>0.801559056035533</v>
      </c>
      <c r="E306" s="50" t="n">
        <f aca="false">A306/1000</f>
        <v>0.305</v>
      </c>
    </row>
    <row r="307" customFormat="false" ht="15" hidden="false" customHeight="false" outlineLevel="0" collapsed="false">
      <c r="A307" s="48" t="n">
        <v>306</v>
      </c>
      <c r="B307" s="46" t="n">
        <f aca="false">LARGE(v_valor,A307)</f>
        <v>105.15</v>
      </c>
      <c r="C307" s="46" t="n">
        <f aca="false">C306+B307</f>
        <v>87751.12</v>
      </c>
      <c r="D307" s="50" t="n">
        <f aca="false">C307/SUM(v_valor)</f>
        <v>0.80252069676747</v>
      </c>
      <c r="E307" s="50" t="n">
        <f aca="false">A307/1000</f>
        <v>0.306</v>
      </c>
    </row>
    <row r="308" customFormat="false" ht="15" hidden="false" customHeight="false" outlineLevel="0" collapsed="false">
      <c r="A308" s="48" t="n">
        <v>307</v>
      </c>
      <c r="B308" s="46" t="n">
        <f aca="false">LARGE(v_valor,A308)</f>
        <v>104.89</v>
      </c>
      <c r="C308" s="46" t="n">
        <f aca="false">C307+B308</f>
        <v>87856.01</v>
      </c>
      <c r="D308" s="50" t="n">
        <f aca="false">C308/SUM(v_valor)</f>
        <v>0.803479959690655</v>
      </c>
      <c r="E308" s="50" t="n">
        <f aca="false">A308/1000</f>
        <v>0.307</v>
      </c>
    </row>
    <row r="309" customFormat="false" ht="15" hidden="false" customHeight="false" outlineLevel="0" collapsed="false">
      <c r="A309" s="48" t="n">
        <v>308</v>
      </c>
      <c r="B309" s="46" t="n">
        <f aca="false">LARGE(v_valor,A309)</f>
        <v>103.98</v>
      </c>
      <c r="C309" s="46" t="n">
        <f aca="false">C308+B309</f>
        <v>87959.99</v>
      </c>
      <c r="D309" s="50" t="n">
        <f aca="false">C309/SUM(v_valor)</f>
        <v>0.804430900283207</v>
      </c>
      <c r="E309" s="50" t="n">
        <f aca="false">A309/1000</f>
        <v>0.308</v>
      </c>
    </row>
    <row r="310" customFormat="false" ht="15" hidden="false" customHeight="false" outlineLevel="0" collapsed="false">
      <c r="A310" s="48" t="n">
        <v>309</v>
      </c>
      <c r="B310" s="46" t="n">
        <f aca="false">LARGE(v_valor,A310)</f>
        <v>102.73</v>
      </c>
      <c r="C310" s="46" t="n">
        <f aca="false">C309+B310</f>
        <v>88062.72</v>
      </c>
      <c r="D310" s="50" t="n">
        <f aca="false">C310/SUM(v_valor)</f>
        <v>0.805370409102911</v>
      </c>
      <c r="E310" s="50" t="n">
        <f aca="false">A310/1000</f>
        <v>0.309</v>
      </c>
    </row>
    <row r="311" customFormat="false" ht="15" hidden="false" customHeight="false" outlineLevel="0" collapsed="false">
      <c r="A311" s="48" t="n">
        <v>310</v>
      </c>
      <c r="B311" s="46" t="n">
        <f aca="false">LARGE(v_valor,A311)</f>
        <v>101.82</v>
      </c>
      <c r="C311" s="46" t="n">
        <f aca="false">C310+B311</f>
        <v>88164.54</v>
      </c>
      <c r="D311" s="50" t="n">
        <f aca="false">C311/SUM(v_valor)</f>
        <v>0.806301595591982</v>
      </c>
      <c r="E311" s="50" t="n">
        <f aca="false">A311/1000</f>
        <v>0.31</v>
      </c>
    </row>
    <row r="312" customFormat="false" ht="15" hidden="false" customHeight="false" outlineLevel="0" collapsed="false">
      <c r="A312" s="48" t="n">
        <v>311</v>
      </c>
      <c r="B312" s="46" t="n">
        <f aca="false">LARGE(v_valor,A312)</f>
        <v>101.42</v>
      </c>
      <c r="C312" s="46" t="n">
        <f aca="false">C311+B312</f>
        <v>88265.96</v>
      </c>
      <c r="D312" s="50" t="n">
        <f aca="false">C312/SUM(v_valor)</f>
        <v>0.807229123913742</v>
      </c>
      <c r="E312" s="50" t="n">
        <f aca="false">A312/1000</f>
        <v>0.311</v>
      </c>
    </row>
    <row r="313" customFormat="false" ht="15" hidden="false" customHeight="false" outlineLevel="0" collapsed="false">
      <c r="A313" s="48" t="n">
        <v>312</v>
      </c>
      <c r="B313" s="46" t="n">
        <f aca="false">LARGE(v_valor,A313)</f>
        <v>101.08</v>
      </c>
      <c r="C313" s="46" t="n">
        <f aca="false">C312+B313</f>
        <v>88367.04</v>
      </c>
      <c r="D313" s="50" t="n">
        <f aca="false">C313/SUM(v_valor)</f>
        <v>0.808153542793287</v>
      </c>
      <c r="E313" s="50" t="n">
        <f aca="false">A313/1000</f>
        <v>0.312</v>
      </c>
    </row>
    <row r="314" customFormat="false" ht="15" hidden="false" customHeight="false" outlineLevel="0" collapsed="false">
      <c r="A314" s="48" t="n">
        <v>313</v>
      </c>
      <c r="B314" s="46" t="n">
        <f aca="false">LARGE(v_valor,A314)</f>
        <v>101</v>
      </c>
      <c r="C314" s="46" t="n">
        <f aca="false">C313+B314</f>
        <v>88468.04</v>
      </c>
      <c r="D314" s="50" t="n">
        <f aca="false">C314/SUM(v_valor)</f>
        <v>0.809077230039371</v>
      </c>
      <c r="E314" s="50" t="n">
        <f aca="false">A314/1000</f>
        <v>0.313</v>
      </c>
    </row>
    <row r="315" customFormat="false" ht="15" hidden="false" customHeight="false" outlineLevel="0" collapsed="false">
      <c r="A315" s="48" t="n">
        <v>314</v>
      </c>
      <c r="B315" s="46" t="n">
        <f aca="false">LARGE(v_valor,A315)</f>
        <v>100.78</v>
      </c>
      <c r="C315" s="46" t="n">
        <f aca="false">C314+B315</f>
        <v>88568.82</v>
      </c>
      <c r="D315" s="50" t="n">
        <f aca="false">C315/SUM(v_valor)</f>
        <v>0.809998905293432</v>
      </c>
      <c r="E315" s="50" t="n">
        <f aca="false">A315/1000</f>
        <v>0.314</v>
      </c>
    </row>
    <row r="316" customFormat="false" ht="15" hidden="false" customHeight="false" outlineLevel="0" collapsed="false">
      <c r="A316" s="48" t="n">
        <v>315</v>
      </c>
      <c r="B316" s="46" t="n">
        <f aca="false">LARGE(v_valor,A316)</f>
        <v>100.56</v>
      </c>
      <c r="C316" s="46" t="n">
        <f aca="false">C315+B316</f>
        <v>88669.38</v>
      </c>
      <c r="D316" s="50" t="n">
        <f aca="false">C316/SUM(v_valor)</f>
        <v>0.810918568555473</v>
      </c>
      <c r="E316" s="50" t="n">
        <f aca="false">A316/1000</f>
        <v>0.315</v>
      </c>
    </row>
    <row r="317" customFormat="false" ht="15" hidden="false" customHeight="false" outlineLevel="0" collapsed="false">
      <c r="A317" s="48" t="n">
        <v>316</v>
      </c>
      <c r="B317" s="46" t="n">
        <f aca="false">LARGE(v_valor,A317)</f>
        <v>100.32</v>
      </c>
      <c r="C317" s="46" t="n">
        <f aca="false">C316+B317</f>
        <v>88769.7</v>
      </c>
      <c r="D317" s="50" t="n">
        <f aca="false">C317/SUM(v_valor)</f>
        <v>0.811836036917128</v>
      </c>
      <c r="E317" s="50" t="n">
        <f aca="false">A317/1000</f>
        <v>0.316</v>
      </c>
    </row>
    <row r="318" customFormat="false" ht="15" hidden="false" customHeight="false" outlineLevel="0" collapsed="false">
      <c r="A318" s="48" t="n">
        <v>317</v>
      </c>
      <c r="B318" s="46" t="n">
        <f aca="false">LARGE(v_valor,A318)</f>
        <v>100.19</v>
      </c>
      <c r="C318" s="46" t="n">
        <f aca="false">C317+B318</f>
        <v>88869.89</v>
      </c>
      <c r="D318" s="50" t="n">
        <f aca="false">C318/SUM(v_valor)</f>
        <v>0.812752316374406</v>
      </c>
      <c r="E318" s="50" t="n">
        <f aca="false">A318/1000</f>
        <v>0.317</v>
      </c>
    </row>
    <row r="319" customFormat="false" ht="15" hidden="false" customHeight="false" outlineLevel="0" collapsed="false">
      <c r="A319" s="48" t="n">
        <v>318</v>
      </c>
      <c r="B319" s="46" t="n">
        <f aca="false">LARGE(v_valor,A319)</f>
        <v>100.1</v>
      </c>
      <c r="C319" s="46" t="n">
        <f aca="false">C318+B319</f>
        <v>88969.9900000001</v>
      </c>
      <c r="D319" s="50" t="n">
        <f aca="false">C319/SUM(v_valor)</f>
        <v>0.813667772744039</v>
      </c>
      <c r="E319" s="50" t="n">
        <f aca="false">A319/1000</f>
        <v>0.318</v>
      </c>
    </row>
    <row r="320" customFormat="false" ht="15" hidden="false" customHeight="false" outlineLevel="0" collapsed="false">
      <c r="A320" s="48" t="n">
        <v>319</v>
      </c>
      <c r="B320" s="46" t="n">
        <f aca="false">LARGE(v_valor,A320)</f>
        <v>99.86</v>
      </c>
      <c r="C320" s="46" t="n">
        <f aca="false">C319+B320</f>
        <v>89069.8500000001</v>
      </c>
      <c r="D320" s="50" t="n">
        <f aca="false">C320/SUM(v_valor)</f>
        <v>0.814581034213285</v>
      </c>
      <c r="E320" s="50" t="n">
        <f aca="false">A320/1000</f>
        <v>0.319</v>
      </c>
    </row>
    <row r="321" customFormat="false" ht="15" hidden="false" customHeight="false" outlineLevel="0" collapsed="false">
      <c r="A321" s="48" t="n">
        <v>320</v>
      </c>
      <c r="B321" s="46" t="n">
        <f aca="false">LARGE(v_valor,A321)</f>
        <v>99.82</v>
      </c>
      <c r="C321" s="46" t="n">
        <f aca="false">C320+B321</f>
        <v>89169.6700000001</v>
      </c>
      <c r="D321" s="50" t="n">
        <f aca="false">C321/SUM(v_valor)</f>
        <v>0.8154939298658</v>
      </c>
      <c r="E321" s="50" t="n">
        <f aca="false">A321/1000</f>
        <v>0.32</v>
      </c>
    </row>
    <row r="322" customFormat="false" ht="15" hidden="false" customHeight="false" outlineLevel="0" collapsed="false">
      <c r="A322" s="48" t="n">
        <v>321</v>
      </c>
      <c r="B322" s="46" t="n">
        <f aca="false">LARGE(v_valor,A322)</f>
        <v>99.26</v>
      </c>
      <c r="C322" s="46" t="n">
        <f aca="false">C321+B322</f>
        <v>89268.9300000001</v>
      </c>
      <c r="D322" s="50" t="n">
        <f aca="false">C322/SUM(v_valor)</f>
        <v>0.816401704084079</v>
      </c>
      <c r="E322" s="50" t="n">
        <f aca="false">A322/1000</f>
        <v>0.321</v>
      </c>
    </row>
    <row r="323" customFormat="false" ht="15" hidden="false" customHeight="false" outlineLevel="0" collapsed="false">
      <c r="A323" s="48" t="n">
        <v>322</v>
      </c>
      <c r="B323" s="46" t="n">
        <f aca="false">LARGE(v_valor,A323)</f>
        <v>99.14</v>
      </c>
      <c r="C323" s="46" t="n">
        <f aca="false">C322+B323</f>
        <v>89368.0700000001</v>
      </c>
      <c r="D323" s="50" t="n">
        <f aca="false">C323/SUM(v_valor)</f>
        <v>0.817308380852165</v>
      </c>
      <c r="E323" s="50" t="n">
        <f aca="false">A323/1000</f>
        <v>0.322</v>
      </c>
    </row>
    <row r="324" customFormat="false" ht="15" hidden="false" customHeight="false" outlineLevel="0" collapsed="false">
      <c r="A324" s="48" t="n">
        <v>323</v>
      </c>
      <c r="B324" s="46" t="n">
        <f aca="false">LARGE(v_valor,A324)</f>
        <v>99.07</v>
      </c>
      <c r="C324" s="46" t="n">
        <f aca="false">C323+B324</f>
        <v>89467.1400000001</v>
      </c>
      <c r="D324" s="50" t="n">
        <f aca="false">C324/SUM(v_valor)</f>
        <v>0.818214417440972</v>
      </c>
      <c r="E324" s="50" t="n">
        <f aca="false">A324/1000</f>
        <v>0.323</v>
      </c>
    </row>
    <row r="325" customFormat="false" ht="15" hidden="false" customHeight="false" outlineLevel="0" collapsed="false">
      <c r="A325" s="48" t="n">
        <v>324</v>
      </c>
      <c r="B325" s="46" t="n">
        <f aca="false">LARGE(v_valor,A325)</f>
        <v>98.73</v>
      </c>
      <c r="C325" s="46" t="n">
        <f aca="false">C324+B325</f>
        <v>89565.8700000001</v>
      </c>
      <c r="D325" s="50" t="n">
        <f aca="false">C325/SUM(v_valor)</f>
        <v>0.819117344587564</v>
      </c>
      <c r="E325" s="50" t="n">
        <f aca="false">A325/1000</f>
        <v>0.324</v>
      </c>
    </row>
    <row r="326" customFormat="false" ht="15" hidden="false" customHeight="false" outlineLevel="0" collapsed="false">
      <c r="A326" s="48" t="n">
        <v>325</v>
      </c>
      <c r="B326" s="46" t="n">
        <f aca="false">LARGE(v_valor,A326)</f>
        <v>97.21</v>
      </c>
      <c r="C326" s="46" t="n">
        <f aca="false">C325+B326</f>
        <v>89663.0800000001</v>
      </c>
      <c r="D326" s="50" t="n">
        <f aca="false">C326/SUM(v_valor)</f>
        <v>0.820006370698373</v>
      </c>
      <c r="E326" s="50" t="n">
        <f aca="false">A326/1000</f>
        <v>0.325</v>
      </c>
    </row>
    <row r="327" customFormat="false" ht="15" hidden="false" customHeight="false" outlineLevel="0" collapsed="false">
      <c r="A327" s="48" t="n">
        <v>326</v>
      </c>
      <c r="B327" s="46" t="n">
        <f aca="false">LARGE(v_valor,A327)</f>
        <v>97.15</v>
      </c>
      <c r="C327" s="46" t="n">
        <f aca="false">C326+B327</f>
        <v>89760.2300000001</v>
      </c>
      <c r="D327" s="50" t="n">
        <f aca="false">C327/SUM(v_valor)</f>
        <v>0.820894848084086</v>
      </c>
      <c r="E327" s="50" t="n">
        <f aca="false">A327/1000</f>
        <v>0.326</v>
      </c>
    </row>
    <row r="328" customFormat="false" ht="15" hidden="false" customHeight="false" outlineLevel="0" collapsed="false">
      <c r="A328" s="48" t="n">
        <v>327</v>
      </c>
      <c r="B328" s="46" t="n">
        <f aca="false">LARGE(v_valor,A328)</f>
        <v>95.97</v>
      </c>
      <c r="C328" s="46" t="n">
        <f aca="false">C327+B328</f>
        <v>89856.2000000001</v>
      </c>
      <c r="D328" s="50" t="n">
        <f aca="false">C328/SUM(v_valor)</f>
        <v>0.82177253387623</v>
      </c>
      <c r="E328" s="50" t="n">
        <f aca="false">A328/1000</f>
        <v>0.327</v>
      </c>
    </row>
    <row r="329" customFormat="false" ht="15" hidden="false" customHeight="false" outlineLevel="0" collapsed="false">
      <c r="A329" s="48" t="n">
        <v>328</v>
      </c>
      <c r="B329" s="46" t="n">
        <f aca="false">LARGE(v_valor,A329)</f>
        <v>95.69</v>
      </c>
      <c r="C329" s="46" t="n">
        <f aca="false">C328+B329</f>
        <v>89951.8900000001</v>
      </c>
      <c r="D329" s="50" t="n">
        <f aca="false">C329/SUM(v_valor)</f>
        <v>0.822647658951257</v>
      </c>
      <c r="E329" s="50" t="n">
        <f aca="false">A329/1000</f>
        <v>0.328</v>
      </c>
    </row>
    <row r="330" customFormat="false" ht="15" hidden="false" customHeight="false" outlineLevel="0" collapsed="false">
      <c r="A330" s="48" t="n">
        <v>329</v>
      </c>
      <c r="B330" s="46" t="n">
        <f aca="false">LARGE(v_valor,A330)</f>
        <v>95.4</v>
      </c>
      <c r="C330" s="46" t="n">
        <f aca="false">C329+B330</f>
        <v>90047.2900000001</v>
      </c>
      <c r="D330" s="50" t="n">
        <f aca="false">C330/SUM(v_valor)</f>
        <v>0.823520131854983</v>
      </c>
      <c r="E330" s="50" t="n">
        <f aca="false">A330/1000</f>
        <v>0.329</v>
      </c>
    </row>
    <row r="331" customFormat="false" ht="15" hidden="false" customHeight="false" outlineLevel="0" collapsed="false">
      <c r="A331" s="48" t="n">
        <v>330</v>
      </c>
      <c r="B331" s="46" t="n">
        <f aca="false">LARGE(v_valor,A331)</f>
        <v>94.69</v>
      </c>
      <c r="C331" s="46" t="n">
        <f aca="false">C330+B331</f>
        <v>90141.9800000001</v>
      </c>
      <c r="D331" s="50" t="n">
        <f aca="false">C331/SUM(v_valor)</f>
        <v>0.824386111511732</v>
      </c>
      <c r="E331" s="50" t="n">
        <f aca="false">A331/1000</f>
        <v>0.33</v>
      </c>
    </row>
    <row r="332" customFormat="false" ht="15" hidden="false" customHeight="false" outlineLevel="0" collapsed="false">
      <c r="A332" s="48" t="n">
        <v>331</v>
      </c>
      <c r="B332" s="46" t="n">
        <f aca="false">LARGE(v_valor,A332)</f>
        <v>94.68</v>
      </c>
      <c r="C332" s="46" t="n">
        <f aca="false">C331+B332</f>
        <v>90236.6600000001</v>
      </c>
      <c r="D332" s="50" t="n">
        <f aca="false">C332/SUM(v_valor)</f>
        <v>0.825251999714298</v>
      </c>
      <c r="E332" s="50" t="n">
        <f aca="false">A332/1000</f>
        <v>0.331</v>
      </c>
    </row>
    <row r="333" customFormat="false" ht="15" hidden="false" customHeight="false" outlineLevel="0" collapsed="false">
      <c r="A333" s="48" t="n">
        <v>332</v>
      </c>
      <c r="B333" s="46" t="n">
        <f aca="false">LARGE(v_valor,A333)</f>
        <v>94.34</v>
      </c>
      <c r="C333" s="46" t="n">
        <f aca="false">C332+B333</f>
        <v>90331</v>
      </c>
      <c r="D333" s="50" t="n">
        <f aca="false">C333/SUM(v_valor)</f>
        <v>0.826114778474649</v>
      </c>
      <c r="E333" s="50" t="n">
        <f aca="false">A333/1000</f>
        <v>0.332</v>
      </c>
    </row>
    <row r="334" customFormat="false" ht="15" hidden="false" customHeight="false" outlineLevel="0" collapsed="false">
      <c r="A334" s="48" t="n">
        <v>333</v>
      </c>
      <c r="B334" s="46" t="n">
        <f aca="false">LARGE(v_valor,A334)</f>
        <v>94.32</v>
      </c>
      <c r="C334" s="46" t="n">
        <f aca="false">C333+B334</f>
        <v>90425.3200000001</v>
      </c>
      <c r="D334" s="50" t="n">
        <f aca="false">C334/SUM(v_valor)</f>
        <v>0.826977374326635</v>
      </c>
      <c r="E334" s="50" t="n">
        <f aca="false">A334/1000</f>
        <v>0.333</v>
      </c>
    </row>
    <row r="335" customFormat="false" ht="15" hidden="false" customHeight="false" outlineLevel="0" collapsed="false">
      <c r="A335" s="48" t="n">
        <v>334</v>
      </c>
      <c r="B335" s="46" t="n">
        <f aca="false">LARGE(v_valor,A335)</f>
        <v>93.84</v>
      </c>
      <c r="C335" s="46" t="n">
        <f aca="false">C334+B335</f>
        <v>90519.1600000001</v>
      </c>
      <c r="D335" s="50" t="n">
        <f aca="false">C335/SUM(v_valor)</f>
        <v>0.827835580377847</v>
      </c>
      <c r="E335" s="50" t="n">
        <f aca="false">A335/1000</f>
        <v>0.334</v>
      </c>
    </row>
    <row r="336" customFormat="false" ht="15" hidden="false" customHeight="false" outlineLevel="0" collapsed="false">
      <c r="A336" s="48" t="n">
        <v>335</v>
      </c>
      <c r="B336" s="46" t="n">
        <f aca="false">LARGE(v_valor,A336)</f>
        <v>93.8</v>
      </c>
      <c r="C336" s="46" t="n">
        <f aca="false">C335+B336</f>
        <v>90612.9600000001</v>
      </c>
      <c r="D336" s="50" t="n">
        <f aca="false">C336/SUM(v_valor)</f>
        <v>0.828693420612328</v>
      </c>
      <c r="E336" s="50" t="n">
        <f aca="false">A336/1000</f>
        <v>0.335</v>
      </c>
    </row>
    <row r="337" customFormat="false" ht="15" hidden="false" customHeight="false" outlineLevel="0" collapsed="false">
      <c r="A337" s="48" t="n">
        <v>336</v>
      </c>
      <c r="B337" s="46" t="n">
        <f aca="false">LARGE(v_valor,A337)</f>
        <v>93.39</v>
      </c>
      <c r="C337" s="46" t="n">
        <f aca="false">C336+B337</f>
        <v>90706.3500000001</v>
      </c>
      <c r="D337" s="50" t="n">
        <f aca="false">C337/SUM(v_valor)</f>
        <v>0.829547511225316</v>
      </c>
      <c r="E337" s="50" t="n">
        <f aca="false">A337/1000</f>
        <v>0.336</v>
      </c>
    </row>
    <row r="338" customFormat="false" ht="15" hidden="false" customHeight="false" outlineLevel="0" collapsed="false">
      <c r="A338" s="48" t="n">
        <v>337</v>
      </c>
      <c r="B338" s="46" t="n">
        <f aca="false">LARGE(v_valor,A338)</f>
        <v>92.88</v>
      </c>
      <c r="C338" s="46" t="n">
        <f aca="false">C337+B338</f>
        <v>90799.2300000001</v>
      </c>
      <c r="D338" s="50" t="n">
        <f aca="false">C338/SUM(v_valor)</f>
        <v>0.830396937674981</v>
      </c>
      <c r="E338" s="50" t="n">
        <f aca="false">A338/1000</f>
        <v>0.337</v>
      </c>
    </row>
    <row r="339" customFormat="false" ht="15" hidden="false" customHeight="false" outlineLevel="0" collapsed="false">
      <c r="A339" s="48" t="n">
        <v>338</v>
      </c>
      <c r="B339" s="46" t="n">
        <f aca="false">LARGE(v_valor,A339)</f>
        <v>92.84</v>
      </c>
      <c r="C339" s="46" t="n">
        <f aca="false">C338+B339</f>
        <v>90892.0700000001</v>
      </c>
      <c r="D339" s="50" t="n">
        <f aca="false">C339/SUM(v_valor)</f>
        <v>0.831245998307915</v>
      </c>
      <c r="E339" s="50" t="n">
        <f aca="false">A339/1000</f>
        <v>0.338</v>
      </c>
    </row>
    <row r="340" customFormat="false" ht="15" hidden="false" customHeight="false" outlineLevel="0" collapsed="false">
      <c r="A340" s="48" t="n">
        <v>339</v>
      </c>
      <c r="B340" s="46" t="n">
        <f aca="false">LARGE(v_valor,A340)</f>
        <v>92.83</v>
      </c>
      <c r="C340" s="46" t="n">
        <f aca="false">C339+B340</f>
        <v>90984.9000000001</v>
      </c>
      <c r="D340" s="50" t="n">
        <f aca="false">C340/SUM(v_valor)</f>
        <v>0.832094967486667</v>
      </c>
      <c r="E340" s="50" t="n">
        <f aca="false">A340/1000</f>
        <v>0.339</v>
      </c>
    </row>
    <row r="341" customFormat="false" ht="15" hidden="false" customHeight="false" outlineLevel="0" collapsed="false">
      <c r="A341" s="48" t="n">
        <v>340</v>
      </c>
      <c r="B341" s="46" t="n">
        <f aca="false">LARGE(v_valor,A341)</f>
        <v>92.38</v>
      </c>
      <c r="C341" s="46" t="n">
        <f aca="false">C340+B341</f>
        <v>91077.2800000001</v>
      </c>
      <c r="D341" s="50" t="n">
        <f aca="false">C341/SUM(v_valor)</f>
        <v>0.832939821227193</v>
      </c>
      <c r="E341" s="50" t="n">
        <f aca="false">A341/1000</f>
        <v>0.34</v>
      </c>
    </row>
    <row r="342" customFormat="false" ht="15" hidden="false" customHeight="false" outlineLevel="0" collapsed="false">
      <c r="A342" s="48" t="n">
        <v>341</v>
      </c>
      <c r="B342" s="46" t="n">
        <f aca="false">LARGE(v_valor,A342)</f>
        <v>92.32</v>
      </c>
      <c r="C342" s="46" t="n">
        <f aca="false">C341+B342</f>
        <v>91169.6000000001</v>
      </c>
      <c r="D342" s="50" t="n">
        <f aca="false">C342/SUM(v_valor)</f>
        <v>0.833784126242623</v>
      </c>
      <c r="E342" s="50" t="n">
        <f aca="false">A342/1000</f>
        <v>0.341</v>
      </c>
    </row>
    <row r="343" customFormat="false" ht="15" hidden="false" customHeight="false" outlineLevel="0" collapsed="false">
      <c r="A343" s="48" t="n">
        <v>342</v>
      </c>
      <c r="B343" s="46" t="n">
        <f aca="false">LARGE(v_valor,A343)</f>
        <v>92.23</v>
      </c>
      <c r="C343" s="46" t="n">
        <f aca="false">C342+B343</f>
        <v>91261.8300000001</v>
      </c>
      <c r="D343" s="50" t="n">
        <f aca="false">C343/SUM(v_valor)</f>
        <v>0.834627608170408</v>
      </c>
      <c r="E343" s="50" t="n">
        <f aca="false">A343/1000</f>
        <v>0.342</v>
      </c>
    </row>
    <row r="344" customFormat="false" ht="15" hidden="false" customHeight="false" outlineLevel="0" collapsed="false">
      <c r="A344" s="48" t="n">
        <v>343</v>
      </c>
      <c r="B344" s="46" t="n">
        <f aca="false">LARGE(v_valor,A344)</f>
        <v>90.83</v>
      </c>
      <c r="C344" s="46" t="n">
        <f aca="false">C343+B344</f>
        <v>91352.6600000001</v>
      </c>
      <c r="D344" s="50" t="n">
        <f aca="false">C344/SUM(v_valor)</f>
        <v>0.835458286512603</v>
      </c>
      <c r="E344" s="50" t="n">
        <f aca="false">A344/1000</f>
        <v>0.343</v>
      </c>
    </row>
    <row r="345" customFormat="false" ht="15" hidden="false" customHeight="false" outlineLevel="0" collapsed="false">
      <c r="A345" s="48" t="n">
        <v>344</v>
      </c>
      <c r="B345" s="46" t="n">
        <f aca="false">LARGE(v_valor,A345)</f>
        <v>89.88</v>
      </c>
      <c r="C345" s="46" t="n">
        <f aca="false">C344+B345</f>
        <v>91442.5400000001</v>
      </c>
      <c r="D345" s="50" t="n">
        <f aca="false">C345/SUM(v_valor)</f>
        <v>0.836280276707434</v>
      </c>
      <c r="E345" s="50" t="n">
        <f aca="false">A345/1000</f>
        <v>0.344</v>
      </c>
    </row>
    <row r="346" customFormat="false" ht="15" hidden="false" customHeight="false" outlineLevel="0" collapsed="false">
      <c r="A346" s="48" t="n">
        <v>345</v>
      </c>
      <c r="B346" s="46" t="n">
        <f aca="false">LARGE(v_valor,A346)</f>
        <v>89.5</v>
      </c>
      <c r="C346" s="46" t="n">
        <f aca="false">C345+B346</f>
        <v>91532.0400000001</v>
      </c>
      <c r="D346" s="50" t="n">
        <f aca="false">C346/SUM(v_valor)</f>
        <v>0.83709879164332</v>
      </c>
      <c r="E346" s="50" t="n">
        <f aca="false">A346/1000</f>
        <v>0.345</v>
      </c>
    </row>
    <row r="347" customFormat="false" ht="15" hidden="false" customHeight="false" outlineLevel="0" collapsed="false">
      <c r="A347" s="48" t="n">
        <v>346</v>
      </c>
      <c r="B347" s="46" t="n">
        <f aca="false">LARGE(v_valor,A347)</f>
        <v>87.87</v>
      </c>
      <c r="C347" s="46" t="n">
        <f aca="false">C346+B347</f>
        <v>91619.9100000001</v>
      </c>
      <c r="D347" s="50" t="n">
        <f aca="false">C347/SUM(v_valor)</f>
        <v>0.837902399547412</v>
      </c>
      <c r="E347" s="50" t="n">
        <f aca="false">A347/1000</f>
        <v>0.346</v>
      </c>
    </row>
    <row r="348" customFormat="false" ht="15" hidden="false" customHeight="false" outlineLevel="0" collapsed="false">
      <c r="A348" s="48" t="n">
        <v>347</v>
      </c>
      <c r="B348" s="46" t="n">
        <f aca="false">LARGE(v_valor,A348)</f>
        <v>87.61</v>
      </c>
      <c r="C348" s="46" t="n">
        <f aca="false">C347+B348</f>
        <v>91707.5200000001</v>
      </c>
      <c r="D348" s="50" t="n">
        <f aca="false">C348/SUM(v_valor)</f>
        <v>0.838703629642752</v>
      </c>
      <c r="E348" s="50" t="n">
        <f aca="false">A348/1000</f>
        <v>0.347</v>
      </c>
    </row>
    <row r="349" customFormat="false" ht="15" hidden="false" customHeight="false" outlineLevel="0" collapsed="false">
      <c r="A349" s="48" t="n">
        <v>348</v>
      </c>
      <c r="B349" s="46" t="n">
        <f aca="false">LARGE(v_valor,A349)</f>
        <v>87.48</v>
      </c>
      <c r="C349" s="46" t="n">
        <f aca="false">C348+B349</f>
        <v>91795.0000000001</v>
      </c>
      <c r="D349" s="50" t="n">
        <f aca="false">C349/SUM(v_valor)</f>
        <v>0.839503670833716</v>
      </c>
      <c r="E349" s="50" t="n">
        <f aca="false">A349/1000</f>
        <v>0.348</v>
      </c>
    </row>
    <row r="350" customFormat="false" ht="15" hidden="false" customHeight="false" outlineLevel="0" collapsed="false">
      <c r="A350" s="48" t="n">
        <v>349</v>
      </c>
      <c r="B350" s="46" t="n">
        <f aca="false">LARGE(v_valor,A350)</f>
        <v>87.45</v>
      </c>
      <c r="C350" s="46" t="n">
        <f aca="false">C349+B350</f>
        <v>91882.4500000001</v>
      </c>
      <c r="D350" s="50" t="n">
        <f aca="false">C350/SUM(v_valor)</f>
        <v>0.840303437662132</v>
      </c>
      <c r="E350" s="50" t="n">
        <f aca="false">A350/1000</f>
        <v>0.349</v>
      </c>
    </row>
    <row r="351" customFormat="false" ht="15" hidden="false" customHeight="false" outlineLevel="0" collapsed="false">
      <c r="A351" s="48" t="n">
        <v>350</v>
      </c>
      <c r="B351" s="46" t="n">
        <f aca="false">LARGE(v_valor,A351)</f>
        <v>87.03</v>
      </c>
      <c r="C351" s="46" t="n">
        <f aca="false">C350+B351</f>
        <v>91969.4800000001</v>
      </c>
      <c r="D351" s="50" t="n">
        <f aca="false">C351/SUM(v_valor)</f>
        <v>0.841099363414871</v>
      </c>
      <c r="E351" s="50" t="n">
        <f aca="false">A351/1000</f>
        <v>0.35</v>
      </c>
    </row>
    <row r="352" customFormat="false" ht="15" hidden="false" customHeight="false" outlineLevel="0" collapsed="false">
      <c r="A352" s="48" t="n">
        <v>351</v>
      </c>
      <c r="B352" s="46" t="n">
        <f aca="false">LARGE(v_valor,A352)</f>
        <v>85.88</v>
      </c>
      <c r="C352" s="46" t="n">
        <f aca="false">C351+B352</f>
        <v>92055.3600000001</v>
      </c>
      <c r="D352" s="50" t="n">
        <f aca="false">C352/SUM(v_valor)</f>
        <v>0.84188477193659</v>
      </c>
      <c r="E352" s="50" t="n">
        <f aca="false">A352/1000</f>
        <v>0.351</v>
      </c>
    </row>
    <row r="353" customFormat="false" ht="15" hidden="false" customHeight="false" outlineLevel="0" collapsed="false">
      <c r="A353" s="48" t="n">
        <v>352</v>
      </c>
      <c r="B353" s="46" t="n">
        <f aca="false">LARGE(v_valor,A353)</f>
        <v>85.8</v>
      </c>
      <c r="C353" s="46" t="n">
        <f aca="false">C352+B353</f>
        <v>92141.1600000001</v>
      </c>
      <c r="D353" s="50" t="n">
        <f aca="false">C353/SUM(v_valor)</f>
        <v>0.842669448824846</v>
      </c>
      <c r="E353" s="50" t="n">
        <f aca="false">A353/1000</f>
        <v>0.352</v>
      </c>
    </row>
    <row r="354" customFormat="false" ht="15" hidden="false" customHeight="false" outlineLevel="0" collapsed="false">
      <c r="A354" s="48" t="n">
        <v>353</v>
      </c>
      <c r="B354" s="46" t="n">
        <f aca="false">LARGE(v_valor,A354)</f>
        <v>85.74</v>
      </c>
      <c r="C354" s="46" t="n">
        <f aca="false">C353+B354</f>
        <v>92226.9000000001</v>
      </c>
      <c r="D354" s="50" t="n">
        <f aca="false">C354/SUM(v_valor)</f>
        <v>0.843453576988007</v>
      </c>
      <c r="E354" s="50" t="n">
        <f aca="false">A354/1000</f>
        <v>0.353</v>
      </c>
    </row>
    <row r="355" customFormat="false" ht="15" hidden="false" customHeight="false" outlineLevel="0" collapsed="false">
      <c r="A355" s="48" t="n">
        <v>354</v>
      </c>
      <c r="B355" s="46" t="n">
        <f aca="false">LARGE(v_valor,A355)</f>
        <v>85.59</v>
      </c>
      <c r="C355" s="46" t="n">
        <f aca="false">C354+B355</f>
        <v>92312.4900000001</v>
      </c>
      <c r="D355" s="50" t="n">
        <f aca="false">C355/SUM(v_valor)</f>
        <v>0.844236333338425</v>
      </c>
      <c r="E355" s="50" t="n">
        <f aca="false">A355/1000</f>
        <v>0.354</v>
      </c>
    </row>
    <row r="356" customFormat="false" ht="15" hidden="false" customHeight="false" outlineLevel="0" collapsed="false">
      <c r="A356" s="48" t="n">
        <v>355</v>
      </c>
      <c r="B356" s="46" t="n">
        <f aca="false">LARGE(v_valor,A356)</f>
        <v>85.48</v>
      </c>
      <c r="C356" s="46" t="n">
        <f aca="false">C355+B356</f>
        <v>92397.9700000001</v>
      </c>
      <c r="D356" s="50" t="n">
        <f aca="false">C356/SUM(v_valor)</f>
        <v>0.845018083692833</v>
      </c>
      <c r="E356" s="50" t="n">
        <f aca="false">A356/1000</f>
        <v>0.355</v>
      </c>
    </row>
    <row r="357" customFormat="false" ht="15" hidden="false" customHeight="false" outlineLevel="0" collapsed="false">
      <c r="A357" s="48" t="n">
        <v>356</v>
      </c>
      <c r="B357" s="46" t="n">
        <f aca="false">LARGE(v_valor,A357)</f>
        <v>85.17</v>
      </c>
      <c r="C357" s="46" t="n">
        <f aca="false">C356+B357</f>
        <v>92483.1400000001</v>
      </c>
      <c r="D357" s="50" t="n">
        <f aca="false">C357/SUM(v_valor)</f>
        <v>0.845796998967574</v>
      </c>
      <c r="E357" s="50" t="n">
        <f aca="false">A357/1000</f>
        <v>0.356</v>
      </c>
    </row>
    <row r="358" customFormat="false" ht="15" hidden="false" customHeight="false" outlineLevel="0" collapsed="false">
      <c r="A358" s="48" t="n">
        <v>357</v>
      </c>
      <c r="B358" s="46" t="n">
        <f aca="false">LARGE(v_valor,A358)</f>
        <v>84.27</v>
      </c>
      <c r="C358" s="46" t="n">
        <f aca="false">C357+B358</f>
        <v>92567.4100000001</v>
      </c>
      <c r="D358" s="50" t="n">
        <f aca="false">C358/SUM(v_valor)</f>
        <v>0.846567683365866</v>
      </c>
      <c r="E358" s="50" t="n">
        <f aca="false">A358/1000</f>
        <v>0.357</v>
      </c>
    </row>
    <row r="359" customFormat="false" ht="15" hidden="false" customHeight="false" outlineLevel="0" collapsed="false">
      <c r="A359" s="48" t="n">
        <v>358</v>
      </c>
      <c r="B359" s="46" t="n">
        <f aca="false">LARGE(v_valor,A359)</f>
        <v>84.11</v>
      </c>
      <c r="C359" s="46" t="n">
        <f aca="false">C358+B359</f>
        <v>92651.5200000001</v>
      </c>
      <c r="D359" s="50" t="n">
        <f aca="false">C359/SUM(v_valor)</f>
        <v>0.847336904497233</v>
      </c>
      <c r="E359" s="50" t="n">
        <f aca="false">A359/1000</f>
        <v>0.358</v>
      </c>
    </row>
    <row r="360" customFormat="false" ht="15" hidden="false" customHeight="false" outlineLevel="0" collapsed="false">
      <c r="A360" s="48" t="n">
        <v>359</v>
      </c>
      <c r="B360" s="46" t="n">
        <f aca="false">LARGE(v_valor,A360)</f>
        <v>83.76</v>
      </c>
      <c r="C360" s="46" t="n">
        <f aca="false">C359+B360</f>
        <v>92735.2800000001</v>
      </c>
      <c r="D360" s="50" t="n">
        <f aca="false">C360/SUM(v_valor)</f>
        <v>0.848102924732202</v>
      </c>
      <c r="E360" s="50" t="n">
        <f aca="false">A360/1000</f>
        <v>0.359</v>
      </c>
    </row>
    <row r="361" customFormat="false" ht="15" hidden="false" customHeight="false" outlineLevel="0" collapsed="false">
      <c r="A361" s="48" t="n">
        <v>360</v>
      </c>
      <c r="B361" s="46" t="n">
        <f aca="false">LARGE(v_valor,A361)</f>
        <v>83.68</v>
      </c>
      <c r="C361" s="46" t="n">
        <f aca="false">C360+B361</f>
        <v>92818.9600000001</v>
      </c>
      <c r="D361" s="50" t="n">
        <f aca="false">C361/SUM(v_valor)</f>
        <v>0.848868213333709</v>
      </c>
      <c r="E361" s="50" t="n">
        <f aca="false">A361/1000</f>
        <v>0.36</v>
      </c>
    </row>
    <row r="362" customFormat="false" ht="15" hidden="false" customHeight="false" outlineLevel="0" collapsed="false">
      <c r="A362" s="48" t="n">
        <v>361</v>
      </c>
      <c r="B362" s="46" t="n">
        <f aca="false">LARGE(v_valor,A362)</f>
        <v>83.64</v>
      </c>
      <c r="C362" s="46" t="n">
        <f aca="false">C361+B362</f>
        <v>92902.6000000001</v>
      </c>
      <c r="D362" s="50" t="n">
        <f aca="false">C362/SUM(v_valor)</f>
        <v>0.849633136118486</v>
      </c>
      <c r="E362" s="50" t="n">
        <f aca="false">A362/1000</f>
        <v>0.361</v>
      </c>
    </row>
    <row r="363" customFormat="false" ht="15" hidden="false" customHeight="false" outlineLevel="0" collapsed="false">
      <c r="A363" s="48" t="n">
        <v>362</v>
      </c>
      <c r="B363" s="46" t="n">
        <f aca="false">LARGE(v_valor,A363)</f>
        <v>83.24</v>
      </c>
      <c r="C363" s="46" t="n">
        <f aca="false">C362+B363</f>
        <v>92985.8400000001</v>
      </c>
      <c r="D363" s="50" t="n">
        <f aca="false">C363/SUM(v_valor)</f>
        <v>0.850394400735951</v>
      </c>
      <c r="E363" s="50" t="n">
        <f aca="false">A363/1000</f>
        <v>0.362</v>
      </c>
    </row>
    <row r="364" customFormat="false" ht="15" hidden="false" customHeight="false" outlineLevel="0" collapsed="false">
      <c r="A364" s="48" t="n">
        <v>363</v>
      </c>
      <c r="B364" s="46" t="n">
        <f aca="false">LARGE(v_valor,A364)</f>
        <v>82.56</v>
      </c>
      <c r="C364" s="46" t="n">
        <f aca="false">C363+B364</f>
        <v>93068.4000000001</v>
      </c>
      <c r="D364" s="50" t="n">
        <f aca="false">C364/SUM(v_valor)</f>
        <v>0.851149446468987</v>
      </c>
      <c r="E364" s="50" t="n">
        <f aca="false">A364/1000</f>
        <v>0.363</v>
      </c>
    </row>
    <row r="365" customFormat="false" ht="15" hidden="false" customHeight="false" outlineLevel="0" collapsed="false">
      <c r="A365" s="48" t="n">
        <v>364</v>
      </c>
      <c r="B365" s="46" t="n">
        <f aca="false">LARGE(v_valor,A365)</f>
        <v>82.48</v>
      </c>
      <c r="C365" s="46" t="n">
        <f aca="false">C364+B365</f>
        <v>93150.8800000001</v>
      </c>
      <c r="D365" s="50" t="n">
        <f aca="false">C365/SUM(v_valor)</f>
        <v>0.85190376056856</v>
      </c>
      <c r="E365" s="50" t="n">
        <f aca="false">A365/1000</f>
        <v>0.364</v>
      </c>
    </row>
    <row r="366" customFormat="false" ht="15" hidden="false" customHeight="false" outlineLevel="0" collapsed="false">
      <c r="A366" s="48" t="n">
        <v>365</v>
      </c>
      <c r="B366" s="46" t="n">
        <f aca="false">LARGE(v_valor,A366)</f>
        <v>82.27</v>
      </c>
      <c r="C366" s="46" t="n">
        <f aca="false">C365+B366</f>
        <v>93233.1500000001</v>
      </c>
      <c r="D366" s="50" t="n">
        <f aca="false">C366/SUM(v_valor)</f>
        <v>0.852656154130296</v>
      </c>
      <c r="E366" s="50" t="n">
        <f aca="false">A366/1000</f>
        <v>0.365</v>
      </c>
    </row>
    <row r="367" customFormat="false" ht="15" hidden="false" customHeight="false" outlineLevel="0" collapsed="false">
      <c r="A367" s="48" t="n">
        <v>366</v>
      </c>
      <c r="B367" s="46" t="n">
        <f aca="false">LARGE(v_valor,A367)</f>
        <v>82.16</v>
      </c>
      <c r="C367" s="46" t="n">
        <f aca="false">C366+B367</f>
        <v>93315.3100000001</v>
      </c>
      <c r="D367" s="50" t="n">
        <f aca="false">C367/SUM(v_valor)</f>
        <v>0.85340754169602</v>
      </c>
      <c r="E367" s="50" t="n">
        <f aca="false">A367/1000</f>
        <v>0.366</v>
      </c>
    </row>
    <row r="368" customFormat="false" ht="15" hidden="false" customHeight="false" outlineLevel="0" collapsed="false">
      <c r="A368" s="48" t="n">
        <v>367</v>
      </c>
      <c r="B368" s="46" t="n">
        <f aca="false">LARGE(v_valor,A368)</f>
        <v>81.98</v>
      </c>
      <c r="C368" s="46" t="n">
        <f aca="false">C367+B368</f>
        <v>93397.2900000001</v>
      </c>
      <c r="D368" s="50" t="n">
        <f aca="false">C368/SUM(v_valor)</f>
        <v>0.854157283086455</v>
      </c>
      <c r="E368" s="50" t="n">
        <f aca="false">A368/1000</f>
        <v>0.367</v>
      </c>
    </row>
    <row r="369" customFormat="false" ht="15" hidden="false" customHeight="false" outlineLevel="0" collapsed="false">
      <c r="A369" s="48" t="n">
        <v>368</v>
      </c>
      <c r="B369" s="46" t="n">
        <f aca="false">LARGE(v_valor,A369)</f>
        <v>80.84</v>
      </c>
      <c r="C369" s="46" t="n">
        <f aca="false">C368+B369</f>
        <v>93478.1300000001</v>
      </c>
      <c r="D369" s="50" t="n">
        <f aca="false">C369/SUM(v_valor)</f>
        <v>0.854896598700052</v>
      </c>
      <c r="E369" s="50" t="n">
        <f aca="false">A369/1000</f>
        <v>0.368</v>
      </c>
    </row>
    <row r="370" customFormat="false" ht="15" hidden="false" customHeight="false" outlineLevel="0" collapsed="false">
      <c r="A370" s="48" t="n">
        <v>369</v>
      </c>
      <c r="B370" s="46" t="n">
        <f aca="false">LARGE(v_valor,A370)</f>
        <v>80.24</v>
      </c>
      <c r="C370" s="46" t="n">
        <f aca="false">C369+B370</f>
        <v>93558.3700000001</v>
      </c>
      <c r="D370" s="50" t="n">
        <f aca="false">C370/SUM(v_valor)</f>
        <v>0.855630427062683</v>
      </c>
      <c r="E370" s="50" t="n">
        <f aca="false">A370/1000</f>
        <v>0.369</v>
      </c>
    </row>
    <row r="371" customFormat="false" ht="15" hidden="false" customHeight="false" outlineLevel="0" collapsed="false">
      <c r="A371" s="48" t="n">
        <v>370</v>
      </c>
      <c r="B371" s="46" t="n">
        <f aca="false">LARGE(v_valor,A371)</f>
        <v>80.12</v>
      </c>
      <c r="C371" s="46" t="n">
        <f aca="false">C370+B371</f>
        <v>93638.4900000001</v>
      </c>
      <c r="D371" s="50" t="n">
        <f aca="false">C371/SUM(v_valor)</f>
        <v>0.856363157975121</v>
      </c>
      <c r="E371" s="50" t="n">
        <f aca="false">A371/1000</f>
        <v>0.37</v>
      </c>
    </row>
    <row r="372" customFormat="false" ht="15" hidden="false" customHeight="false" outlineLevel="0" collapsed="false">
      <c r="A372" s="48" t="n">
        <v>371</v>
      </c>
      <c r="B372" s="46" t="n">
        <f aca="false">LARGE(v_valor,A372)</f>
        <v>79.38</v>
      </c>
      <c r="C372" s="46" t="n">
        <f aca="false">C371+B372</f>
        <v>93717.8700000001</v>
      </c>
      <c r="D372" s="50" t="n">
        <f aca="false">C372/SUM(v_valor)</f>
        <v>0.857089121278033</v>
      </c>
      <c r="E372" s="50" t="n">
        <f aca="false">A372/1000</f>
        <v>0.371</v>
      </c>
    </row>
    <row r="373" customFormat="false" ht="15" hidden="false" customHeight="false" outlineLevel="0" collapsed="false">
      <c r="A373" s="48" t="n">
        <v>372</v>
      </c>
      <c r="B373" s="46" t="n">
        <f aca="false">LARGE(v_valor,A373)</f>
        <v>79.12</v>
      </c>
      <c r="C373" s="46" t="n">
        <f aca="false">C372+B373</f>
        <v>93796.9900000001</v>
      </c>
      <c r="D373" s="50" t="n">
        <f aca="false">C373/SUM(v_valor)</f>
        <v>0.857812706772192</v>
      </c>
      <c r="E373" s="50" t="n">
        <f aca="false">A373/1000</f>
        <v>0.372</v>
      </c>
    </row>
    <row r="374" customFormat="false" ht="15" hidden="false" customHeight="false" outlineLevel="0" collapsed="false">
      <c r="A374" s="48" t="n">
        <v>373</v>
      </c>
      <c r="B374" s="46" t="n">
        <f aca="false">LARGE(v_valor,A374)</f>
        <v>78.55</v>
      </c>
      <c r="C374" s="46" t="n">
        <f aca="false">C373+B374</f>
        <v>93875.5400000001</v>
      </c>
      <c r="D374" s="50" t="n">
        <f aca="false">C374/SUM(v_valor)</f>
        <v>0.858531079377933</v>
      </c>
      <c r="E374" s="50" t="n">
        <f aca="false">A374/1000</f>
        <v>0.373</v>
      </c>
    </row>
    <row r="375" customFormat="false" ht="15" hidden="false" customHeight="false" outlineLevel="0" collapsed="false">
      <c r="A375" s="48" t="n">
        <v>374</v>
      </c>
      <c r="B375" s="46" t="n">
        <f aca="false">LARGE(v_valor,A375)</f>
        <v>78.43</v>
      </c>
      <c r="C375" s="46" t="n">
        <f aca="false">C374+B375</f>
        <v>93953.97</v>
      </c>
      <c r="D375" s="50" t="n">
        <f aca="false">C375/SUM(v_valor)</f>
        <v>0.85924835453348</v>
      </c>
      <c r="E375" s="50" t="n">
        <f aca="false">A375/1000</f>
        <v>0.374</v>
      </c>
    </row>
    <row r="376" customFormat="false" ht="15" hidden="false" customHeight="false" outlineLevel="0" collapsed="false">
      <c r="A376" s="48" t="n">
        <v>375</v>
      </c>
      <c r="B376" s="46" t="n">
        <f aca="false">LARGE(v_valor,A376)</f>
        <v>78.17</v>
      </c>
      <c r="C376" s="46" t="n">
        <f aca="false">C375+B376</f>
        <v>94032.14</v>
      </c>
      <c r="D376" s="50" t="n">
        <f aca="false">C376/SUM(v_valor)</f>
        <v>0.859963251880276</v>
      </c>
      <c r="E376" s="50" t="n">
        <f aca="false">A376/1000</f>
        <v>0.375</v>
      </c>
    </row>
    <row r="377" customFormat="false" ht="15" hidden="false" customHeight="false" outlineLevel="0" collapsed="false">
      <c r="A377" s="48" t="n">
        <v>376</v>
      </c>
      <c r="B377" s="46" t="n">
        <f aca="false">LARGE(v_valor,A377)</f>
        <v>77.74</v>
      </c>
      <c r="C377" s="46" t="n">
        <f aca="false">C376+B377</f>
        <v>94109.8800000001</v>
      </c>
      <c r="D377" s="50" t="n">
        <f aca="false">C377/SUM(v_valor)</f>
        <v>0.860674216697211</v>
      </c>
      <c r="E377" s="50" t="n">
        <f aca="false">A377/1000</f>
        <v>0.376</v>
      </c>
    </row>
    <row r="378" customFormat="false" ht="15" hidden="false" customHeight="false" outlineLevel="0" collapsed="false">
      <c r="A378" s="48" t="n">
        <v>377</v>
      </c>
      <c r="B378" s="46" t="n">
        <f aca="false">LARGE(v_valor,A378)</f>
        <v>77.51</v>
      </c>
      <c r="C378" s="46" t="n">
        <f aca="false">C377+B378</f>
        <v>94187.39</v>
      </c>
      <c r="D378" s="50" t="n">
        <f aca="false">C378/SUM(v_valor)</f>
        <v>0.861383078067943</v>
      </c>
      <c r="E378" s="50" t="n">
        <f aca="false">A378/1000</f>
        <v>0.377</v>
      </c>
    </row>
    <row r="379" customFormat="false" ht="15" hidden="false" customHeight="false" outlineLevel="0" collapsed="false">
      <c r="A379" s="48" t="n">
        <v>378</v>
      </c>
      <c r="B379" s="46" t="n">
        <f aca="false">LARGE(v_valor,A379)</f>
        <v>77.43</v>
      </c>
      <c r="C379" s="46" t="n">
        <f aca="false">C378+B379</f>
        <v>94264.82</v>
      </c>
      <c r="D379" s="50" t="n">
        <f aca="false">C379/SUM(v_valor)</f>
        <v>0.862091207805212</v>
      </c>
      <c r="E379" s="50" t="n">
        <f aca="false">A379/1000</f>
        <v>0.378</v>
      </c>
    </row>
    <row r="380" customFormat="false" ht="15" hidden="false" customHeight="false" outlineLevel="0" collapsed="false">
      <c r="A380" s="48" t="n">
        <v>379</v>
      </c>
      <c r="B380" s="46" t="n">
        <f aca="false">LARGE(v_valor,A380)</f>
        <v>77.38</v>
      </c>
      <c r="C380" s="46" t="n">
        <f aca="false">C379+B380</f>
        <v>94342.2</v>
      </c>
      <c r="D380" s="50" t="n">
        <f aca="false">C380/SUM(v_valor)</f>
        <v>0.862798880271568</v>
      </c>
      <c r="E380" s="50" t="n">
        <f aca="false">A380/1000</f>
        <v>0.379</v>
      </c>
    </row>
    <row r="381" customFormat="false" ht="15" hidden="false" customHeight="false" outlineLevel="0" collapsed="false">
      <c r="A381" s="48" t="n">
        <v>380</v>
      </c>
      <c r="B381" s="46" t="n">
        <f aca="false">LARGE(v_valor,A381)</f>
        <v>77.33</v>
      </c>
      <c r="C381" s="46" t="n">
        <f aca="false">C380+B381</f>
        <v>94419.53</v>
      </c>
      <c r="D381" s="50" t="n">
        <f aca="false">C381/SUM(v_valor)</f>
        <v>0.86350609546701</v>
      </c>
      <c r="E381" s="50" t="n">
        <f aca="false">A381/1000</f>
        <v>0.38</v>
      </c>
    </row>
    <row r="382" customFormat="false" ht="15" hidden="false" customHeight="false" outlineLevel="0" collapsed="false">
      <c r="A382" s="48" t="n">
        <v>381</v>
      </c>
      <c r="B382" s="46" t="n">
        <f aca="false">LARGE(v_valor,A382)</f>
        <v>76.89</v>
      </c>
      <c r="C382" s="46" t="n">
        <f aca="false">C381+B382</f>
        <v>94496.42</v>
      </c>
      <c r="D382" s="50" t="n">
        <f aca="false">C382/SUM(v_valor)</f>
        <v>0.864209286678409</v>
      </c>
      <c r="E382" s="50" t="n">
        <f aca="false">A382/1000</f>
        <v>0.381</v>
      </c>
    </row>
    <row r="383" customFormat="false" ht="15" hidden="false" customHeight="false" outlineLevel="0" collapsed="false">
      <c r="A383" s="48" t="n">
        <v>382</v>
      </c>
      <c r="B383" s="46" t="n">
        <f aca="false">LARGE(v_valor,A383)</f>
        <v>76.86</v>
      </c>
      <c r="C383" s="46" t="n">
        <f aca="false">C382+B383</f>
        <v>94573.28</v>
      </c>
      <c r="D383" s="50" t="n">
        <f aca="false">C383/SUM(v_valor)</f>
        <v>0.86491220352726</v>
      </c>
      <c r="E383" s="50" t="n">
        <f aca="false">A383/1000</f>
        <v>0.382</v>
      </c>
    </row>
    <row r="384" customFormat="false" ht="15" hidden="false" customHeight="false" outlineLevel="0" collapsed="false">
      <c r="A384" s="48" t="n">
        <v>383</v>
      </c>
      <c r="B384" s="46" t="n">
        <f aca="false">LARGE(v_valor,A384)</f>
        <v>76.7</v>
      </c>
      <c r="C384" s="46" t="n">
        <f aca="false">C383+B384</f>
        <v>94649.98</v>
      </c>
      <c r="D384" s="50" t="n">
        <f aca="false">C384/SUM(v_valor)</f>
        <v>0.865613657109187</v>
      </c>
      <c r="E384" s="50" t="n">
        <f aca="false">A384/1000</f>
        <v>0.383</v>
      </c>
    </row>
    <row r="385" customFormat="false" ht="15" hidden="false" customHeight="false" outlineLevel="0" collapsed="false">
      <c r="A385" s="48" t="n">
        <v>384</v>
      </c>
      <c r="B385" s="46" t="n">
        <f aca="false">LARGE(v_valor,A385)</f>
        <v>76.49</v>
      </c>
      <c r="C385" s="46" t="n">
        <f aca="false">C384+B385</f>
        <v>94726.47</v>
      </c>
      <c r="D385" s="50" t="n">
        <f aca="false">C385/SUM(v_valor)</f>
        <v>0.866313190153275</v>
      </c>
      <c r="E385" s="50" t="n">
        <f aca="false">A385/1000</f>
        <v>0.384</v>
      </c>
    </row>
    <row r="386" customFormat="false" ht="15" hidden="false" customHeight="false" outlineLevel="0" collapsed="false">
      <c r="A386" s="48" t="n">
        <v>385</v>
      </c>
      <c r="B386" s="46" t="n">
        <f aca="false">LARGE(v_valor,A386)</f>
        <v>76.2</v>
      </c>
      <c r="C386" s="46" t="n">
        <f aca="false">C385+B386</f>
        <v>94802.67</v>
      </c>
      <c r="D386" s="50" t="n">
        <f aca="false">C386/SUM(v_valor)</f>
        <v>0.867010071026062</v>
      </c>
      <c r="E386" s="50" t="n">
        <f aca="false">A386/1000</f>
        <v>0.385</v>
      </c>
    </row>
    <row r="387" customFormat="false" ht="15" hidden="false" customHeight="false" outlineLevel="0" collapsed="false">
      <c r="A387" s="48" t="n">
        <v>386</v>
      </c>
      <c r="B387" s="46" t="n">
        <f aca="false">LARGE(v_valor,A387)</f>
        <v>76.18</v>
      </c>
      <c r="C387" s="46" t="n">
        <f aca="false">C386+B387</f>
        <v>94878.85</v>
      </c>
      <c r="D387" s="50" t="n">
        <f aca="false">C387/SUM(v_valor)</f>
        <v>0.867706768990484</v>
      </c>
      <c r="E387" s="50" t="n">
        <f aca="false">A387/1000</f>
        <v>0.386</v>
      </c>
    </row>
    <row r="388" customFormat="false" ht="15" hidden="false" customHeight="false" outlineLevel="0" collapsed="false">
      <c r="A388" s="48" t="n">
        <v>387</v>
      </c>
      <c r="B388" s="46" t="n">
        <f aca="false">LARGE(v_valor,A388)</f>
        <v>75.74</v>
      </c>
      <c r="C388" s="46" t="n">
        <f aca="false">C387+B388</f>
        <v>94954.59</v>
      </c>
      <c r="D388" s="50" t="n">
        <f aca="false">C388/SUM(v_valor)</f>
        <v>0.868399442970864</v>
      </c>
      <c r="E388" s="50" t="n">
        <f aca="false">A388/1000</f>
        <v>0.387</v>
      </c>
    </row>
    <row r="389" customFormat="false" ht="15" hidden="false" customHeight="false" outlineLevel="0" collapsed="false">
      <c r="A389" s="48" t="n">
        <v>388</v>
      </c>
      <c r="B389" s="46" t="n">
        <f aca="false">LARGE(v_valor,A389)</f>
        <v>75.3</v>
      </c>
      <c r="C389" s="46" t="n">
        <f aca="false">C388+B389</f>
        <v>95029.89</v>
      </c>
      <c r="D389" s="50" t="n">
        <f aca="false">C389/SUM(v_valor)</f>
        <v>0.869088092967201</v>
      </c>
      <c r="E389" s="50" t="n">
        <f aca="false">A389/1000</f>
        <v>0.388</v>
      </c>
    </row>
    <row r="390" customFormat="false" ht="15" hidden="false" customHeight="false" outlineLevel="0" collapsed="false">
      <c r="A390" s="48" t="n">
        <v>389</v>
      </c>
      <c r="B390" s="46" t="n">
        <f aca="false">LARGE(v_valor,A390)</f>
        <v>75.29</v>
      </c>
      <c r="C390" s="46" t="n">
        <f aca="false">C389+B390</f>
        <v>95105.18</v>
      </c>
      <c r="D390" s="50" t="n">
        <f aca="false">C390/SUM(v_valor)</f>
        <v>0.869776651509356</v>
      </c>
      <c r="E390" s="50" t="n">
        <f aca="false">A390/1000</f>
        <v>0.389</v>
      </c>
    </row>
    <row r="391" customFormat="false" ht="15" hidden="false" customHeight="false" outlineLevel="0" collapsed="false">
      <c r="A391" s="48" t="n">
        <v>390</v>
      </c>
      <c r="B391" s="46" t="n">
        <f aca="false">LARGE(v_valor,A391)</f>
        <v>74.88</v>
      </c>
      <c r="C391" s="46" t="n">
        <f aca="false">C390+B391</f>
        <v>95180.06</v>
      </c>
      <c r="D391" s="50" t="n">
        <f aca="false">C391/SUM(v_valor)</f>
        <v>0.870461460430016</v>
      </c>
      <c r="E391" s="50" t="n">
        <f aca="false">A391/1000</f>
        <v>0.39</v>
      </c>
    </row>
    <row r="392" customFormat="false" ht="15" hidden="false" customHeight="false" outlineLevel="0" collapsed="false">
      <c r="A392" s="48" t="n">
        <v>391</v>
      </c>
      <c r="B392" s="46" t="n">
        <f aca="false">LARGE(v_valor,A392)</f>
        <v>74.56</v>
      </c>
      <c r="C392" s="46" t="n">
        <f aca="false">C391+B392</f>
        <v>95254.62</v>
      </c>
      <c r="D392" s="50" t="n">
        <f aca="false">C392/SUM(v_valor)</f>
        <v>0.871143342816828</v>
      </c>
      <c r="E392" s="50" t="n">
        <f aca="false">A392/1000</f>
        <v>0.391</v>
      </c>
    </row>
    <row r="393" customFormat="false" ht="15" hidden="false" customHeight="false" outlineLevel="0" collapsed="false">
      <c r="A393" s="48" t="n">
        <v>392</v>
      </c>
      <c r="B393" s="46" t="n">
        <f aca="false">LARGE(v_valor,A393)</f>
        <v>73.65</v>
      </c>
      <c r="C393" s="46" t="n">
        <f aca="false">C392+B393</f>
        <v>95328.27</v>
      </c>
      <c r="D393" s="50" t="n">
        <f aca="false">C393/SUM(v_valor)</f>
        <v>0.871816902873006</v>
      </c>
      <c r="E393" s="50" t="n">
        <f aca="false">A393/1000</f>
        <v>0.392</v>
      </c>
    </row>
    <row r="394" customFormat="false" ht="15" hidden="false" customHeight="false" outlineLevel="0" collapsed="false">
      <c r="A394" s="48" t="n">
        <v>393</v>
      </c>
      <c r="B394" s="46" t="n">
        <f aca="false">LARGE(v_valor,A394)</f>
        <v>73.35</v>
      </c>
      <c r="C394" s="46" t="n">
        <f aca="false">C393+B394</f>
        <v>95401.62</v>
      </c>
      <c r="D394" s="50" t="n">
        <f aca="false">C394/SUM(v_valor)</f>
        <v>0.872487719303701</v>
      </c>
      <c r="E394" s="50" t="n">
        <f aca="false">A394/1000</f>
        <v>0.393</v>
      </c>
    </row>
    <row r="395" customFormat="false" ht="15" hidden="false" customHeight="false" outlineLevel="0" collapsed="false">
      <c r="A395" s="48" t="n">
        <v>394</v>
      </c>
      <c r="B395" s="46" t="n">
        <f aca="false">LARGE(v_valor,A395)</f>
        <v>72.98</v>
      </c>
      <c r="C395" s="46" t="n">
        <f aca="false">C394+B395</f>
        <v>95474.6</v>
      </c>
      <c r="D395" s="50" t="n">
        <f aca="false">C395/SUM(v_valor)</f>
        <v>0.873155151929633</v>
      </c>
      <c r="E395" s="50" t="n">
        <f aca="false">A395/1000</f>
        <v>0.394</v>
      </c>
    </row>
    <row r="396" customFormat="false" ht="15" hidden="false" customHeight="false" outlineLevel="0" collapsed="false">
      <c r="A396" s="48" t="n">
        <v>395</v>
      </c>
      <c r="B396" s="46" t="n">
        <f aca="false">LARGE(v_valor,A396)</f>
        <v>72.53</v>
      </c>
      <c r="C396" s="46" t="n">
        <f aca="false">C395+B396</f>
        <v>95547.13</v>
      </c>
      <c r="D396" s="50" t="n">
        <f aca="false">C396/SUM(v_valor)</f>
        <v>0.87381846911734</v>
      </c>
      <c r="E396" s="50" t="n">
        <f aca="false">A396/1000</f>
        <v>0.395</v>
      </c>
    </row>
    <row r="397" customFormat="false" ht="15" hidden="false" customHeight="false" outlineLevel="0" collapsed="false">
      <c r="A397" s="48" t="n">
        <v>396</v>
      </c>
      <c r="B397" s="46" t="n">
        <f aca="false">LARGE(v_valor,A397)</f>
        <v>72.33</v>
      </c>
      <c r="C397" s="46" t="n">
        <f aca="false">C396+B397</f>
        <v>95619.46</v>
      </c>
      <c r="D397" s="50" t="n">
        <f aca="false">C397/SUM(v_valor)</f>
        <v>0.874479957221392</v>
      </c>
      <c r="E397" s="50" t="n">
        <f aca="false">A397/1000</f>
        <v>0.396</v>
      </c>
    </row>
    <row r="398" customFormat="false" ht="15" hidden="false" customHeight="false" outlineLevel="0" collapsed="false">
      <c r="A398" s="48" t="n">
        <v>397</v>
      </c>
      <c r="B398" s="46" t="n">
        <f aca="false">LARGE(v_valor,A398)</f>
        <v>72.06</v>
      </c>
      <c r="C398" s="46" t="n">
        <f aca="false">C397+B398</f>
        <v>95691.52</v>
      </c>
      <c r="D398" s="50" t="n">
        <f aca="false">C398/SUM(v_valor)</f>
        <v>0.875138976062508</v>
      </c>
      <c r="E398" s="50" t="n">
        <f aca="false">A398/1000</f>
        <v>0.397</v>
      </c>
    </row>
    <row r="399" customFormat="false" ht="15" hidden="false" customHeight="false" outlineLevel="0" collapsed="false">
      <c r="A399" s="48" t="n">
        <v>398</v>
      </c>
      <c r="B399" s="46" t="n">
        <f aca="false">LARGE(v_valor,A399)</f>
        <v>71.6</v>
      </c>
      <c r="C399" s="46" t="n">
        <f aca="false">C398+B399</f>
        <v>95763.12</v>
      </c>
      <c r="D399" s="50" t="n">
        <f aca="false">C399/SUM(v_valor)</f>
        <v>0.875793788011217</v>
      </c>
      <c r="E399" s="50" t="n">
        <f aca="false">A399/1000</f>
        <v>0.398</v>
      </c>
    </row>
    <row r="400" customFormat="false" ht="15" hidden="false" customHeight="false" outlineLevel="0" collapsed="false">
      <c r="A400" s="48" t="n">
        <v>399</v>
      </c>
      <c r="B400" s="46" t="n">
        <f aca="false">LARGE(v_valor,A400)</f>
        <v>71.43</v>
      </c>
      <c r="C400" s="46" t="n">
        <f aca="false">C399+B400</f>
        <v>95834.55</v>
      </c>
      <c r="D400" s="50" t="n">
        <f aca="false">C400/SUM(v_valor)</f>
        <v>0.876447045238818</v>
      </c>
      <c r="E400" s="50" t="n">
        <f aca="false">A400/1000</f>
        <v>0.399</v>
      </c>
    </row>
    <row r="401" customFormat="false" ht="15" hidden="false" customHeight="false" outlineLevel="0" collapsed="false">
      <c r="A401" s="48" t="n">
        <v>400</v>
      </c>
      <c r="B401" s="46" t="n">
        <f aca="false">LARGE(v_valor,A401)</f>
        <v>71.13</v>
      </c>
      <c r="C401" s="46" t="n">
        <f aca="false">C400+B401</f>
        <v>95905.68</v>
      </c>
      <c r="D401" s="50" t="n">
        <f aca="false">C401/SUM(v_valor)</f>
        <v>0.877097558840936</v>
      </c>
      <c r="E401" s="50" t="n">
        <f aca="false">A401/1000</f>
        <v>0.4</v>
      </c>
    </row>
    <row r="402" customFormat="false" ht="15" hidden="false" customHeight="false" outlineLevel="0" collapsed="false">
      <c r="A402" s="48" t="n">
        <v>401</v>
      </c>
      <c r="B402" s="46" t="n">
        <f aca="false">LARGE(v_valor,A402)</f>
        <v>70.51</v>
      </c>
      <c r="C402" s="46" t="n">
        <f aca="false">C401+B402</f>
        <v>95976.19</v>
      </c>
      <c r="D402" s="50" t="n">
        <f aca="false">C402/SUM(v_valor)</f>
        <v>0.877742402283721</v>
      </c>
      <c r="E402" s="50" t="n">
        <f aca="false">A402/1000</f>
        <v>0.401</v>
      </c>
    </row>
    <row r="403" customFormat="false" ht="15" hidden="false" customHeight="false" outlineLevel="0" collapsed="false">
      <c r="A403" s="48" t="n">
        <v>402</v>
      </c>
      <c r="B403" s="46" t="n">
        <f aca="false">LARGE(v_valor,A403)</f>
        <v>70.37</v>
      </c>
      <c r="C403" s="46" t="n">
        <f aca="false">C402+B403</f>
        <v>96046.56</v>
      </c>
      <c r="D403" s="50" t="n">
        <f aca="false">C403/SUM(v_valor)</f>
        <v>0.878385965367947</v>
      </c>
      <c r="E403" s="50" t="n">
        <f aca="false">A403/1000</f>
        <v>0.402</v>
      </c>
    </row>
    <row r="404" customFormat="false" ht="15" hidden="false" customHeight="false" outlineLevel="0" collapsed="false">
      <c r="A404" s="48" t="n">
        <v>403</v>
      </c>
      <c r="B404" s="46" t="n">
        <f aca="false">LARGE(v_valor,A404)</f>
        <v>70.36</v>
      </c>
      <c r="C404" s="46" t="n">
        <f aca="false">C403+B404</f>
        <v>96116.92</v>
      </c>
      <c r="D404" s="50" t="n">
        <f aca="false">C404/SUM(v_valor)</f>
        <v>0.879029436997991</v>
      </c>
      <c r="E404" s="50" t="n">
        <f aca="false">A404/1000</f>
        <v>0.403</v>
      </c>
    </row>
    <row r="405" customFormat="false" ht="15" hidden="false" customHeight="false" outlineLevel="0" collapsed="false">
      <c r="A405" s="48" t="n">
        <v>404</v>
      </c>
      <c r="B405" s="46" t="n">
        <f aca="false">LARGE(v_valor,A405)</f>
        <v>70.35</v>
      </c>
      <c r="C405" s="46" t="n">
        <f aca="false">C404+B405</f>
        <v>96187.27</v>
      </c>
      <c r="D405" s="50" t="n">
        <f aca="false">C405/SUM(v_valor)</f>
        <v>0.879672817173852</v>
      </c>
      <c r="E405" s="50" t="n">
        <f aca="false">A405/1000</f>
        <v>0.404</v>
      </c>
    </row>
    <row r="406" customFormat="false" ht="15" hidden="false" customHeight="false" outlineLevel="0" collapsed="false">
      <c r="A406" s="48" t="n">
        <v>405</v>
      </c>
      <c r="B406" s="46" t="n">
        <f aca="false">LARGE(v_valor,A406)</f>
        <v>69.18</v>
      </c>
      <c r="C406" s="46" t="n">
        <f aca="false">C405+B406</f>
        <v>96256.45</v>
      </c>
      <c r="D406" s="50" t="n">
        <f aca="false">C406/SUM(v_valor)</f>
        <v>0.880305497210328</v>
      </c>
      <c r="E406" s="50" t="n">
        <f aca="false">A406/1000</f>
        <v>0.405</v>
      </c>
    </row>
    <row r="407" customFormat="false" ht="15" hidden="false" customHeight="false" outlineLevel="0" collapsed="false">
      <c r="A407" s="48" t="n">
        <v>406</v>
      </c>
      <c r="B407" s="46" t="n">
        <f aca="false">LARGE(v_valor,A407)</f>
        <v>68.77</v>
      </c>
      <c r="C407" s="46" t="n">
        <f aca="false">C406+B407</f>
        <v>96325.22</v>
      </c>
      <c r="D407" s="50" t="n">
        <f aca="false">C407/SUM(v_valor)</f>
        <v>0.880934427625309</v>
      </c>
      <c r="E407" s="50" t="n">
        <f aca="false">A407/1000</f>
        <v>0.406</v>
      </c>
    </row>
    <row r="408" customFormat="false" ht="15" hidden="false" customHeight="false" outlineLevel="0" collapsed="false">
      <c r="A408" s="48" t="n">
        <v>407</v>
      </c>
      <c r="B408" s="46" t="n">
        <f aca="false">LARGE(v_valor,A408)</f>
        <v>68.75</v>
      </c>
      <c r="C408" s="46" t="n">
        <f aca="false">C407+B408</f>
        <v>96393.97</v>
      </c>
      <c r="D408" s="50" t="n">
        <f aca="false">C408/SUM(v_valor)</f>
        <v>0.881563175131925</v>
      </c>
      <c r="E408" s="50" t="n">
        <f aca="false">A408/1000</f>
        <v>0.407</v>
      </c>
    </row>
    <row r="409" customFormat="false" ht="15" hidden="false" customHeight="false" outlineLevel="0" collapsed="false">
      <c r="A409" s="48" t="n">
        <v>408</v>
      </c>
      <c r="B409" s="46" t="n">
        <f aca="false">LARGE(v_valor,A409)</f>
        <v>68.58</v>
      </c>
      <c r="C409" s="46" t="n">
        <f aca="false">C408+B409</f>
        <v>96462.55</v>
      </c>
      <c r="D409" s="50" t="n">
        <f aca="false">C409/SUM(v_valor)</f>
        <v>0.882190367917434</v>
      </c>
      <c r="E409" s="50" t="n">
        <f aca="false">A409/1000</f>
        <v>0.408</v>
      </c>
    </row>
    <row r="410" customFormat="false" ht="15" hidden="false" customHeight="false" outlineLevel="0" collapsed="false">
      <c r="A410" s="48" t="n">
        <v>409</v>
      </c>
      <c r="B410" s="46" t="n">
        <f aca="false">LARGE(v_valor,A410)</f>
        <v>67.62</v>
      </c>
      <c r="C410" s="46" t="n">
        <f aca="false">C409+B410</f>
        <v>96530.17</v>
      </c>
      <c r="D410" s="50" t="n">
        <f aca="false">C410/SUM(v_valor)</f>
        <v>0.882808781101396</v>
      </c>
      <c r="E410" s="50" t="n">
        <f aca="false">A410/1000</f>
        <v>0.409</v>
      </c>
    </row>
    <row r="411" customFormat="false" ht="15" hidden="false" customHeight="false" outlineLevel="0" collapsed="false">
      <c r="A411" s="48" t="n">
        <v>410</v>
      </c>
      <c r="B411" s="46" t="n">
        <f aca="false">LARGE(v_valor,A411)</f>
        <v>67.18</v>
      </c>
      <c r="C411" s="46" t="n">
        <f aca="false">C410+B411</f>
        <v>96597.35</v>
      </c>
      <c r="D411" s="50" t="n">
        <f aca="false">C411/SUM(v_valor)</f>
        <v>0.883423170301315</v>
      </c>
      <c r="E411" s="50" t="n">
        <f aca="false">A411/1000</f>
        <v>0.41</v>
      </c>
    </row>
    <row r="412" customFormat="false" ht="15" hidden="false" customHeight="false" outlineLevel="0" collapsed="false">
      <c r="A412" s="48" t="n">
        <v>411</v>
      </c>
      <c r="B412" s="46" t="n">
        <f aca="false">LARGE(v_valor,A412)</f>
        <v>66.81</v>
      </c>
      <c r="C412" s="46" t="n">
        <f aca="false">C411+B412</f>
        <v>96664.16</v>
      </c>
      <c r="D412" s="50" t="n">
        <f aca="false">C412/SUM(v_valor)</f>
        <v>0.884034175696472</v>
      </c>
      <c r="E412" s="50" t="n">
        <f aca="false">A412/1000</f>
        <v>0.411</v>
      </c>
    </row>
    <row r="413" customFormat="false" ht="15" hidden="false" customHeight="false" outlineLevel="0" collapsed="false">
      <c r="A413" s="48" t="n">
        <v>412</v>
      </c>
      <c r="B413" s="46" t="n">
        <f aca="false">LARGE(v_valor,A413)</f>
        <v>66.61</v>
      </c>
      <c r="C413" s="46" t="n">
        <f aca="false">C412+B413</f>
        <v>96730.77</v>
      </c>
      <c r="D413" s="50" t="n">
        <f aca="false">C413/SUM(v_valor)</f>
        <v>0.884643352007973</v>
      </c>
      <c r="E413" s="50" t="n">
        <f aca="false">A413/1000</f>
        <v>0.412</v>
      </c>
    </row>
    <row r="414" customFormat="false" ht="15" hidden="false" customHeight="false" outlineLevel="0" collapsed="false">
      <c r="A414" s="48" t="n">
        <v>413</v>
      </c>
      <c r="B414" s="46" t="n">
        <f aca="false">LARGE(v_valor,A414)</f>
        <v>66.22</v>
      </c>
      <c r="C414" s="46" t="n">
        <f aca="false">C413+B414</f>
        <v>96796.99</v>
      </c>
      <c r="D414" s="50" t="n">
        <f aca="false">C414/SUM(v_valor)</f>
        <v>0.885248961606345</v>
      </c>
      <c r="E414" s="50" t="n">
        <f aca="false">A414/1000</f>
        <v>0.413</v>
      </c>
    </row>
    <row r="415" customFormat="false" ht="15" hidden="false" customHeight="false" outlineLevel="0" collapsed="false">
      <c r="A415" s="48" t="n">
        <v>414</v>
      </c>
      <c r="B415" s="46" t="n">
        <f aca="false">LARGE(v_valor,A415)</f>
        <v>65.81</v>
      </c>
      <c r="C415" s="46" t="n">
        <f aca="false">C414+B415</f>
        <v>96862.8</v>
      </c>
      <c r="D415" s="50" t="n">
        <f aca="false">C415/SUM(v_valor)</f>
        <v>0.885850821583224</v>
      </c>
      <c r="E415" s="50" t="n">
        <f aca="false">A415/1000</f>
        <v>0.414</v>
      </c>
    </row>
    <row r="416" customFormat="false" ht="15" hidden="false" customHeight="false" outlineLevel="0" collapsed="false">
      <c r="A416" s="48" t="n">
        <v>415</v>
      </c>
      <c r="B416" s="46" t="n">
        <f aca="false">LARGE(v_valor,A416)</f>
        <v>65.75</v>
      </c>
      <c r="C416" s="46" t="n">
        <f aca="false">C415+B416</f>
        <v>96928.55</v>
      </c>
      <c r="D416" s="50" t="n">
        <f aca="false">C416/SUM(v_valor)</f>
        <v>0.886452132835006</v>
      </c>
      <c r="E416" s="50" t="n">
        <f aca="false">A416/1000</f>
        <v>0.415</v>
      </c>
    </row>
    <row r="417" customFormat="false" ht="15" hidden="false" customHeight="false" outlineLevel="0" collapsed="false">
      <c r="A417" s="48" t="n">
        <v>416</v>
      </c>
      <c r="B417" s="46" t="n">
        <f aca="false">LARGE(v_valor,A417)</f>
        <v>65.59</v>
      </c>
      <c r="C417" s="46" t="n">
        <f aca="false">C416+B417</f>
        <v>96994.14</v>
      </c>
      <c r="D417" s="50" t="n">
        <f aca="false">C417/SUM(v_valor)</f>
        <v>0.887051980819863</v>
      </c>
      <c r="E417" s="50" t="n">
        <f aca="false">A417/1000</f>
        <v>0.416</v>
      </c>
    </row>
    <row r="418" customFormat="false" ht="15" hidden="false" customHeight="false" outlineLevel="0" collapsed="false">
      <c r="A418" s="48" t="n">
        <v>417</v>
      </c>
      <c r="B418" s="46" t="n">
        <f aca="false">LARGE(v_valor,A418)</f>
        <v>65.46</v>
      </c>
      <c r="C418" s="46" t="n">
        <f aca="false">C417+B418</f>
        <v>97059.6</v>
      </c>
      <c r="D418" s="50" t="n">
        <f aca="false">C418/SUM(v_valor)</f>
        <v>0.887650639900344</v>
      </c>
      <c r="E418" s="50" t="n">
        <f aca="false">A418/1000</f>
        <v>0.417</v>
      </c>
    </row>
    <row r="419" customFormat="false" ht="15" hidden="false" customHeight="false" outlineLevel="0" collapsed="false">
      <c r="A419" s="48" t="n">
        <v>418</v>
      </c>
      <c r="B419" s="46" t="n">
        <f aca="false">LARGE(v_valor,A419)</f>
        <v>65.37</v>
      </c>
      <c r="C419" s="46" t="n">
        <f aca="false">C418+B419</f>
        <v>97124.97</v>
      </c>
      <c r="D419" s="50" t="n">
        <f aca="false">C419/SUM(v_valor)</f>
        <v>0.888248475893181</v>
      </c>
      <c r="E419" s="50" t="n">
        <f aca="false">A419/1000</f>
        <v>0.418</v>
      </c>
    </row>
    <row r="420" customFormat="false" ht="15" hidden="false" customHeight="false" outlineLevel="0" collapsed="false">
      <c r="A420" s="48" t="n">
        <v>419</v>
      </c>
      <c r="B420" s="46" t="n">
        <f aca="false">LARGE(v_valor,A420)</f>
        <v>65.35</v>
      </c>
      <c r="C420" s="46" t="n">
        <f aca="false">C419+B420</f>
        <v>97190.32</v>
      </c>
      <c r="D420" s="50" t="n">
        <f aca="false">C420/SUM(v_valor)</f>
        <v>0.888846128977651</v>
      </c>
      <c r="E420" s="50" t="n">
        <f aca="false">A420/1000</f>
        <v>0.419</v>
      </c>
    </row>
    <row r="421" customFormat="false" ht="15" hidden="false" customHeight="false" outlineLevel="0" collapsed="false">
      <c r="A421" s="48" t="n">
        <v>420</v>
      </c>
      <c r="B421" s="46" t="n">
        <f aca="false">LARGE(v_valor,A421)</f>
        <v>63.57</v>
      </c>
      <c r="C421" s="46" t="n">
        <f aca="false">C420+B421</f>
        <v>97253.89</v>
      </c>
      <c r="D421" s="50" t="n">
        <f aca="false">C421/SUM(v_valor)</f>
        <v>0.889427503217587</v>
      </c>
      <c r="E421" s="50" t="n">
        <f aca="false">A421/1000</f>
        <v>0.42</v>
      </c>
    </row>
    <row r="422" customFormat="false" ht="15" hidden="false" customHeight="false" outlineLevel="0" collapsed="false">
      <c r="A422" s="48" t="n">
        <v>421</v>
      </c>
      <c r="B422" s="46" t="n">
        <f aca="false">LARGE(v_valor,A422)</f>
        <v>63.38</v>
      </c>
      <c r="C422" s="46" t="n">
        <f aca="false">C421+B422</f>
        <v>97317.27</v>
      </c>
      <c r="D422" s="50" t="n">
        <f aca="false">C422/SUM(v_valor)</f>
        <v>0.89000713982805</v>
      </c>
      <c r="E422" s="50" t="n">
        <f aca="false">A422/1000</f>
        <v>0.421</v>
      </c>
    </row>
    <row r="423" customFormat="false" ht="15" hidden="false" customHeight="false" outlineLevel="0" collapsed="false">
      <c r="A423" s="48" t="n">
        <v>422</v>
      </c>
      <c r="B423" s="46" t="n">
        <f aca="false">LARGE(v_valor,A423)</f>
        <v>63.27</v>
      </c>
      <c r="C423" s="46" t="n">
        <f aca="false">C422+B423</f>
        <v>97380.54</v>
      </c>
      <c r="D423" s="50" t="n">
        <f aca="false">C423/SUM(v_valor)</f>
        <v>0.890585770442502</v>
      </c>
      <c r="E423" s="50" t="n">
        <f aca="false">A423/1000</f>
        <v>0.422</v>
      </c>
    </row>
    <row r="424" customFormat="false" ht="15" hidden="false" customHeight="false" outlineLevel="0" collapsed="false">
      <c r="A424" s="48" t="n">
        <v>423</v>
      </c>
      <c r="B424" s="46" t="n">
        <f aca="false">LARGE(v_valor,A424)</f>
        <v>62.81</v>
      </c>
      <c r="C424" s="46" t="n">
        <f aca="false">C423+B424</f>
        <v>97443.35</v>
      </c>
      <c r="D424" s="50" t="n">
        <f aca="false">C424/SUM(v_valor)</f>
        <v>0.891160194164547</v>
      </c>
      <c r="E424" s="50" t="n">
        <f aca="false">A424/1000</f>
        <v>0.423</v>
      </c>
    </row>
    <row r="425" customFormat="false" ht="15" hidden="false" customHeight="false" outlineLevel="0" collapsed="false">
      <c r="A425" s="48" t="n">
        <v>424</v>
      </c>
      <c r="B425" s="46" t="n">
        <f aca="false">LARGE(v_valor,A425)</f>
        <v>62.81</v>
      </c>
      <c r="C425" s="46" t="n">
        <f aca="false">C424+B425</f>
        <v>97506.16</v>
      </c>
      <c r="D425" s="50" t="n">
        <f aca="false">C425/SUM(v_valor)</f>
        <v>0.891734617886591</v>
      </c>
      <c r="E425" s="50" t="n">
        <f aca="false">A425/1000</f>
        <v>0.424</v>
      </c>
    </row>
    <row r="426" customFormat="false" ht="15" hidden="false" customHeight="false" outlineLevel="0" collapsed="false">
      <c r="A426" s="48" t="n">
        <v>425</v>
      </c>
      <c r="B426" s="46" t="n">
        <f aca="false">LARGE(v_valor,A426)</f>
        <v>62.78</v>
      </c>
      <c r="C426" s="46" t="n">
        <f aca="false">C425+B426</f>
        <v>97568.94</v>
      </c>
      <c r="D426" s="50" t="n">
        <f aca="false">C426/SUM(v_valor)</f>
        <v>0.892308767246087</v>
      </c>
      <c r="E426" s="50" t="n">
        <f aca="false">A426/1000</f>
        <v>0.425</v>
      </c>
    </row>
    <row r="427" customFormat="false" ht="15" hidden="false" customHeight="false" outlineLevel="0" collapsed="false">
      <c r="A427" s="48" t="n">
        <v>426</v>
      </c>
      <c r="B427" s="46" t="n">
        <f aca="false">LARGE(v_valor,A427)</f>
        <v>62.67</v>
      </c>
      <c r="C427" s="46" t="n">
        <f aca="false">C426+B427</f>
        <v>97631.61</v>
      </c>
      <c r="D427" s="50" t="n">
        <f aca="false">C427/SUM(v_valor)</f>
        <v>0.892881910609573</v>
      </c>
      <c r="E427" s="50" t="n">
        <f aca="false">A427/1000</f>
        <v>0.426</v>
      </c>
    </row>
    <row r="428" customFormat="false" ht="15" hidden="false" customHeight="false" outlineLevel="0" collapsed="false">
      <c r="A428" s="48" t="n">
        <v>427</v>
      </c>
      <c r="B428" s="46" t="n">
        <f aca="false">LARGE(v_valor,A428)</f>
        <v>62.54</v>
      </c>
      <c r="C428" s="46" t="n">
        <f aca="false">C427+B428</f>
        <v>97694.15</v>
      </c>
      <c r="D428" s="50" t="n">
        <f aca="false">C428/SUM(v_valor)</f>
        <v>0.893453865068682</v>
      </c>
      <c r="E428" s="50" t="n">
        <f aca="false">A428/1000</f>
        <v>0.427</v>
      </c>
    </row>
    <row r="429" customFormat="false" ht="15" hidden="false" customHeight="false" outlineLevel="0" collapsed="false">
      <c r="A429" s="48" t="n">
        <v>428</v>
      </c>
      <c r="B429" s="46" t="n">
        <f aca="false">LARGE(v_valor,A429)</f>
        <v>62.15</v>
      </c>
      <c r="C429" s="46" t="n">
        <f aca="false">C428+B429</f>
        <v>97756.3</v>
      </c>
      <c r="D429" s="50" t="n">
        <f aca="false">C429/SUM(v_valor)</f>
        <v>0.894022252814663</v>
      </c>
      <c r="E429" s="50" t="n">
        <f aca="false">A429/1000</f>
        <v>0.428</v>
      </c>
    </row>
    <row r="430" customFormat="false" ht="15" hidden="false" customHeight="false" outlineLevel="0" collapsed="false">
      <c r="A430" s="48" t="n">
        <v>429</v>
      </c>
      <c r="B430" s="46" t="n">
        <f aca="false">LARGE(v_valor,A430)</f>
        <v>62.02</v>
      </c>
      <c r="C430" s="46" t="n">
        <f aca="false">C429+B430</f>
        <v>97818.32</v>
      </c>
      <c r="D430" s="50" t="n">
        <f aca="false">C430/SUM(v_valor)</f>
        <v>0.894589451656268</v>
      </c>
      <c r="E430" s="50" t="n">
        <f aca="false">A430/1000</f>
        <v>0.429</v>
      </c>
    </row>
    <row r="431" customFormat="false" ht="15" hidden="false" customHeight="false" outlineLevel="0" collapsed="false">
      <c r="A431" s="48" t="n">
        <v>430</v>
      </c>
      <c r="B431" s="46" t="n">
        <f aca="false">LARGE(v_valor,A431)</f>
        <v>61.98</v>
      </c>
      <c r="C431" s="46" t="n">
        <f aca="false">C430+B431</f>
        <v>97880.3</v>
      </c>
      <c r="D431" s="50" t="n">
        <f aca="false">C431/SUM(v_valor)</f>
        <v>0.895156284681141</v>
      </c>
      <c r="E431" s="50" t="n">
        <f aca="false">A431/1000</f>
        <v>0.43</v>
      </c>
    </row>
    <row r="432" customFormat="false" ht="15" hidden="false" customHeight="false" outlineLevel="0" collapsed="false">
      <c r="A432" s="48" t="n">
        <v>431</v>
      </c>
      <c r="B432" s="46" t="n">
        <f aca="false">LARGE(v_valor,A432)</f>
        <v>61.18</v>
      </c>
      <c r="C432" s="46" t="n">
        <f aca="false">C431+B432</f>
        <v>97941.48</v>
      </c>
      <c r="D432" s="50" t="n">
        <f aca="false">C432/SUM(v_valor)</f>
        <v>0.895715801371392</v>
      </c>
      <c r="E432" s="50" t="n">
        <f aca="false">A432/1000</f>
        <v>0.431</v>
      </c>
    </row>
    <row r="433" customFormat="false" ht="15" hidden="false" customHeight="false" outlineLevel="0" collapsed="false">
      <c r="A433" s="48" t="n">
        <v>432</v>
      </c>
      <c r="B433" s="46" t="n">
        <f aca="false">LARGE(v_valor,A433)</f>
        <v>61.12</v>
      </c>
      <c r="C433" s="46" t="n">
        <f aca="false">C432+B433</f>
        <v>98002.6</v>
      </c>
      <c r="D433" s="50" t="n">
        <f aca="false">C433/SUM(v_valor)</f>
        <v>0.896274769336547</v>
      </c>
      <c r="E433" s="50" t="n">
        <f aca="false">A433/1000</f>
        <v>0.432</v>
      </c>
    </row>
    <row r="434" customFormat="false" ht="15" hidden="false" customHeight="false" outlineLevel="0" collapsed="false">
      <c r="A434" s="48" t="n">
        <v>433</v>
      </c>
      <c r="B434" s="46" t="n">
        <f aca="false">LARGE(v_valor,A434)</f>
        <v>60.82</v>
      </c>
      <c r="C434" s="46" t="n">
        <f aca="false">C433+B434</f>
        <v>98063.42</v>
      </c>
      <c r="D434" s="50" t="n">
        <f aca="false">C434/SUM(v_valor)</f>
        <v>0.896830993676218</v>
      </c>
      <c r="E434" s="50" t="n">
        <f aca="false">A434/1000</f>
        <v>0.433</v>
      </c>
    </row>
    <row r="435" customFormat="false" ht="15" hidden="false" customHeight="false" outlineLevel="0" collapsed="false">
      <c r="A435" s="48" t="n">
        <v>434</v>
      </c>
      <c r="B435" s="46" t="n">
        <f aca="false">LARGE(v_valor,A435)</f>
        <v>60.71</v>
      </c>
      <c r="C435" s="46" t="n">
        <f aca="false">C434+B435</f>
        <v>98124.13</v>
      </c>
      <c r="D435" s="50" t="n">
        <f aca="false">C435/SUM(v_valor)</f>
        <v>0.897386212019878</v>
      </c>
      <c r="E435" s="50" t="n">
        <f aca="false">A435/1000</f>
        <v>0.434</v>
      </c>
    </row>
    <row r="436" customFormat="false" ht="15" hidden="false" customHeight="false" outlineLevel="0" collapsed="false">
      <c r="A436" s="48" t="n">
        <v>435</v>
      </c>
      <c r="B436" s="46" t="n">
        <f aca="false">LARGE(v_valor,A436)</f>
        <v>60.2</v>
      </c>
      <c r="C436" s="46" t="n">
        <f aca="false">C435+B436</f>
        <v>98184.33</v>
      </c>
      <c r="D436" s="50" t="n">
        <f aca="false">C436/SUM(v_valor)</f>
        <v>0.897936766200217</v>
      </c>
      <c r="E436" s="50" t="n">
        <f aca="false">A436/1000</f>
        <v>0.435</v>
      </c>
    </row>
    <row r="437" customFormat="false" ht="15" hidden="false" customHeight="false" outlineLevel="0" collapsed="false">
      <c r="A437" s="48" t="n">
        <v>436</v>
      </c>
      <c r="B437" s="46" t="n">
        <f aca="false">LARGE(v_valor,A437)</f>
        <v>59.1</v>
      </c>
      <c r="C437" s="46" t="n">
        <f aca="false">C436+B437</f>
        <v>98243.43</v>
      </c>
      <c r="D437" s="50" t="n">
        <f aca="false">C437/SUM(v_valor)</f>
        <v>0.89847726042045</v>
      </c>
      <c r="E437" s="50" t="n">
        <f aca="false">A437/1000</f>
        <v>0.436</v>
      </c>
    </row>
    <row r="438" customFormat="false" ht="15" hidden="false" customHeight="false" outlineLevel="0" collapsed="false">
      <c r="A438" s="48" t="n">
        <v>437</v>
      </c>
      <c r="B438" s="46" t="n">
        <f aca="false">LARGE(v_valor,A438)</f>
        <v>58.93</v>
      </c>
      <c r="C438" s="46" t="n">
        <f aca="false">C437+B438</f>
        <v>98302.36</v>
      </c>
      <c r="D438" s="50" t="n">
        <f aca="false">C438/SUM(v_valor)</f>
        <v>0.899016199919575</v>
      </c>
      <c r="E438" s="50" t="n">
        <f aca="false">A438/1000</f>
        <v>0.437</v>
      </c>
    </row>
    <row r="439" customFormat="false" ht="15" hidden="false" customHeight="false" outlineLevel="0" collapsed="false">
      <c r="A439" s="48" t="n">
        <v>438</v>
      </c>
      <c r="B439" s="46" t="n">
        <f aca="false">LARGE(v_valor,A439)</f>
        <v>58.79</v>
      </c>
      <c r="C439" s="46" t="n">
        <f aca="false">C438+B439</f>
        <v>98361.15</v>
      </c>
      <c r="D439" s="50" t="n">
        <f aca="false">C439/SUM(v_valor)</f>
        <v>0.899553859060142</v>
      </c>
      <c r="E439" s="50" t="n">
        <f aca="false">A439/1000</f>
        <v>0.438</v>
      </c>
    </row>
    <row r="440" customFormat="false" ht="15" hidden="false" customHeight="false" outlineLevel="0" collapsed="false">
      <c r="A440" s="48" t="n">
        <v>439</v>
      </c>
      <c r="B440" s="46" t="n">
        <f aca="false">LARGE(v_valor,A440)</f>
        <v>58.75</v>
      </c>
      <c r="C440" s="46" t="n">
        <f aca="false">C439+B440</f>
        <v>98419.9</v>
      </c>
      <c r="D440" s="50" t="n">
        <f aca="false">C440/SUM(v_valor)</f>
        <v>0.900091152383977</v>
      </c>
      <c r="E440" s="50" t="n">
        <f aca="false">A440/1000</f>
        <v>0.439</v>
      </c>
    </row>
    <row r="441" customFormat="false" ht="15" hidden="false" customHeight="false" outlineLevel="0" collapsed="false">
      <c r="A441" s="48" t="n">
        <v>440</v>
      </c>
      <c r="B441" s="46" t="n">
        <f aca="false">LARGE(v_valor,A441)</f>
        <v>58.63</v>
      </c>
      <c r="C441" s="46" t="n">
        <f aca="false">C440+B441</f>
        <v>98478.53</v>
      </c>
      <c r="D441" s="50" t="n">
        <f aca="false">C441/SUM(v_valor)</f>
        <v>0.90062734825762</v>
      </c>
      <c r="E441" s="50" t="n">
        <f aca="false">A441/1000</f>
        <v>0.44</v>
      </c>
    </row>
    <row r="442" customFormat="false" ht="15" hidden="false" customHeight="false" outlineLevel="0" collapsed="false">
      <c r="A442" s="48" t="n">
        <v>441</v>
      </c>
      <c r="B442" s="46" t="n">
        <f aca="false">LARGE(v_valor,A442)</f>
        <v>58.06</v>
      </c>
      <c r="C442" s="46" t="n">
        <f aca="false">C441+B442</f>
        <v>98536.59</v>
      </c>
      <c r="D442" s="50" t="n">
        <f aca="false">C442/SUM(v_valor)</f>
        <v>0.901158331242843</v>
      </c>
      <c r="E442" s="50" t="n">
        <f aca="false">A442/1000</f>
        <v>0.441</v>
      </c>
    </row>
    <row r="443" customFormat="false" ht="15" hidden="false" customHeight="false" outlineLevel="0" collapsed="false">
      <c r="A443" s="48" t="n">
        <v>442</v>
      </c>
      <c r="B443" s="46" t="n">
        <f aca="false">LARGE(v_valor,A443)</f>
        <v>57.98</v>
      </c>
      <c r="C443" s="46" t="n">
        <f aca="false">C442+B443</f>
        <v>98594.57</v>
      </c>
      <c r="D443" s="50" t="n">
        <f aca="false">C443/SUM(v_valor)</f>
        <v>0.901688582594605</v>
      </c>
      <c r="E443" s="50" t="n">
        <f aca="false">A443/1000</f>
        <v>0.442</v>
      </c>
    </row>
    <row r="444" customFormat="false" ht="15" hidden="false" customHeight="false" outlineLevel="0" collapsed="false">
      <c r="A444" s="48" t="n">
        <v>443</v>
      </c>
      <c r="B444" s="46" t="n">
        <f aca="false">LARGE(v_valor,A444)</f>
        <v>57.84</v>
      </c>
      <c r="C444" s="46" t="n">
        <f aca="false">C443+B444</f>
        <v>98652.41</v>
      </c>
      <c r="D444" s="50" t="n">
        <f aca="false">C444/SUM(v_valor)</f>
        <v>0.902217553587807</v>
      </c>
      <c r="E444" s="50" t="n">
        <f aca="false">A444/1000</f>
        <v>0.443</v>
      </c>
    </row>
    <row r="445" customFormat="false" ht="15" hidden="false" customHeight="false" outlineLevel="0" collapsed="false">
      <c r="A445" s="48" t="n">
        <v>444</v>
      </c>
      <c r="B445" s="46" t="n">
        <f aca="false">LARGE(v_valor,A445)</f>
        <v>57.48</v>
      </c>
      <c r="C445" s="46" t="n">
        <f aca="false">C444+B445</f>
        <v>98709.89</v>
      </c>
      <c r="D445" s="50" t="n">
        <f aca="false">C445/SUM(v_valor)</f>
        <v>0.902743232230429</v>
      </c>
      <c r="E445" s="50" t="n">
        <f aca="false">A445/1000</f>
        <v>0.444</v>
      </c>
    </row>
    <row r="446" customFormat="false" ht="15" hidden="false" customHeight="false" outlineLevel="0" collapsed="false">
      <c r="A446" s="48" t="n">
        <v>445</v>
      </c>
      <c r="B446" s="46" t="n">
        <f aca="false">LARGE(v_valor,A446)</f>
        <v>57.31</v>
      </c>
      <c r="C446" s="46" t="n">
        <f aca="false">C445+B446</f>
        <v>98767.2</v>
      </c>
      <c r="D446" s="50" t="n">
        <f aca="false">C446/SUM(v_valor)</f>
        <v>0.903267356151945</v>
      </c>
      <c r="E446" s="50" t="n">
        <f aca="false">A446/1000</f>
        <v>0.445</v>
      </c>
    </row>
    <row r="447" customFormat="false" ht="15" hidden="false" customHeight="false" outlineLevel="0" collapsed="false">
      <c r="A447" s="48" t="n">
        <v>446</v>
      </c>
      <c r="B447" s="46" t="n">
        <f aca="false">LARGE(v_valor,A447)</f>
        <v>56.99</v>
      </c>
      <c r="C447" s="46" t="n">
        <f aca="false">C446+B447</f>
        <v>98824.19</v>
      </c>
      <c r="D447" s="50" t="n">
        <f aca="false">C447/SUM(v_valor)</f>
        <v>0.903788553539611</v>
      </c>
      <c r="E447" s="50" t="n">
        <f aca="false">A447/1000</f>
        <v>0.446</v>
      </c>
    </row>
    <row r="448" customFormat="false" ht="15" hidden="false" customHeight="false" outlineLevel="0" collapsed="false">
      <c r="A448" s="48" t="n">
        <v>447</v>
      </c>
      <c r="B448" s="46" t="n">
        <f aca="false">LARGE(v_valor,A448)</f>
        <v>55.69</v>
      </c>
      <c r="C448" s="46" t="n">
        <f aca="false">C447+B448</f>
        <v>98879.88</v>
      </c>
      <c r="D448" s="50" t="n">
        <f aca="false">C448/SUM(v_valor)</f>
        <v>0.904297861883516</v>
      </c>
      <c r="E448" s="50" t="n">
        <f aca="false">A448/1000</f>
        <v>0.447</v>
      </c>
    </row>
    <row r="449" customFormat="false" ht="15" hidden="false" customHeight="false" outlineLevel="0" collapsed="false">
      <c r="A449" s="48" t="n">
        <v>448</v>
      </c>
      <c r="B449" s="46" t="n">
        <f aca="false">LARGE(v_valor,A449)</f>
        <v>55.64</v>
      </c>
      <c r="C449" s="46" t="n">
        <f aca="false">C448+B449</f>
        <v>98935.52</v>
      </c>
      <c r="D449" s="50" t="n">
        <f aca="false">C449/SUM(v_valor)</f>
        <v>0.904806712956506</v>
      </c>
      <c r="E449" s="50" t="n">
        <f aca="false">A449/1000</f>
        <v>0.448</v>
      </c>
    </row>
    <row r="450" customFormat="false" ht="15" hidden="false" customHeight="false" outlineLevel="0" collapsed="false">
      <c r="A450" s="48" t="n">
        <v>449</v>
      </c>
      <c r="B450" s="46" t="n">
        <f aca="false">LARGE(v_valor,A450)</f>
        <v>55.37</v>
      </c>
      <c r="C450" s="46" t="n">
        <f aca="false">C449+B450</f>
        <v>98990.89</v>
      </c>
      <c r="D450" s="50" t="n">
        <f aca="false">C450/SUM(v_valor)</f>
        <v>0.905313094766562</v>
      </c>
      <c r="E450" s="50" t="n">
        <f aca="false">A450/1000</f>
        <v>0.449</v>
      </c>
    </row>
    <row r="451" customFormat="false" ht="15" hidden="false" customHeight="false" outlineLevel="0" collapsed="false">
      <c r="A451" s="48" t="n">
        <v>450</v>
      </c>
      <c r="B451" s="46" t="n">
        <f aca="false">LARGE(v_valor,A451)</f>
        <v>55.13</v>
      </c>
      <c r="C451" s="46" t="n">
        <f aca="false">C450+B451</f>
        <v>99046.02</v>
      </c>
      <c r="D451" s="50" t="n">
        <f aca="false">C451/SUM(v_valor)</f>
        <v>0.905817281676231</v>
      </c>
      <c r="E451" s="50" t="n">
        <f aca="false">A451/1000</f>
        <v>0.45</v>
      </c>
    </row>
    <row r="452" customFormat="false" ht="15" hidden="false" customHeight="false" outlineLevel="0" collapsed="false">
      <c r="A452" s="48" t="n">
        <v>451</v>
      </c>
      <c r="B452" s="46" t="n">
        <f aca="false">LARGE(v_valor,A452)</f>
        <v>53.74</v>
      </c>
      <c r="C452" s="46" t="n">
        <f aca="false">C451+B452</f>
        <v>99099.76</v>
      </c>
      <c r="D452" s="50" t="n">
        <f aca="false">C452/SUM(v_valor)</f>
        <v>0.906308756454493</v>
      </c>
      <c r="E452" s="50" t="n">
        <f aca="false">A452/1000</f>
        <v>0.451</v>
      </c>
    </row>
    <row r="453" customFormat="false" ht="15" hidden="false" customHeight="false" outlineLevel="0" collapsed="false">
      <c r="A453" s="48" t="n">
        <v>452</v>
      </c>
      <c r="B453" s="46" t="n">
        <f aca="false">LARGE(v_valor,A453)</f>
        <v>53.64</v>
      </c>
      <c r="C453" s="46" t="n">
        <f aca="false">C452+B453</f>
        <v>99153.4</v>
      </c>
      <c r="D453" s="50" t="n">
        <f aca="false">C453/SUM(v_valor)</f>
        <v>0.906799316690928</v>
      </c>
      <c r="E453" s="50" t="n">
        <f aca="false">A453/1000</f>
        <v>0.452</v>
      </c>
    </row>
    <row r="454" customFormat="false" ht="15" hidden="false" customHeight="false" outlineLevel="0" collapsed="false">
      <c r="A454" s="48" t="n">
        <v>453</v>
      </c>
      <c r="B454" s="46" t="n">
        <f aca="false">LARGE(v_valor,A454)</f>
        <v>53.54</v>
      </c>
      <c r="C454" s="46" t="n">
        <f aca="false">C453+B454</f>
        <v>99206.94</v>
      </c>
      <c r="D454" s="50" t="n">
        <f aca="false">C454/SUM(v_valor)</f>
        <v>0.907288962385535</v>
      </c>
      <c r="E454" s="50" t="n">
        <f aca="false">A454/1000</f>
        <v>0.453</v>
      </c>
    </row>
    <row r="455" customFormat="false" ht="15" hidden="false" customHeight="false" outlineLevel="0" collapsed="false">
      <c r="A455" s="48" t="n">
        <v>454</v>
      </c>
      <c r="B455" s="46" t="n">
        <f aca="false">LARGE(v_valor,A455)</f>
        <v>53.48</v>
      </c>
      <c r="C455" s="46" t="n">
        <f aca="false">C454+B455</f>
        <v>99260.42</v>
      </c>
      <c r="D455" s="50" t="n">
        <f aca="false">C455/SUM(v_valor)</f>
        <v>0.907778059355045</v>
      </c>
      <c r="E455" s="50" t="n">
        <f aca="false">A455/1000</f>
        <v>0.454</v>
      </c>
    </row>
    <row r="456" customFormat="false" ht="15" hidden="false" customHeight="false" outlineLevel="0" collapsed="false">
      <c r="A456" s="48" t="n">
        <v>455</v>
      </c>
      <c r="B456" s="46" t="n">
        <f aca="false">LARGE(v_valor,A456)</f>
        <v>52.74</v>
      </c>
      <c r="C456" s="46" t="n">
        <f aca="false">C455+B456</f>
        <v>99313.16</v>
      </c>
      <c r="D456" s="50" t="n">
        <f aca="false">C456/SUM(v_valor)</f>
        <v>0.90826038871503</v>
      </c>
      <c r="E456" s="50" t="n">
        <f aca="false">A456/1000</f>
        <v>0.455</v>
      </c>
    </row>
    <row r="457" customFormat="false" ht="15" hidden="false" customHeight="false" outlineLevel="0" collapsed="false">
      <c r="A457" s="48" t="n">
        <v>456</v>
      </c>
      <c r="B457" s="46" t="n">
        <f aca="false">LARGE(v_valor,A457)</f>
        <v>52.21</v>
      </c>
      <c r="C457" s="46" t="n">
        <f aca="false">C456+B457</f>
        <v>99365.37</v>
      </c>
      <c r="D457" s="50" t="n">
        <f aca="false">C457/SUM(v_valor)</f>
        <v>0.908737871003327</v>
      </c>
      <c r="E457" s="50" t="n">
        <f aca="false">A457/1000</f>
        <v>0.456</v>
      </c>
    </row>
    <row r="458" customFormat="false" ht="15" hidden="false" customHeight="false" outlineLevel="0" collapsed="false">
      <c r="A458" s="48" t="n">
        <v>457</v>
      </c>
      <c r="B458" s="46" t="n">
        <f aca="false">LARGE(v_valor,A458)</f>
        <v>51.99</v>
      </c>
      <c r="C458" s="46" t="n">
        <f aca="false">C457+B458</f>
        <v>99417.36</v>
      </c>
      <c r="D458" s="50" t="n">
        <f aca="false">C458/SUM(v_valor)</f>
        <v>0.909213341299603</v>
      </c>
      <c r="E458" s="50" t="n">
        <f aca="false">A458/1000</f>
        <v>0.457</v>
      </c>
    </row>
    <row r="459" customFormat="false" ht="15" hidden="false" customHeight="false" outlineLevel="0" collapsed="false">
      <c r="A459" s="48" t="n">
        <v>458</v>
      </c>
      <c r="B459" s="46" t="n">
        <f aca="false">LARGE(v_valor,A459)</f>
        <v>51.29</v>
      </c>
      <c r="C459" s="46" t="n">
        <f aca="false">C458+B459</f>
        <v>99468.65</v>
      </c>
      <c r="D459" s="50" t="n">
        <f aca="false">C459/SUM(v_valor)</f>
        <v>0.909682409803084</v>
      </c>
      <c r="E459" s="50" t="n">
        <f aca="false">A459/1000</f>
        <v>0.458</v>
      </c>
    </row>
    <row r="460" customFormat="false" ht="15" hidden="false" customHeight="false" outlineLevel="0" collapsed="false">
      <c r="A460" s="48" t="n">
        <v>459</v>
      </c>
      <c r="B460" s="46" t="n">
        <f aca="false">LARGE(v_valor,A460)</f>
        <v>51.26</v>
      </c>
      <c r="C460" s="46" t="n">
        <f aca="false">C459+B460</f>
        <v>99519.91</v>
      </c>
      <c r="D460" s="50" t="n">
        <f aca="false">C460/SUM(v_valor)</f>
        <v>0.910151203944017</v>
      </c>
      <c r="E460" s="50" t="n">
        <f aca="false">A460/1000</f>
        <v>0.459</v>
      </c>
    </row>
    <row r="461" customFormat="false" ht="15" hidden="false" customHeight="false" outlineLevel="0" collapsed="false">
      <c r="A461" s="48" t="n">
        <v>460</v>
      </c>
      <c r="B461" s="46" t="n">
        <f aca="false">LARGE(v_valor,A461)</f>
        <v>51.04</v>
      </c>
      <c r="C461" s="46" t="n">
        <f aca="false">C460+B461</f>
        <v>99570.95</v>
      </c>
      <c r="D461" s="50" t="n">
        <f aca="false">C461/SUM(v_valor)</f>
        <v>0.910617986092928</v>
      </c>
      <c r="E461" s="50" t="n">
        <f aca="false">A461/1000</f>
        <v>0.46</v>
      </c>
    </row>
    <row r="462" customFormat="false" ht="15" hidden="false" customHeight="false" outlineLevel="0" collapsed="false">
      <c r="A462" s="48" t="n">
        <v>461</v>
      </c>
      <c r="B462" s="46" t="n">
        <f aca="false">LARGE(v_valor,A462)</f>
        <v>50.95</v>
      </c>
      <c r="C462" s="46" t="n">
        <f aca="false">C461+B462</f>
        <v>99621.9</v>
      </c>
      <c r="D462" s="50" t="n">
        <f aca="false">C462/SUM(v_valor)</f>
        <v>0.911083945154195</v>
      </c>
      <c r="E462" s="50" t="n">
        <f aca="false">A462/1000</f>
        <v>0.461</v>
      </c>
    </row>
    <row r="463" customFormat="false" ht="15" hidden="false" customHeight="false" outlineLevel="0" collapsed="false">
      <c r="A463" s="48" t="n">
        <v>462</v>
      </c>
      <c r="B463" s="46" t="n">
        <f aca="false">LARGE(v_valor,A463)</f>
        <v>50.63</v>
      </c>
      <c r="C463" s="46" t="n">
        <f aca="false">C462+B463</f>
        <v>99672.53</v>
      </c>
      <c r="D463" s="50" t="n">
        <f aca="false">C463/SUM(v_valor)</f>
        <v>0.911546977681613</v>
      </c>
      <c r="E463" s="50" t="n">
        <f aca="false">A463/1000</f>
        <v>0.462</v>
      </c>
    </row>
    <row r="464" customFormat="false" ht="15" hidden="false" customHeight="false" outlineLevel="0" collapsed="false">
      <c r="A464" s="48" t="n">
        <v>463</v>
      </c>
      <c r="B464" s="46" t="n">
        <f aca="false">LARGE(v_valor,A464)</f>
        <v>50.55</v>
      </c>
      <c r="C464" s="46" t="n">
        <f aca="false">C463+B464</f>
        <v>99723.08</v>
      </c>
      <c r="D464" s="50" t="n">
        <f aca="false">C464/SUM(v_valor)</f>
        <v>0.912009278575568</v>
      </c>
      <c r="E464" s="50" t="n">
        <f aca="false">A464/1000</f>
        <v>0.463</v>
      </c>
    </row>
    <row r="465" customFormat="false" ht="15" hidden="false" customHeight="false" outlineLevel="0" collapsed="false">
      <c r="A465" s="48" t="n">
        <v>464</v>
      </c>
      <c r="B465" s="46" t="n">
        <f aca="false">LARGE(v_valor,A465)</f>
        <v>49.77</v>
      </c>
      <c r="C465" s="46" t="n">
        <f aca="false">C464+B465</f>
        <v>99772.85</v>
      </c>
      <c r="D465" s="50" t="n">
        <f aca="false">C465/SUM(v_valor)</f>
        <v>0.912464446043267</v>
      </c>
      <c r="E465" s="50" t="n">
        <f aca="false">A465/1000</f>
        <v>0.464</v>
      </c>
    </row>
    <row r="466" customFormat="false" ht="15" hidden="false" customHeight="false" outlineLevel="0" collapsed="false">
      <c r="A466" s="48" t="n">
        <v>465</v>
      </c>
      <c r="B466" s="46" t="n">
        <f aca="false">LARGE(v_valor,A466)</f>
        <v>49.18</v>
      </c>
      <c r="C466" s="46" t="n">
        <f aca="false">C465+B466</f>
        <v>99822.03</v>
      </c>
      <c r="D466" s="50" t="n">
        <f aca="false">C466/SUM(v_valor)</f>
        <v>0.912914217714181</v>
      </c>
      <c r="E466" s="50" t="n">
        <f aca="false">A466/1000</f>
        <v>0.465</v>
      </c>
    </row>
    <row r="467" customFormat="false" ht="15" hidden="false" customHeight="false" outlineLevel="0" collapsed="false">
      <c r="A467" s="48" t="n">
        <v>466</v>
      </c>
      <c r="B467" s="46" t="n">
        <f aca="false">LARGE(v_valor,A467)</f>
        <v>48.75</v>
      </c>
      <c r="C467" s="46" t="n">
        <f aca="false">C466+B467</f>
        <v>99870.78</v>
      </c>
      <c r="D467" s="50" t="n">
        <f aca="false">C467/SUM(v_valor)</f>
        <v>0.913360056855236</v>
      </c>
      <c r="E467" s="50" t="n">
        <f aca="false">A467/1000</f>
        <v>0.466</v>
      </c>
    </row>
    <row r="468" customFormat="false" ht="15" hidden="false" customHeight="false" outlineLevel="0" collapsed="false">
      <c r="A468" s="48" t="n">
        <v>467</v>
      </c>
      <c r="B468" s="46" t="n">
        <f aca="false">LARGE(v_valor,A468)</f>
        <v>48.57</v>
      </c>
      <c r="C468" s="46" t="n">
        <f aca="false">C467+B468</f>
        <v>99919.35</v>
      </c>
      <c r="D468" s="50" t="n">
        <f aca="false">C468/SUM(v_valor)</f>
        <v>0.913804249821001</v>
      </c>
      <c r="E468" s="50" t="n">
        <f aca="false">A468/1000</f>
        <v>0.467</v>
      </c>
    </row>
    <row r="469" customFormat="false" ht="15" hidden="false" customHeight="false" outlineLevel="0" collapsed="false">
      <c r="A469" s="48" t="n">
        <v>468</v>
      </c>
      <c r="B469" s="46" t="n">
        <f aca="false">LARGE(v_valor,A469)</f>
        <v>48.47</v>
      </c>
      <c r="C469" s="46" t="n">
        <f aca="false">C468+B469</f>
        <v>99967.82</v>
      </c>
      <c r="D469" s="50" t="n">
        <f aca="false">C469/SUM(v_valor)</f>
        <v>0.914247528244939</v>
      </c>
      <c r="E469" s="50" t="n">
        <f aca="false">A469/1000</f>
        <v>0.468</v>
      </c>
    </row>
    <row r="470" customFormat="false" ht="15" hidden="false" customHeight="false" outlineLevel="0" collapsed="false">
      <c r="A470" s="48" t="n">
        <v>469</v>
      </c>
      <c r="B470" s="46" t="n">
        <f aca="false">LARGE(v_valor,A470)</f>
        <v>48.34</v>
      </c>
      <c r="C470" s="46" t="n">
        <f aca="false">C469+B470</f>
        <v>100016.16</v>
      </c>
      <c r="D470" s="50" t="n">
        <f aca="false">C470/SUM(v_valor)</f>
        <v>0.9146896177645</v>
      </c>
      <c r="E470" s="50" t="n">
        <f aca="false">A470/1000</f>
        <v>0.469</v>
      </c>
    </row>
    <row r="471" customFormat="false" ht="15" hidden="false" customHeight="false" outlineLevel="0" collapsed="false">
      <c r="A471" s="48" t="n">
        <v>470</v>
      </c>
      <c r="B471" s="46" t="n">
        <f aca="false">LARGE(v_valor,A471)</f>
        <v>48.12</v>
      </c>
      <c r="C471" s="46" t="n">
        <f aca="false">C470+B471</f>
        <v>100064.28</v>
      </c>
      <c r="D471" s="50" t="n">
        <f aca="false">C471/SUM(v_valor)</f>
        <v>0.915129695292039</v>
      </c>
      <c r="E471" s="50" t="n">
        <f aca="false">A471/1000</f>
        <v>0.47</v>
      </c>
    </row>
    <row r="472" customFormat="false" ht="15" hidden="false" customHeight="false" outlineLevel="0" collapsed="false">
      <c r="A472" s="48" t="n">
        <v>471</v>
      </c>
      <c r="B472" s="46" t="n">
        <f aca="false">LARGE(v_valor,A472)</f>
        <v>47.82</v>
      </c>
      <c r="C472" s="46" t="n">
        <f aca="false">C471+B472</f>
        <v>100112.1</v>
      </c>
      <c r="D472" s="50" t="n">
        <f aca="false">C472/SUM(v_valor)</f>
        <v>0.915567029194096</v>
      </c>
      <c r="E472" s="50" t="n">
        <f aca="false">A472/1000</f>
        <v>0.471</v>
      </c>
    </row>
    <row r="473" customFormat="false" ht="15" hidden="false" customHeight="false" outlineLevel="0" collapsed="false">
      <c r="A473" s="48" t="n">
        <v>472</v>
      </c>
      <c r="B473" s="46" t="n">
        <f aca="false">LARGE(v_valor,A473)</f>
        <v>47.69</v>
      </c>
      <c r="C473" s="46" t="n">
        <f aca="false">C472+B473</f>
        <v>100159.79</v>
      </c>
      <c r="D473" s="50" t="n">
        <f aca="false">C473/SUM(v_valor)</f>
        <v>0.916003174191776</v>
      </c>
      <c r="E473" s="50" t="n">
        <f aca="false">A473/1000</f>
        <v>0.472</v>
      </c>
    </row>
    <row r="474" customFormat="false" ht="15" hidden="false" customHeight="false" outlineLevel="0" collapsed="false">
      <c r="A474" s="48" t="n">
        <v>473</v>
      </c>
      <c r="B474" s="46" t="n">
        <f aca="false">LARGE(v_valor,A474)</f>
        <v>47.69</v>
      </c>
      <c r="C474" s="46" t="n">
        <f aca="false">C473+B474</f>
        <v>100207.48</v>
      </c>
      <c r="D474" s="50" t="n">
        <f aca="false">C474/SUM(v_valor)</f>
        <v>0.916439319189456</v>
      </c>
      <c r="E474" s="50" t="n">
        <f aca="false">A474/1000</f>
        <v>0.473</v>
      </c>
    </row>
    <row r="475" customFormat="false" ht="15" hidden="false" customHeight="false" outlineLevel="0" collapsed="false">
      <c r="A475" s="48" t="n">
        <v>474</v>
      </c>
      <c r="B475" s="46" t="n">
        <f aca="false">LARGE(v_valor,A475)</f>
        <v>47.36</v>
      </c>
      <c r="C475" s="46" t="n">
        <f aca="false">C474+B475</f>
        <v>100254.84</v>
      </c>
      <c r="D475" s="50" t="n">
        <f aca="false">C475/SUM(v_valor)</f>
        <v>0.916872446199105</v>
      </c>
      <c r="E475" s="50" t="n">
        <f aca="false">A475/1000</f>
        <v>0.474</v>
      </c>
    </row>
    <row r="476" customFormat="false" ht="15" hidden="false" customHeight="false" outlineLevel="0" collapsed="false">
      <c r="A476" s="48" t="n">
        <v>475</v>
      </c>
      <c r="B476" s="46" t="n">
        <f aca="false">LARGE(v_valor,A476)</f>
        <v>47.33</v>
      </c>
      <c r="C476" s="46" t="n">
        <f aca="false">C475+B476</f>
        <v>100302.17</v>
      </c>
      <c r="D476" s="50" t="n">
        <f aca="false">C476/SUM(v_valor)</f>
        <v>0.917305298846205</v>
      </c>
      <c r="E476" s="50" t="n">
        <f aca="false">A476/1000</f>
        <v>0.475</v>
      </c>
    </row>
    <row r="477" customFormat="false" ht="15" hidden="false" customHeight="false" outlineLevel="0" collapsed="false">
      <c r="A477" s="48" t="n">
        <v>476</v>
      </c>
      <c r="B477" s="46" t="n">
        <f aca="false">LARGE(v_valor,A477)</f>
        <v>46.65</v>
      </c>
      <c r="C477" s="46" t="n">
        <f aca="false">C476+B477</f>
        <v>100348.82</v>
      </c>
      <c r="D477" s="50" t="n">
        <f aca="false">C477/SUM(v_valor)</f>
        <v>0.917731932608876</v>
      </c>
      <c r="E477" s="50" t="n">
        <f aca="false">A477/1000</f>
        <v>0.476</v>
      </c>
    </row>
    <row r="478" customFormat="false" ht="15" hidden="false" customHeight="false" outlineLevel="0" collapsed="false">
      <c r="A478" s="48" t="n">
        <v>477</v>
      </c>
      <c r="B478" s="46" t="n">
        <f aca="false">LARGE(v_valor,A478)</f>
        <v>46.6</v>
      </c>
      <c r="C478" s="46" t="n">
        <f aca="false">C477+B478</f>
        <v>100395.42</v>
      </c>
      <c r="D478" s="50" t="n">
        <f aca="false">C478/SUM(v_valor)</f>
        <v>0.918158109100633</v>
      </c>
      <c r="E478" s="50" t="n">
        <f aca="false">A478/1000</f>
        <v>0.477</v>
      </c>
    </row>
    <row r="479" customFormat="false" ht="15" hidden="false" customHeight="false" outlineLevel="0" collapsed="false">
      <c r="A479" s="48" t="n">
        <v>478</v>
      </c>
      <c r="B479" s="46" t="n">
        <f aca="false">LARGE(v_valor,A479)</f>
        <v>46.31</v>
      </c>
      <c r="C479" s="46" t="n">
        <f aca="false">C478+B479</f>
        <v>100441.73</v>
      </c>
      <c r="D479" s="50" t="n">
        <f aca="false">C479/SUM(v_valor)</f>
        <v>0.91858163342109</v>
      </c>
      <c r="E479" s="50" t="n">
        <f aca="false">A479/1000</f>
        <v>0.478</v>
      </c>
    </row>
    <row r="480" customFormat="false" ht="15" hidden="false" customHeight="false" outlineLevel="0" collapsed="false">
      <c r="A480" s="48" t="n">
        <v>479</v>
      </c>
      <c r="B480" s="46" t="n">
        <f aca="false">LARGE(v_valor,A480)</f>
        <v>46.27</v>
      </c>
      <c r="C480" s="46" t="n">
        <f aca="false">C479+B480</f>
        <v>100488</v>
      </c>
      <c r="D480" s="50" t="n">
        <f aca="false">C480/SUM(v_valor)</f>
        <v>0.919004791924815</v>
      </c>
      <c r="E480" s="50" t="n">
        <f aca="false">A480/1000</f>
        <v>0.479</v>
      </c>
    </row>
    <row r="481" customFormat="false" ht="15" hidden="false" customHeight="false" outlineLevel="0" collapsed="false">
      <c r="A481" s="48" t="n">
        <v>480</v>
      </c>
      <c r="B481" s="46" t="n">
        <f aca="false">LARGE(v_valor,A481)</f>
        <v>46.16</v>
      </c>
      <c r="C481" s="46" t="n">
        <f aca="false">C480+B481</f>
        <v>100534.16</v>
      </c>
      <c r="D481" s="50" t="n">
        <f aca="false">C481/SUM(v_valor)</f>
        <v>0.91942694443253</v>
      </c>
      <c r="E481" s="50" t="n">
        <f aca="false">A481/1000</f>
        <v>0.48</v>
      </c>
    </row>
    <row r="482" customFormat="false" ht="15" hidden="false" customHeight="false" outlineLevel="0" collapsed="false">
      <c r="A482" s="48" t="n">
        <v>481</v>
      </c>
      <c r="B482" s="46" t="n">
        <f aca="false">LARGE(v_valor,A482)</f>
        <v>46.01</v>
      </c>
      <c r="C482" s="46" t="n">
        <f aca="false">C481+B482</f>
        <v>100580.17</v>
      </c>
      <c r="D482" s="50" t="n">
        <f aca="false">C482/SUM(v_valor)</f>
        <v>0.919847725127503</v>
      </c>
      <c r="E482" s="50" t="n">
        <f aca="false">A482/1000</f>
        <v>0.481</v>
      </c>
    </row>
    <row r="483" customFormat="false" ht="15" hidden="false" customHeight="false" outlineLevel="0" collapsed="false">
      <c r="A483" s="48" t="n">
        <v>482</v>
      </c>
      <c r="B483" s="46" t="n">
        <f aca="false">LARGE(v_valor,A483)</f>
        <v>45.82</v>
      </c>
      <c r="C483" s="46" t="n">
        <f aca="false">C482+B483</f>
        <v>100625.99</v>
      </c>
      <c r="D483" s="50" t="n">
        <f aca="false">C483/SUM(v_valor)</f>
        <v>0.920266768193004</v>
      </c>
      <c r="E483" s="50" t="n">
        <f aca="false">A483/1000</f>
        <v>0.482</v>
      </c>
    </row>
    <row r="484" customFormat="false" ht="15" hidden="false" customHeight="false" outlineLevel="0" collapsed="false">
      <c r="A484" s="48" t="n">
        <v>483</v>
      </c>
      <c r="B484" s="46" t="n">
        <f aca="false">LARGE(v_valor,A484)</f>
        <v>45.78</v>
      </c>
      <c r="C484" s="46" t="n">
        <f aca="false">C483+B484</f>
        <v>100671.77</v>
      </c>
      <c r="D484" s="50" t="n">
        <f aca="false">C484/SUM(v_valor)</f>
        <v>0.920685445441773</v>
      </c>
      <c r="E484" s="50" t="n">
        <f aca="false">A484/1000</f>
        <v>0.483</v>
      </c>
    </row>
    <row r="485" customFormat="false" ht="15" hidden="false" customHeight="false" outlineLevel="0" collapsed="false">
      <c r="A485" s="48" t="n">
        <v>484</v>
      </c>
      <c r="B485" s="46" t="n">
        <f aca="false">LARGE(v_valor,A485)</f>
        <v>45.62</v>
      </c>
      <c r="C485" s="46" t="n">
        <f aca="false">C484+B485</f>
        <v>100717.39</v>
      </c>
      <c r="D485" s="50" t="n">
        <f aca="false">C485/SUM(v_valor)</f>
        <v>0.921102659423618</v>
      </c>
      <c r="E485" s="50" t="n">
        <f aca="false">A485/1000</f>
        <v>0.484</v>
      </c>
    </row>
    <row r="486" customFormat="false" ht="15" hidden="false" customHeight="false" outlineLevel="0" collapsed="false">
      <c r="A486" s="48" t="n">
        <v>485</v>
      </c>
      <c r="B486" s="46" t="n">
        <f aca="false">LARGE(v_valor,A486)</f>
        <v>45.52</v>
      </c>
      <c r="C486" s="46" t="n">
        <f aca="false">C485+B486</f>
        <v>100762.91</v>
      </c>
      <c r="D486" s="50" t="n">
        <f aca="false">C486/SUM(v_valor)</f>
        <v>0.921518958863634</v>
      </c>
      <c r="E486" s="50" t="n">
        <f aca="false">A486/1000</f>
        <v>0.485</v>
      </c>
    </row>
    <row r="487" customFormat="false" ht="15" hidden="false" customHeight="false" outlineLevel="0" collapsed="false">
      <c r="A487" s="48" t="n">
        <v>486</v>
      </c>
      <c r="B487" s="46" t="n">
        <f aca="false">LARGE(v_valor,A487)</f>
        <v>45.39</v>
      </c>
      <c r="C487" s="46" t="n">
        <f aca="false">C486+B487</f>
        <v>100808.3</v>
      </c>
      <c r="D487" s="50" t="n">
        <f aca="false">C487/SUM(v_valor)</f>
        <v>0.921934069399275</v>
      </c>
      <c r="E487" s="50" t="n">
        <f aca="false">A487/1000</f>
        <v>0.486</v>
      </c>
    </row>
    <row r="488" customFormat="false" ht="15" hidden="false" customHeight="false" outlineLevel="0" collapsed="false">
      <c r="A488" s="48" t="n">
        <v>487</v>
      </c>
      <c r="B488" s="46" t="n">
        <f aca="false">LARGE(v_valor,A488)</f>
        <v>45.24</v>
      </c>
      <c r="C488" s="46" t="n">
        <f aca="false">C487+B488</f>
        <v>100853.54</v>
      </c>
      <c r="D488" s="50" t="n">
        <f aca="false">C488/SUM(v_valor)</f>
        <v>0.922347808122174</v>
      </c>
      <c r="E488" s="50" t="n">
        <f aca="false">A488/1000</f>
        <v>0.487</v>
      </c>
    </row>
    <row r="489" customFormat="false" ht="15" hidden="false" customHeight="false" outlineLevel="0" collapsed="false">
      <c r="A489" s="48" t="n">
        <v>488</v>
      </c>
      <c r="B489" s="46" t="n">
        <f aca="false">LARGE(v_valor,A489)</f>
        <v>45.23</v>
      </c>
      <c r="C489" s="46" t="n">
        <f aca="false">C488+B489</f>
        <v>100898.77</v>
      </c>
      <c r="D489" s="50" t="n">
        <f aca="false">C489/SUM(v_valor)</f>
        <v>0.922761455390891</v>
      </c>
      <c r="E489" s="50" t="n">
        <f aca="false">A489/1000</f>
        <v>0.488</v>
      </c>
    </row>
    <row r="490" customFormat="false" ht="15" hidden="false" customHeight="false" outlineLevel="0" collapsed="false">
      <c r="A490" s="48" t="n">
        <v>489</v>
      </c>
      <c r="B490" s="46" t="n">
        <f aca="false">LARGE(v_valor,A490)</f>
        <v>45.18</v>
      </c>
      <c r="C490" s="46" t="n">
        <f aca="false">C489+B490</f>
        <v>100943.95</v>
      </c>
      <c r="D490" s="50" t="n">
        <f aca="false">C490/SUM(v_valor)</f>
        <v>0.923174645388693</v>
      </c>
      <c r="E490" s="50" t="n">
        <f aca="false">A490/1000</f>
        <v>0.489</v>
      </c>
    </row>
    <row r="491" customFormat="false" ht="15" hidden="false" customHeight="false" outlineLevel="0" collapsed="false">
      <c r="A491" s="48" t="n">
        <v>490</v>
      </c>
      <c r="B491" s="46" t="n">
        <f aca="false">LARGE(v_valor,A491)</f>
        <v>45.08</v>
      </c>
      <c r="C491" s="46" t="n">
        <f aca="false">C490+B491</f>
        <v>100989.03</v>
      </c>
      <c r="D491" s="50" t="n">
        <f aca="false">C491/SUM(v_valor)</f>
        <v>0.923586920844667</v>
      </c>
      <c r="E491" s="50" t="n">
        <f aca="false">A491/1000</f>
        <v>0.49</v>
      </c>
    </row>
    <row r="492" customFormat="false" ht="15" hidden="false" customHeight="false" outlineLevel="0" collapsed="false">
      <c r="A492" s="48" t="n">
        <v>491</v>
      </c>
      <c r="B492" s="46" t="n">
        <f aca="false">LARGE(v_valor,A492)</f>
        <v>44.89</v>
      </c>
      <c r="C492" s="46" t="n">
        <f aca="false">C491+B492</f>
        <v>101033.92</v>
      </c>
      <c r="D492" s="50" t="n">
        <f aca="false">C492/SUM(v_valor)</f>
        <v>0.923997458671169</v>
      </c>
      <c r="E492" s="50" t="n">
        <f aca="false">A492/1000</f>
        <v>0.491</v>
      </c>
    </row>
    <row r="493" customFormat="false" ht="15" hidden="false" customHeight="false" outlineLevel="0" collapsed="false">
      <c r="A493" s="48" t="n">
        <v>492</v>
      </c>
      <c r="B493" s="46" t="n">
        <f aca="false">LARGE(v_valor,A493)</f>
        <v>44.33</v>
      </c>
      <c r="C493" s="46" t="n">
        <f aca="false">C492+B493</f>
        <v>101078.25</v>
      </c>
      <c r="D493" s="50" t="n">
        <f aca="false">C493/SUM(v_valor)</f>
        <v>0.924402875063435</v>
      </c>
      <c r="E493" s="50" t="n">
        <f aca="false">A493/1000</f>
        <v>0.492</v>
      </c>
    </row>
    <row r="494" customFormat="false" ht="15" hidden="false" customHeight="false" outlineLevel="0" collapsed="false">
      <c r="A494" s="48" t="n">
        <v>493</v>
      </c>
      <c r="B494" s="46" t="n">
        <f aca="false">LARGE(v_valor,A494)</f>
        <v>43.44</v>
      </c>
      <c r="C494" s="46" t="n">
        <f aca="false">C493+B494</f>
        <v>101121.69</v>
      </c>
      <c r="D494" s="50" t="n">
        <f aca="false">C494/SUM(v_valor)</f>
        <v>0.924800152033434</v>
      </c>
      <c r="E494" s="50" t="n">
        <f aca="false">A494/1000</f>
        <v>0.493</v>
      </c>
    </row>
    <row r="495" customFormat="false" ht="15" hidden="false" customHeight="false" outlineLevel="0" collapsed="false">
      <c r="A495" s="48" t="n">
        <v>494</v>
      </c>
      <c r="B495" s="46" t="n">
        <f aca="false">LARGE(v_valor,A495)</f>
        <v>42.98</v>
      </c>
      <c r="C495" s="46" t="n">
        <f aca="false">C494+B495</f>
        <v>101164.67</v>
      </c>
      <c r="D495" s="50" t="n">
        <f aca="false">C495/SUM(v_valor)</f>
        <v>0.925193222111024</v>
      </c>
      <c r="E495" s="50" t="n">
        <f aca="false">A495/1000</f>
        <v>0.494</v>
      </c>
    </row>
    <row r="496" customFormat="false" ht="15" hidden="false" customHeight="false" outlineLevel="0" collapsed="false">
      <c r="A496" s="48" t="n">
        <v>495</v>
      </c>
      <c r="B496" s="46" t="n">
        <f aca="false">LARGE(v_valor,A496)</f>
        <v>42.49</v>
      </c>
      <c r="C496" s="46" t="n">
        <f aca="false">C495+B496</f>
        <v>101207.16</v>
      </c>
      <c r="D496" s="50" t="n">
        <f aca="false">C496/SUM(v_valor)</f>
        <v>0.925581810933659</v>
      </c>
      <c r="E496" s="50" t="n">
        <f aca="false">A496/1000</f>
        <v>0.495</v>
      </c>
    </row>
    <row r="497" customFormat="false" ht="15" hidden="false" customHeight="false" outlineLevel="0" collapsed="false">
      <c r="A497" s="48" t="n">
        <v>496</v>
      </c>
      <c r="B497" s="46" t="n">
        <f aca="false">LARGE(v_valor,A497)</f>
        <v>42.41</v>
      </c>
      <c r="C497" s="46" t="n">
        <f aca="false">C496+B497</f>
        <v>101249.57</v>
      </c>
      <c r="D497" s="50" t="n">
        <f aca="false">C497/SUM(v_valor)</f>
        <v>0.925969668122831</v>
      </c>
      <c r="E497" s="50" t="n">
        <f aca="false">A497/1000</f>
        <v>0.496</v>
      </c>
    </row>
    <row r="498" customFormat="false" ht="15" hidden="false" customHeight="false" outlineLevel="0" collapsed="false">
      <c r="A498" s="48" t="n">
        <v>497</v>
      </c>
      <c r="B498" s="46" t="n">
        <f aca="false">LARGE(v_valor,A498)</f>
        <v>42.35</v>
      </c>
      <c r="C498" s="46" t="n">
        <f aca="false">C497+B498</f>
        <v>101291.92</v>
      </c>
      <c r="D498" s="50" t="n">
        <f aca="false">C498/SUM(v_valor)</f>
        <v>0.926356976586906</v>
      </c>
      <c r="E498" s="50" t="n">
        <f aca="false">A498/1000</f>
        <v>0.497</v>
      </c>
    </row>
    <row r="499" customFormat="false" ht="15" hidden="false" customHeight="false" outlineLevel="0" collapsed="false">
      <c r="A499" s="48" t="n">
        <v>498</v>
      </c>
      <c r="B499" s="46" t="n">
        <f aca="false">LARGE(v_valor,A499)</f>
        <v>42.34</v>
      </c>
      <c r="C499" s="46" t="n">
        <f aca="false">C498+B499</f>
        <v>101334.26</v>
      </c>
      <c r="D499" s="50" t="n">
        <f aca="false">C499/SUM(v_valor)</f>
        <v>0.926744193596799</v>
      </c>
      <c r="E499" s="50" t="n">
        <f aca="false">A499/1000</f>
        <v>0.498</v>
      </c>
    </row>
    <row r="500" customFormat="false" ht="15" hidden="false" customHeight="false" outlineLevel="0" collapsed="false">
      <c r="A500" s="48" t="n">
        <v>499</v>
      </c>
      <c r="B500" s="46" t="n">
        <f aca="false">LARGE(v_valor,A500)</f>
        <v>41.93</v>
      </c>
      <c r="C500" s="46" t="n">
        <f aca="false">C499+B500</f>
        <v>101376.19</v>
      </c>
      <c r="D500" s="50" t="n">
        <f aca="false">C500/SUM(v_valor)</f>
        <v>0.927127660985198</v>
      </c>
      <c r="E500" s="50" t="n">
        <f aca="false">A500/1000</f>
        <v>0.499</v>
      </c>
    </row>
    <row r="501" customFormat="false" ht="15" hidden="false" customHeight="false" outlineLevel="0" collapsed="false">
      <c r="A501" s="48" t="n">
        <v>500</v>
      </c>
      <c r="B501" s="46" t="n">
        <f aca="false">LARGE(v_valor,A501)</f>
        <v>41.7</v>
      </c>
      <c r="C501" s="46" t="n">
        <f aca="false">C500+B501</f>
        <v>101417.89</v>
      </c>
      <c r="D501" s="50" t="n">
        <f aca="false">C501/SUM(v_valor)</f>
        <v>0.927509024927392</v>
      </c>
      <c r="E501" s="50" t="n">
        <f aca="false">A501/1000</f>
        <v>0.5</v>
      </c>
    </row>
    <row r="502" customFormat="false" ht="15" hidden="false" customHeight="false" outlineLevel="0" collapsed="false">
      <c r="A502" s="48" t="n">
        <v>501</v>
      </c>
      <c r="B502" s="46" t="n">
        <f aca="false">LARGE(v_valor,A502)</f>
        <v>41.53</v>
      </c>
      <c r="C502" s="46" t="n">
        <f aca="false">C501+B502</f>
        <v>101459.42</v>
      </c>
      <c r="D502" s="50" t="n">
        <f aca="false">C502/SUM(v_valor)</f>
        <v>0.92788883414848</v>
      </c>
      <c r="E502" s="50" t="n">
        <f aca="false">A502/1000</f>
        <v>0.501</v>
      </c>
    </row>
    <row r="503" customFormat="false" ht="15" hidden="false" customHeight="false" outlineLevel="0" collapsed="false">
      <c r="A503" s="48" t="n">
        <v>502</v>
      </c>
      <c r="B503" s="46" t="n">
        <f aca="false">LARGE(v_valor,A503)</f>
        <v>41.34</v>
      </c>
      <c r="C503" s="46" t="n">
        <f aca="false">C502+B503</f>
        <v>101500.76</v>
      </c>
      <c r="D503" s="50" t="n">
        <f aca="false">C503/SUM(v_valor)</f>
        <v>0.928266905740095</v>
      </c>
      <c r="E503" s="50" t="n">
        <f aca="false">A503/1000</f>
        <v>0.502</v>
      </c>
    </row>
    <row r="504" customFormat="false" ht="15" hidden="false" customHeight="false" outlineLevel="0" collapsed="false">
      <c r="A504" s="48" t="n">
        <v>503</v>
      </c>
      <c r="B504" s="46" t="n">
        <f aca="false">LARGE(v_valor,A504)</f>
        <v>41.34</v>
      </c>
      <c r="C504" s="46" t="n">
        <f aca="false">C503+B504</f>
        <v>101542.1</v>
      </c>
      <c r="D504" s="50" t="n">
        <f aca="false">C504/SUM(v_valor)</f>
        <v>0.928644977331709</v>
      </c>
      <c r="E504" s="50" t="n">
        <f aca="false">A504/1000</f>
        <v>0.503</v>
      </c>
    </row>
    <row r="505" customFormat="false" ht="15" hidden="false" customHeight="false" outlineLevel="0" collapsed="false">
      <c r="A505" s="48" t="n">
        <v>504</v>
      </c>
      <c r="B505" s="46" t="n">
        <f aca="false">LARGE(v_valor,A505)</f>
        <v>41.32</v>
      </c>
      <c r="C505" s="46" t="n">
        <f aca="false">C504+B505</f>
        <v>101583.42</v>
      </c>
      <c r="D505" s="50" t="n">
        <f aca="false">C505/SUM(v_valor)</f>
        <v>0.929022866014958</v>
      </c>
      <c r="E505" s="50" t="n">
        <f aca="false">A505/1000</f>
        <v>0.504</v>
      </c>
    </row>
    <row r="506" customFormat="false" ht="15" hidden="false" customHeight="false" outlineLevel="0" collapsed="false">
      <c r="A506" s="48" t="n">
        <v>505</v>
      </c>
      <c r="B506" s="46" t="n">
        <f aca="false">LARGE(v_valor,A506)</f>
        <v>41.14</v>
      </c>
      <c r="C506" s="46" t="n">
        <f aca="false">C505+B506</f>
        <v>101624.56</v>
      </c>
      <c r="D506" s="50" t="n">
        <f aca="false">C506/SUM(v_valor)</f>
        <v>0.929399108522917</v>
      </c>
      <c r="E506" s="50" t="n">
        <f aca="false">A506/1000</f>
        <v>0.505</v>
      </c>
    </row>
    <row r="507" customFormat="false" ht="15" hidden="false" customHeight="false" outlineLevel="0" collapsed="false">
      <c r="A507" s="48" t="n">
        <v>506</v>
      </c>
      <c r="B507" s="46" t="n">
        <f aca="false">LARGE(v_valor,A507)</f>
        <v>40.98</v>
      </c>
      <c r="C507" s="46" t="n">
        <f aca="false">C506+B507</f>
        <v>101665.54</v>
      </c>
      <c r="D507" s="50" t="n">
        <f aca="false">C507/SUM(v_valor)</f>
        <v>0.929773887763952</v>
      </c>
      <c r="E507" s="50" t="n">
        <f aca="false">A507/1000</f>
        <v>0.506</v>
      </c>
    </row>
    <row r="508" customFormat="false" ht="15" hidden="false" customHeight="false" outlineLevel="0" collapsed="false">
      <c r="A508" s="48" t="n">
        <v>507</v>
      </c>
      <c r="B508" s="46" t="n">
        <f aca="false">LARGE(v_valor,A508)</f>
        <v>40.74</v>
      </c>
      <c r="C508" s="46" t="n">
        <f aca="false">C507+B508</f>
        <v>101706.28</v>
      </c>
      <c r="D508" s="50" t="n">
        <f aca="false">C508/SUM(v_valor)</f>
        <v>0.9301464721046</v>
      </c>
      <c r="E508" s="50" t="n">
        <f aca="false">A508/1000</f>
        <v>0.507</v>
      </c>
    </row>
    <row r="509" customFormat="false" ht="15" hidden="false" customHeight="false" outlineLevel="0" collapsed="false">
      <c r="A509" s="48" t="n">
        <v>508</v>
      </c>
      <c r="B509" s="46" t="n">
        <f aca="false">LARGE(v_valor,A509)</f>
        <v>40.73</v>
      </c>
      <c r="C509" s="46" t="n">
        <f aca="false">C508+B509</f>
        <v>101747.01</v>
      </c>
      <c r="D509" s="50" t="n">
        <f aca="false">C509/SUM(v_valor)</f>
        <v>0.930518964991065</v>
      </c>
      <c r="E509" s="50" t="n">
        <f aca="false">A509/1000</f>
        <v>0.508</v>
      </c>
    </row>
    <row r="510" customFormat="false" ht="15" hidden="false" customHeight="false" outlineLevel="0" collapsed="false">
      <c r="A510" s="48" t="n">
        <v>509</v>
      </c>
      <c r="B510" s="46" t="n">
        <f aca="false">LARGE(v_valor,A510)</f>
        <v>40.54</v>
      </c>
      <c r="C510" s="46" t="n">
        <f aca="false">C509+B510</f>
        <v>101787.55</v>
      </c>
      <c r="D510" s="50" t="n">
        <f aca="false">C510/SUM(v_valor)</f>
        <v>0.930889720248057</v>
      </c>
      <c r="E510" s="50" t="n">
        <f aca="false">A510/1000</f>
        <v>0.509</v>
      </c>
    </row>
    <row r="511" customFormat="false" ht="15" hidden="false" customHeight="false" outlineLevel="0" collapsed="false">
      <c r="A511" s="48" t="n">
        <v>510</v>
      </c>
      <c r="B511" s="46" t="n">
        <f aca="false">LARGE(v_valor,A511)</f>
        <v>40.06</v>
      </c>
      <c r="C511" s="46" t="n">
        <f aca="false">C510+B511</f>
        <v>101827.61</v>
      </c>
      <c r="D511" s="50" t="n">
        <f aca="false">C511/SUM(v_valor)</f>
        <v>0.931256085704275</v>
      </c>
      <c r="E511" s="50" t="n">
        <f aca="false">A511/1000</f>
        <v>0.51</v>
      </c>
    </row>
    <row r="512" customFormat="false" ht="15" hidden="false" customHeight="false" outlineLevel="0" collapsed="false">
      <c r="A512" s="48" t="n">
        <v>511</v>
      </c>
      <c r="B512" s="46" t="n">
        <f aca="false">LARGE(v_valor,A512)</f>
        <v>39.38</v>
      </c>
      <c r="C512" s="46" t="n">
        <f aca="false">C511+B512</f>
        <v>101866.99</v>
      </c>
      <c r="D512" s="50" t="n">
        <f aca="false">C512/SUM(v_valor)</f>
        <v>0.931616232276065</v>
      </c>
      <c r="E512" s="50" t="n">
        <f aca="false">A512/1000</f>
        <v>0.511</v>
      </c>
    </row>
    <row r="513" customFormat="false" ht="15" hidden="false" customHeight="false" outlineLevel="0" collapsed="false">
      <c r="A513" s="48" t="n">
        <v>512</v>
      </c>
      <c r="B513" s="46" t="n">
        <f aca="false">LARGE(v_valor,A513)</f>
        <v>39.36</v>
      </c>
      <c r="C513" s="46" t="n">
        <f aca="false">C512+B513</f>
        <v>101906.35</v>
      </c>
      <c r="D513" s="50" t="n">
        <f aca="false">C513/SUM(v_valor)</f>
        <v>0.931976195939489</v>
      </c>
      <c r="E513" s="50" t="n">
        <f aca="false">A513/1000</f>
        <v>0.512</v>
      </c>
    </row>
    <row r="514" customFormat="false" ht="15" hidden="false" customHeight="false" outlineLevel="0" collapsed="false">
      <c r="A514" s="48" t="n">
        <v>513</v>
      </c>
      <c r="B514" s="46" t="n">
        <f aca="false">LARGE(v_valor,A514)</f>
        <v>39.33</v>
      </c>
      <c r="C514" s="46" t="n">
        <f aca="false">C513+B514</f>
        <v>101945.68</v>
      </c>
      <c r="D514" s="50" t="n">
        <f aca="false">C514/SUM(v_valor)</f>
        <v>0.932335885240365</v>
      </c>
      <c r="E514" s="50" t="n">
        <f aca="false">A514/1000</f>
        <v>0.513</v>
      </c>
    </row>
    <row r="515" customFormat="false" ht="15" hidden="false" customHeight="false" outlineLevel="0" collapsed="false">
      <c r="A515" s="48" t="n">
        <v>514</v>
      </c>
      <c r="B515" s="46" t="n">
        <f aca="false">LARGE(v_valor,A515)</f>
        <v>39.12</v>
      </c>
      <c r="C515" s="46" t="n">
        <f aca="false">C514+B515</f>
        <v>101984.8</v>
      </c>
      <c r="D515" s="50" t="n">
        <f aca="false">C515/SUM(v_valor)</f>
        <v>0.932693654003402</v>
      </c>
      <c r="E515" s="50" t="n">
        <f aca="false">A515/1000</f>
        <v>0.514</v>
      </c>
    </row>
    <row r="516" customFormat="false" ht="15" hidden="false" customHeight="false" outlineLevel="0" collapsed="false">
      <c r="A516" s="48" t="n">
        <v>515</v>
      </c>
      <c r="B516" s="46" t="n">
        <f aca="false">LARGE(v_valor,A516)</f>
        <v>39.06</v>
      </c>
      <c r="C516" s="46" t="n">
        <f aca="false">C515+B516</f>
        <v>102023.86</v>
      </c>
      <c r="D516" s="50" t="n">
        <f aca="false">C516/SUM(v_valor)</f>
        <v>0.933050874041343</v>
      </c>
      <c r="E516" s="50" t="n">
        <f aca="false">A516/1000</f>
        <v>0.515</v>
      </c>
    </row>
    <row r="517" customFormat="false" ht="15" hidden="false" customHeight="false" outlineLevel="0" collapsed="false">
      <c r="A517" s="48" t="n">
        <v>516</v>
      </c>
      <c r="B517" s="46" t="n">
        <f aca="false">LARGE(v_valor,A517)</f>
        <v>38.89</v>
      </c>
      <c r="C517" s="46" t="n">
        <f aca="false">C516+B517</f>
        <v>102062.75</v>
      </c>
      <c r="D517" s="50" t="n">
        <f aca="false">C517/SUM(v_valor)</f>
        <v>0.933406539358176</v>
      </c>
      <c r="E517" s="50" t="n">
        <f aca="false">A517/1000</f>
        <v>0.516</v>
      </c>
    </row>
    <row r="518" customFormat="false" ht="15" hidden="false" customHeight="false" outlineLevel="0" collapsed="false">
      <c r="A518" s="48" t="n">
        <v>517</v>
      </c>
      <c r="B518" s="46" t="n">
        <f aca="false">LARGE(v_valor,A518)</f>
        <v>38.59</v>
      </c>
      <c r="C518" s="46" t="n">
        <f aca="false">C517+B518</f>
        <v>102101.34</v>
      </c>
      <c r="D518" s="50" t="n">
        <f aca="false">C518/SUM(v_valor)</f>
        <v>0.933759461049526</v>
      </c>
      <c r="E518" s="50" t="n">
        <f aca="false">A518/1000</f>
        <v>0.517</v>
      </c>
    </row>
    <row r="519" customFormat="false" ht="15" hidden="false" customHeight="false" outlineLevel="0" collapsed="false">
      <c r="A519" s="48" t="n">
        <v>518</v>
      </c>
      <c r="B519" s="46" t="n">
        <f aca="false">LARGE(v_valor,A519)</f>
        <v>38.5</v>
      </c>
      <c r="C519" s="46" t="n">
        <f aca="false">C518+B519</f>
        <v>102139.84</v>
      </c>
      <c r="D519" s="50" t="n">
        <f aca="false">C519/SUM(v_valor)</f>
        <v>0.934111559653231</v>
      </c>
      <c r="E519" s="50" t="n">
        <f aca="false">A519/1000</f>
        <v>0.518</v>
      </c>
    </row>
    <row r="520" customFormat="false" ht="15" hidden="false" customHeight="false" outlineLevel="0" collapsed="false">
      <c r="A520" s="48" t="n">
        <v>519</v>
      </c>
      <c r="B520" s="46" t="n">
        <f aca="false">LARGE(v_valor,A520)</f>
        <v>38.38</v>
      </c>
      <c r="C520" s="46" t="n">
        <f aca="false">C519+B520</f>
        <v>102178.22</v>
      </c>
      <c r="D520" s="50" t="n">
        <f aca="false">C520/SUM(v_valor)</f>
        <v>0.934462560806743</v>
      </c>
      <c r="E520" s="50" t="n">
        <f aca="false">A520/1000</f>
        <v>0.519</v>
      </c>
    </row>
    <row r="521" customFormat="false" ht="15" hidden="false" customHeight="false" outlineLevel="0" collapsed="false">
      <c r="A521" s="48" t="n">
        <v>520</v>
      </c>
      <c r="B521" s="46" t="n">
        <f aca="false">LARGE(v_valor,A521)</f>
        <v>38.26</v>
      </c>
      <c r="C521" s="46" t="n">
        <f aca="false">C520+B521</f>
        <v>102216.48</v>
      </c>
      <c r="D521" s="50" t="n">
        <f aca="false">C521/SUM(v_valor)</f>
        <v>0.934812464510061</v>
      </c>
      <c r="E521" s="50" t="n">
        <f aca="false">A521/1000</f>
        <v>0.52</v>
      </c>
    </row>
    <row r="522" customFormat="false" ht="15" hidden="false" customHeight="false" outlineLevel="0" collapsed="false">
      <c r="A522" s="48" t="n">
        <v>521</v>
      </c>
      <c r="B522" s="46" t="n">
        <f aca="false">LARGE(v_valor,A522)</f>
        <v>38.1</v>
      </c>
      <c r="C522" s="46" t="n">
        <f aca="false">C521+B522</f>
        <v>102254.58</v>
      </c>
      <c r="D522" s="50" t="n">
        <f aca="false">C522/SUM(v_valor)</f>
        <v>0.935160904946455</v>
      </c>
      <c r="E522" s="50" t="n">
        <f aca="false">A522/1000</f>
        <v>0.521</v>
      </c>
    </row>
    <row r="523" customFormat="false" ht="15" hidden="false" customHeight="false" outlineLevel="0" collapsed="false">
      <c r="A523" s="48" t="n">
        <v>522</v>
      </c>
      <c r="B523" s="46" t="n">
        <f aca="false">LARGE(v_valor,A523)</f>
        <v>37.92</v>
      </c>
      <c r="C523" s="46" t="n">
        <f aca="false">C522+B523</f>
        <v>102292.5</v>
      </c>
      <c r="D523" s="50" t="n">
        <f aca="false">C523/SUM(v_valor)</f>
        <v>0.935507699207559</v>
      </c>
      <c r="E523" s="50" t="n">
        <f aca="false">A523/1000</f>
        <v>0.522</v>
      </c>
    </row>
    <row r="524" customFormat="false" ht="15" hidden="false" customHeight="false" outlineLevel="0" collapsed="false">
      <c r="A524" s="48" t="n">
        <v>523</v>
      </c>
      <c r="B524" s="46" t="n">
        <f aca="false">LARGE(v_valor,A524)</f>
        <v>37.86</v>
      </c>
      <c r="C524" s="46" t="n">
        <f aca="false">C523+B524</f>
        <v>102330.36</v>
      </c>
      <c r="D524" s="50" t="n">
        <f aca="false">C524/SUM(v_valor)</f>
        <v>0.935853944743566</v>
      </c>
      <c r="E524" s="50" t="n">
        <f aca="false">A524/1000</f>
        <v>0.523</v>
      </c>
    </row>
    <row r="525" customFormat="false" ht="15" hidden="false" customHeight="false" outlineLevel="0" collapsed="false">
      <c r="A525" s="48" t="n">
        <v>524</v>
      </c>
      <c r="B525" s="46" t="n">
        <f aca="false">LARGE(v_valor,A525)</f>
        <v>37.49</v>
      </c>
      <c r="C525" s="46" t="n">
        <f aca="false">C524+B525</f>
        <v>102367.85</v>
      </c>
      <c r="D525" s="50" t="n">
        <f aca="false">C525/SUM(v_valor)</f>
        <v>0.93619680647481</v>
      </c>
      <c r="E525" s="50" t="n">
        <f aca="false">A525/1000</f>
        <v>0.524</v>
      </c>
    </row>
    <row r="526" customFormat="false" ht="15" hidden="false" customHeight="false" outlineLevel="0" collapsed="false">
      <c r="A526" s="48" t="n">
        <v>525</v>
      </c>
      <c r="B526" s="46" t="n">
        <f aca="false">LARGE(v_valor,A526)</f>
        <v>37.32</v>
      </c>
      <c r="C526" s="46" t="n">
        <f aca="false">C525+B526</f>
        <v>102405.17</v>
      </c>
      <c r="D526" s="50" t="n">
        <f aca="false">C526/SUM(v_valor)</f>
        <v>0.936538113484947</v>
      </c>
      <c r="E526" s="50" t="n">
        <f aca="false">A526/1000</f>
        <v>0.525</v>
      </c>
    </row>
    <row r="527" customFormat="false" ht="15" hidden="false" customHeight="false" outlineLevel="0" collapsed="false">
      <c r="A527" s="48" t="n">
        <v>526</v>
      </c>
      <c r="B527" s="46" t="n">
        <f aca="false">LARGE(v_valor,A527)</f>
        <v>37.32</v>
      </c>
      <c r="C527" s="46" t="n">
        <f aca="false">C526+B527</f>
        <v>102442.49</v>
      </c>
      <c r="D527" s="50" t="n">
        <f aca="false">C527/SUM(v_valor)</f>
        <v>0.936879420495084</v>
      </c>
      <c r="E527" s="50" t="n">
        <f aca="false">A527/1000</f>
        <v>0.526</v>
      </c>
    </row>
    <row r="528" customFormat="false" ht="15" hidden="false" customHeight="false" outlineLevel="0" collapsed="false">
      <c r="A528" s="48" t="n">
        <v>527</v>
      </c>
      <c r="B528" s="46" t="n">
        <f aca="false">LARGE(v_valor,A528)</f>
        <v>37.07</v>
      </c>
      <c r="C528" s="46" t="n">
        <f aca="false">C527+B528</f>
        <v>102479.56</v>
      </c>
      <c r="D528" s="50" t="n">
        <f aca="false">C528/SUM(v_valor)</f>
        <v>0.937218441150651</v>
      </c>
      <c r="E528" s="50" t="n">
        <f aca="false">A528/1000</f>
        <v>0.527</v>
      </c>
    </row>
    <row r="529" customFormat="false" ht="15" hidden="false" customHeight="false" outlineLevel="0" collapsed="false">
      <c r="A529" s="48" t="n">
        <v>528</v>
      </c>
      <c r="B529" s="46" t="n">
        <f aca="false">LARGE(v_valor,A529)</f>
        <v>36.91</v>
      </c>
      <c r="C529" s="46" t="n">
        <f aca="false">C528+B529</f>
        <v>102516.47</v>
      </c>
      <c r="D529" s="50" t="n">
        <f aca="false">C529/SUM(v_valor)</f>
        <v>0.937555998539294</v>
      </c>
      <c r="E529" s="50" t="n">
        <f aca="false">A529/1000</f>
        <v>0.528</v>
      </c>
    </row>
    <row r="530" customFormat="false" ht="15" hidden="false" customHeight="false" outlineLevel="0" collapsed="false">
      <c r="A530" s="48" t="n">
        <v>529</v>
      </c>
      <c r="B530" s="46" t="n">
        <f aca="false">LARGE(v_valor,A530)</f>
        <v>36.54</v>
      </c>
      <c r="C530" s="46" t="n">
        <f aca="false">C529+B530</f>
        <v>102553.01</v>
      </c>
      <c r="D530" s="50" t="n">
        <f aca="false">C530/SUM(v_valor)</f>
        <v>0.937890172123174</v>
      </c>
      <c r="E530" s="50" t="n">
        <f aca="false">A530/1000</f>
        <v>0.529</v>
      </c>
    </row>
    <row r="531" customFormat="false" ht="15" hidden="false" customHeight="false" outlineLevel="0" collapsed="false">
      <c r="A531" s="48" t="n">
        <v>530</v>
      </c>
      <c r="B531" s="46" t="n">
        <f aca="false">LARGE(v_valor,A531)</f>
        <v>36.53</v>
      </c>
      <c r="C531" s="46" t="n">
        <f aca="false">C530+B531</f>
        <v>102589.54</v>
      </c>
      <c r="D531" s="50" t="n">
        <f aca="false">C531/SUM(v_valor)</f>
        <v>0.938224254252871</v>
      </c>
      <c r="E531" s="50" t="n">
        <f aca="false">A531/1000</f>
        <v>0.53</v>
      </c>
    </row>
    <row r="532" customFormat="false" ht="15" hidden="false" customHeight="false" outlineLevel="0" collapsed="false">
      <c r="A532" s="48" t="n">
        <v>531</v>
      </c>
      <c r="B532" s="46" t="n">
        <f aca="false">LARGE(v_valor,A532)</f>
        <v>36.32</v>
      </c>
      <c r="C532" s="46" t="n">
        <f aca="false">C531+B532</f>
        <v>102625.86</v>
      </c>
      <c r="D532" s="50" t="n">
        <f aca="false">C532/SUM(v_valor)</f>
        <v>0.93855641584473</v>
      </c>
      <c r="E532" s="50" t="n">
        <f aca="false">A532/1000</f>
        <v>0.531</v>
      </c>
    </row>
    <row r="533" customFormat="false" ht="15" hidden="false" customHeight="false" outlineLevel="0" collapsed="false">
      <c r="A533" s="48" t="n">
        <v>532</v>
      </c>
      <c r="B533" s="46" t="n">
        <f aca="false">LARGE(v_valor,A533)</f>
        <v>36.3</v>
      </c>
      <c r="C533" s="46" t="n">
        <f aca="false">C532+B533</f>
        <v>102662.16</v>
      </c>
      <c r="D533" s="50" t="n">
        <f aca="false">C533/SUM(v_valor)</f>
        <v>0.938888394528223</v>
      </c>
      <c r="E533" s="50" t="n">
        <f aca="false">A533/1000</f>
        <v>0.532</v>
      </c>
    </row>
    <row r="534" customFormat="false" ht="15" hidden="false" customHeight="false" outlineLevel="0" collapsed="false">
      <c r="A534" s="48" t="n">
        <v>533</v>
      </c>
      <c r="B534" s="46" t="n">
        <f aca="false">LARGE(v_valor,A534)</f>
        <v>36.22</v>
      </c>
      <c r="C534" s="46" t="n">
        <f aca="false">C533+B534</f>
        <v>102698.38</v>
      </c>
      <c r="D534" s="50" t="n">
        <f aca="false">C534/SUM(v_valor)</f>
        <v>0.939219641578254</v>
      </c>
      <c r="E534" s="50" t="n">
        <f aca="false">A534/1000</f>
        <v>0.533</v>
      </c>
    </row>
    <row r="535" customFormat="false" ht="15" hidden="false" customHeight="false" outlineLevel="0" collapsed="false">
      <c r="A535" s="48" t="n">
        <v>534</v>
      </c>
      <c r="B535" s="46" t="n">
        <f aca="false">LARGE(v_valor,A535)</f>
        <v>36.15</v>
      </c>
      <c r="C535" s="46" t="n">
        <f aca="false">C534+B535</f>
        <v>102734.53</v>
      </c>
      <c r="D535" s="50" t="n">
        <f aca="false">C535/SUM(v_valor)</f>
        <v>0.939550248449006</v>
      </c>
      <c r="E535" s="50" t="n">
        <f aca="false">A535/1000</f>
        <v>0.534</v>
      </c>
    </row>
    <row r="536" customFormat="false" ht="15" hidden="false" customHeight="false" outlineLevel="0" collapsed="false">
      <c r="A536" s="48" t="n">
        <v>535</v>
      </c>
      <c r="B536" s="46" t="n">
        <f aca="false">LARGE(v_valor,A536)</f>
        <v>35.95</v>
      </c>
      <c r="C536" s="46" t="n">
        <f aca="false">C535+B536</f>
        <v>102770.48</v>
      </c>
      <c r="D536" s="50" t="n">
        <f aca="false">C536/SUM(v_valor)</f>
        <v>0.939879026236102</v>
      </c>
      <c r="E536" s="50" t="n">
        <f aca="false">A536/1000</f>
        <v>0.535</v>
      </c>
    </row>
    <row r="537" customFormat="false" ht="15" hidden="false" customHeight="false" outlineLevel="0" collapsed="false">
      <c r="A537" s="48" t="n">
        <v>536</v>
      </c>
      <c r="B537" s="46" t="n">
        <f aca="false">LARGE(v_valor,A537)</f>
        <v>35.91</v>
      </c>
      <c r="C537" s="46" t="n">
        <f aca="false">C536+B537</f>
        <v>102806.39</v>
      </c>
      <c r="D537" s="50" t="n">
        <f aca="false">C537/SUM(v_valor)</f>
        <v>0.940207438206467</v>
      </c>
      <c r="E537" s="50" t="n">
        <f aca="false">A537/1000</f>
        <v>0.536</v>
      </c>
    </row>
    <row r="538" customFormat="false" ht="15" hidden="false" customHeight="false" outlineLevel="0" collapsed="false">
      <c r="A538" s="48" t="n">
        <v>537</v>
      </c>
      <c r="B538" s="46" t="n">
        <f aca="false">LARGE(v_valor,A538)</f>
        <v>35.82</v>
      </c>
      <c r="C538" s="46" t="n">
        <f aca="false">C537+B538</f>
        <v>102842.21</v>
      </c>
      <c r="D538" s="50" t="n">
        <f aca="false">C538/SUM(v_valor)</f>
        <v>0.940535027089187</v>
      </c>
      <c r="E538" s="50" t="n">
        <f aca="false">A538/1000</f>
        <v>0.537</v>
      </c>
    </row>
    <row r="539" customFormat="false" ht="15" hidden="false" customHeight="false" outlineLevel="0" collapsed="false">
      <c r="A539" s="48" t="n">
        <v>538</v>
      </c>
      <c r="B539" s="46" t="n">
        <f aca="false">LARGE(v_valor,A539)</f>
        <v>35.77</v>
      </c>
      <c r="C539" s="46" t="n">
        <f aca="false">C538+B539</f>
        <v>102877.98</v>
      </c>
      <c r="D539" s="50" t="n">
        <f aca="false">C539/SUM(v_valor)</f>
        <v>0.940862158700993</v>
      </c>
      <c r="E539" s="50" t="n">
        <f aca="false">A539/1000</f>
        <v>0.538</v>
      </c>
    </row>
    <row r="540" customFormat="false" ht="15" hidden="false" customHeight="false" outlineLevel="0" collapsed="false">
      <c r="A540" s="48" t="n">
        <v>539</v>
      </c>
      <c r="B540" s="46" t="n">
        <f aca="false">LARGE(v_valor,A540)</f>
        <v>35.77</v>
      </c>
      <c r="C540" s="46" t="n">
        <f aca="false">C539+B540</f>
        <v>102913.75</v>
      </c>
      <c r="D540" s="50" t="n">
        <f aca="false">C540/SUM(v_valor)</f>
        <v>0.941189290312798</v>
      </c>
      <c r="E540" s="50" t="n">
        <f aca="false">A540/1000</f>
        <v>0.539</v>
      </c>
    </row>
    <row r="541" customFormat="false" ht="15" hidden="false" customHeight="false" outlineLevel="0" collapsed="false">
      <c r="A541" s="48" t="n">
        <v>540</v>
      </c>
      <c r="B541" s="46" t="n">
        <f aca="false">LARGE(v_valor,A541)</f>
        <v>35.74</v>
      </c>
      <c r="C541" s="46" t="n">
        <f aca="false">C540+B541</f>
        <v>102949.49</v>
      </c>
      <c r="D541" s="50" t="n">
        <f aca="false">C541/SUM(v_valor)</f>
        <v>0.941516147562056</v>
      </c>
      <c r="E541" s="50" t="n">
        <f aca="false">A541/1000</f>
        <v>0.54</v>
      </c>
    </row>
    <row r="542" customFormat="false" ht="15" hidden="false" customHeight="false" outlineLevel="0" collapsed="false">
      <c r="A542" s="48" t="n">
        <v>541</v>
      </c>
      <c r="B542" s="46" t="n">
        <f aca="false">LARGE(v_valor,A542)</f>
        <v>35.68</v>
      </c>
      <c r="C542" s="46" t="n">
        <f aca="false">C541+B542</f>
        <v>102985.17</v>
      </c>
      <c r="D542" s="50" t="n">
        <f aca="false">C542/SUM(v_valor)</f>
        <v>0.941842456086217</v>
      </c>
      <c r="E542" s="50" t="n">
        <f aca="false">A542/1000</f>
        <v>0.541</v>
      </c>
    </row>
    <row r="543" customFormat="false" ht="15" hidden="false" customHeight="false" outlineLevel="0" collapsed="false">
      <c r="A543" s="48" t="n">
        <v>542</v>
      </c>
      <c r="B543" s="46" t="n">
        <f aca="false">LARGE(v_valor,A543)</f>
        <v>35.6</v>
      </c>
      <c r="C543" s="46" t="n">
        <f aca="false">C542+B543</f>
        <v>103020.77</v>
      </c>
      <c r="D543" s="50" t="n">
        <f aca="false">C543/SUM(v_valor)</f>
        <v>0.942168032976916</v>
      </c>
      <c r="E543" s="50" t="n">
        <f aca="false">A543/1000</f>
        <v>0.542</v>
      </c>
    </row>
    <row r="544" customFormat="false" ht="15" hidden="false" customHeight="false" outlineLevel="0" collapsed="false">
      <c r="A544" s="48" t="n">
        <v>543</v>
      </c>
      <c r="B544" s="46" t="n">
        <f aca="false">LARGE(v_valor,A544)</f>
        <v>35.57</v>
      </c>
      <c r="C544" s="46" t="n">
        <f aca="false">C543+B544</f>
        <v>103056.34</v>
      </c>
      <c r="D544" s="50" t="n">
        <f aca="false">C544/SUM(v_valor)</f>
        <v>0.942493335505066</v>
      </c>
      <c r="E544" s="50" t="n">
        <f aca="false">A544/1000</f>
        <v>0.543</v>
      </c>
    </row>
    <row r="545" customFormat="false" ht="15" hidden="false" customHeight="false" outlineLevel="0" collapsed="false">
      <c r="A545" s="48" t="n">
        <v>544</v>
      </c>
      <c r="B545" s="46" t="n">
        <f aca="false">LARGE(v_valor,A545)</f>
        <v>35.38</v>
      </c>
      <c r="C545" s="46" t="n">
        <f aca="false">C544+B545</f>
        <v>103091.72</v>
      </c>
      <c r="D545" s="50" t="n">
        <f aca="false">C545/SUM(v_valor)</f>
        <v>0.942816900403743</v>
      </c>
      <c r="E545" s="50" t="n">
        <f aca="false">A545/1000</f>
        <v>0.544</v>
      </c>
    </row>
    <row r="546" customFormat="false" ht="15" hidden="false" customHeight="false" outlineLevel="0" collapsed="false">
      <c r="A546" s="48" t="n">
        <v>545</v>
      </c>
      <c r="B546" s="46" t="n">
        <f aca="false">LARGE(v_valor,A546)</f>
        <v>35.35</v>
      </c>
      <c r="C546" s="46" t="n">
        <f aca="false">C545+B546</f>
        <v>103127.07</v>
      </c>
      <c r="D546" s="50" t="n">
        <f aca="false">C546/SUM(v_valor)</f>
        <v>0.943140190939873</v>
      </c>
      <c r="E546" s="50" t="n">
        <f aca="false">A546/1000</f>
        <v>0.545</v>
      </c>
    </row>
    <row r="547" customFormat="false" ht="15" hidden="false" customHeight="false" outlineLevel="0" collapsed="false">
      <c r="A547" s="48" t="n">
        <v>546</v>
      </c>
      <c r="B547" s="46" t="n">
        <f aca="false">LARGE(v_valor,A547)</f>
        <v>34.71</v>
      </c>
      <c r="C547" s="46" t="n">
        <f aca="false">C546+B547</f>
        <v>103161.78</v>
      </c>
      <c r="D547" s="50" t="n">
        <f aca="false">C547/SUM(v_valor)</f>
        <v>0.943457628408304</v>
      </c>
      <c r="E547" s="50" t="n">
        <f aca="false">A547/1000</f>
        <v>0.546</v>
      </c>
    </row>
    <row r="548" customFormat="false" ht="15" hidden="false" customHeight="false" outlineLevel="0" collapsed="false">
      <c r="A548" s="48" t="n">
        <v>547</v>
      </c>
      <c r="B548" s="46" t="n">
        <f aca="false">LARGE(v_valor,A548)</f>
        <v>34.68</v>
      </c>
      <c r="C548" s="46" t="n">
        <f aca="false">C547+B548</f>
        <v>103196.46</v>
      </c>
      <c r="D548" s="50" t="n">
        <f aca="false">C548/SUM(v_valor)</f>
        <v>0.943774791514187</v>
      </c>
      <c r="E548" s="50" t="n">
        <f aca="false">A548/1000</f>
        <v>0.547</v>
      </c>
    </row>
    <row r="549" customFormat="false" ht="15" hidden="false" customHeight="false" outlineLevel="0" collapsed="false">
      <c r="A549" s="48" t="n">
        <v>548</v>
      </c>
      <c r="B549" s="46" t="n">
        <f aca="false">LARGE(v_valor,A549)</f>
        <v>34.53</v>
      </c>
      <c r="C549" s="46" t="n">
        <f aca="false">C548+B549</f>
        <v>103230.99</v>
      </c>
      <c r="D549" s="50" t="n">
        <f aca="false">C549/SUM(v_valor)</f>
        <v>0.944090582807328</v>
      </c>
      <c r="E549" s="50" t="n">
        <f aca="false">A549/1000</f>
        <v>0.548</v>
      </c>
    </row>
    <row r="550" customFormat="false" ht="15" hidden="false" customHeight="false" outlineLevel="0" collapsed="false">
      <c r="A550" s="48" t="n">
        <v>549</v>
      </c>
      <c r="B550" s="46" t="n">
        <f aca="false">LARGE(v_valor,A550)</f>
        <v>34.22</v>
      </c>
      <c r="C550" s="46" t="n">
        <f aca="false">C549+B550</f>
        <v>103265.21</v>
      </c>
      <c r="D550" s="50" t="n">
        <f aca="false">C550/SUM(v_valor)</f>
        <v>0.944403539020803</v>
      </c>
      <c r="E550" s="50" t="n">
        <f aca="false">A550/1000</f>
        <v>0.549</v>
      </c>
    </row>
    <row r="551" customFormat="false" ht="15" hidden="false" customHeight="false" outlineLevel="0" collapsed="false">
      <c r="A551" s="48" t="n">
        <v>550</v>
      </c>
      <c r="B551" s="46" t="n">
        <f aca="false">LARGE(v_valor,A551)</f>
        <v>34.21</v>
      </c>
      <c r="C551" s="46" t="n">
        <f aca="false">C550+B551</f>
        <v>103299.42</v>
      </c>
      <c r="D551" s="50" t="n">
        <f aca="false">C551/SUM(v_valor)</f>
        <v>0.944716403780095</v>
      </c>
      <c r="E551" s="50" t="n">
        <f aca="false">A551/1000</f>
        <v>0.55</v>
      </c>
    </row>
    <row r="552" customFormat="false" ht="15" hidden="false" customHeight="false" outlineLevel="0" collapsed="false">
      <c r="A552" s="48" t="n">
        <v>551</v>
      </c>
      <c r="B552" s="46" t="n">
        <f aca="false">LARGE(v_valor,A552)</f>
        <v>34.1</v>
      </c>
      <c r="C552" s="46" t="n">
        <f aca="false">C551+B552</f>
        <v>103333.52</v>
      </c>
      <c r="D552" s="50" t="n">
        <f aca="false">C552/SUM(v_valor)</f>
        <v>0.945028262543376</v>
      </c>
      <c r="E552" s="50" t="n">
        <f aca="false">A552/1000</f>
        <v>0.551</v>
      </c>
    </row>
    <row r="553" customFormat="false" ht="15" hidden="false" customHeight="false" outlineLevel="0" collapsed="false">
      <c r="A553" s="48" t="n">
        <v>552</v>
      </c>
      <c r="B553" s="46" t="n">
        <f aca="false">LARGE(v_valor,A553)</f>
        <v>34.08</v>
      </c>
      <c r="C553" s="46" t="n">
        <f aca="false">C552+B553</f>
        <v>103367.6</v>
      </c>
      <c r="D553" s="50" t="n">
        <f aca="false">C553/SUM(v_valor)</f>
        <v>0.945339938398292</v>
      </c>
      <c r="E553" s="50" t="n">
        <f aca="false">A553/1000</f>
        <v>0.552</v>
      </c>
    </row>
    <row r="554" customFormat="false" ht="15" hidden="false" customHeight="false" outlineLevel="0" collapsed="false">
      <c r="A554" s="48" t="n">
        <v>553</v>
      </c>
      <c r="B554" s="46" t="n">
        <f aca="false">LARGE(v_valor,A554)</f>
        <v>33.87</v>
      </c>
      <c r="C554" s="46" t="n">
        <f aca="false">C553+B554</f>
        <v>103401.47</v>
      </c>
      <c r="D554" s="50" t="n">
        <f aca="false">C554/SUM(v_valor)</f>
        <v>0.94564969371537</v>
      </c>
      <c r="E554" s="50" t="n">
        <f aca="false">A554/1000</f>
        <v>0.553</v>
      </c>
    </row>
    <row r="555" customFormat="false" ht="15" hidden="false" customHeight="false" outlineLevel="0" collapsed="false">
      <c r="A555" s="48" t="n">
        <v>554</v>
      </c>
      <c r="B555" s="46" t="n">
        <f aca="false">LARGE(v_valor,A555)</f>
        <v>33.87</v>
      </c>
      <c r="C555" s="46" t="n">
        <f aca="false">C554+B555</f>
        <v>103435.34</v>
      </c>
      <c r="D555" s="50" t="n">
        <f aca="false">C555/SUM(v_valor)</f>
        <v>0.945959449032447</v>
      </c>
      <c r="E555" s="50" t="n">
        <f aca="false">A555/1000</f>
        <v>0.554</v>
      </c>
    </row>
    <row r="556" customFormat="false" ht="15" hidden="false" customHeight="false" outlineLevel="0" collapsed="false">
      <c r="A556" s="48" t="n">
        <v>555</v>
      </c>
      <c r="B556" s="46" t="n">
        <f aca="false">LARGE(v_valor,A556)</f>
        <v>33.79</v>
      </c>
      <c r="C556" s="46" t="n">
        <f aca="false">C555+B556</f>
        <v>103469.13</v>
      </c>
      <c r="D556" s="50" t="n">
        <f aca="false">C556/SUM(v_valor)</f>
        <v>0.946268472716063</v>
      </c>
      <c r="E556" s="50" t="n">
        <f aca="false">A556/1000</f>
        <v>0.555</v>
      </c>
    </row>
    <row r="557" customFormat="false" ht="15" hidden="false" customHeight="false" outlineLevel="0" collapsed="false">
      <c r="A557" s="48" t="n">
        <v>556</v>
      </c>
      <c r="B557" s="46" t="n">
        <f aca="false">LARGE(v_valor,A557)</f>
        <v>33.77</v>
      </c>
      <c r="C557" s="46" t="n">
        <f aca="false">C556+B557</f>
        <v>103502.9</v>
      </c>
      <c r="D557" s="50" t="n">
        <f aca="false">C557/SUM(v_valor)</f>
        <v>0.946577313491313</v>
      </c>
      <c r="E557" s="50" t="n">
        <f aca="false">A557/1000</f>
        <v>0.556</v>
      </c>
    </row>
    <row r="558" customFormat="false" ht="15" hidden="false" customHeight="false" outlineLevel="0" collapsed="false">
      <c r="A558" s="48" t="n">
        <v>557</v>
      </c>
      <c r="B558" s="46" t="n">
        <f aca="false">LARGE(v_valor,A558)</f>
        <v>33.76</v>
      </c>
      <c r="C558" s="46" t="n">
        <f aca="false">C557+B558</f>
        <v>103536.66</v>
      </c>
      <c r="D558" s="50" t="n">
        <f aca="false">C558/SUM(v_valor)</f>
        <v>0.94688606281238</v>
      </c>
      <c r="E558" s="50" t="n">
        <f aca="false">A558/1000</f>
        <v>0.557</v>
      </c>
    </row>
    <row r="559" customFormat="false" ht="15" hidden="false" customHeight="false" outlineLevel="0" collapsed="false">
      <c r="A559" s="48" t="n">
        <v>558</v>
      </c>
      <c r="B559" s="46" t="n">
        <f aca="false">LARGE(v_valor,A559)</f>
        <v>33.56</v>
      </c>
      <c r="C559" s="46" t="n">
        <f aca="false">C558+B559</f>
        <v>103570.22</v>
      </c>
      <c r="D559" s="50" t="n">
        <f aca="false">C559/SUM(v_valor)</f>
        <v>0.947192983049791</v>
      </c>
      <c r="E559" s="50" t="n">
        <f aca="false">A559/1000</f>
        <v>0.558</v>
      </c>
    </row>
    <row r="560" customFormat="false" ht="15" hidden="false" customHeight="false" outlineLevel="0" collapsed="false">
      <c r="A560" s="48" t="n">
        <v>559</v>
      </c>
      <c r="B560" s="46" t="n">
        <f aca="false">LARGE(v_valor,A560)</f>
        <v>33.39</v>
      </c>
      <c r="C560" s="46" t="n">
        <f aca="false">C559+B560</f>
        <v>103603.61</v>
      </c>
      <c r="D560" s="50" t="n">
        <f aca="false">C560/SUM(v_valor)</f>
        <v>0.947498348566095</v>
      </c>
      <c r="E560" s="50" t="n">
        <f aca="false">A560/1000</f>
        <v>0.559</v>
      </c>
    </row>
    <row r="561" customFormat="false" ht="15" hidden="false" customHeight="false" outlineLevel="0" collapsed="false">
      <c r="A561" s="48" t="n">
        <v>560</v>
      </c>
      <c r="B561" s="46" t="n">
        <f aca="false">LARGE(v_valor,A561)</f>
        <v>33.37</v>
      </c>
      <c r="C561" s="46" t="n">
        <f aca="false">C560+B561</f>
        <v>103636.98</v>
      </c>
      <c r="D561" s="50" t="n">
        <f aca="false">C561/SUM(v_valor)</f>
        <v>0.947803531174034</v>
      </c>
      <c r="E561" s="50" t="n">
        <f aca="false">A561/1000</f>
        <v>0.56</v>
      </c>
    </row>
    <row r="562" customFormat="false" ht="15" hidden="false" customHeight="false" outlineLevel="0" collapsed="false">
      <c r="A562" s="48" t="n">
        <v>561</v>
      </c>
      <c r="B562" s="46" t="n">
        <f aca="false">LARGE(v_valor,A562)</f>
        <v>33.33</v>
      </c>
      <c r="C562" s="46" t="n">
        <f aca="false">C561+B562</f>
        <v>103670.31</v>
      </c>
      <c r="D562" s="50" t="n">
        <f aca="false">C562/SUM(v_valor)</f>
        <v>0.948108347965241</v>
      </c>
      <c r="E562" s="50" t="n">
        <f aca="false">A562/1000</f>
        <v>0.561</v>
      </c>
    </row>
    <row r="563" customFormat="false" ht="15" hidden="false" customHeight="false" outlineLevel="0" collapsed="false">
      <c r="A563" s="48" t="n">
        <v>562</v>
      </c>
      <c r="B563" s="46" t="n">
        <f aca="false">LARGE(v_valor,A563)</f>
        <v>33.19</v>
      </c>
      <c r="C563" s="46" t="n">
        <f aca="false">C562+B563</f>
        <v>103703.5</v>
      </c>
      <c r="D563" s="50" t="n">
        <f aca="false">C563/SUM(v_valor)</f>
        <v>0.94841188439789</v>
      </c>
      <c r="E563" s="50" t="n">
        <f aca="false">A563/1000</f>
        <v>0.562</v>
      </c>
    </row>
    <row r="564" customFormat="false" ht="15" hidden="false" customHeight="false" outlineLevel="0" collapsed="false">
      <c r="A564" s="48" t="n">
        <v>563</v>
      </c>
      <c r="B564" s="46" t="n">
        <f aca="false">LARGE(v_valor,A564)</f>
        <v>32.93</v>
      </c>
      <c r="C564" s="46" t="n">
        <f aca="false">C563+B564</f>
        <v>103736.43</v>
      </c>
      <c r="D564" s="50" t="n">
        <f aca="false">C564/SUM(v_valor)</f>
        <v>0.948713043021786</v>
      </c>
      <c r="E564" s="50" t="n">
        <f aca="false">A564/1000</f>
        <v>0.563</v>
      </c>
    </row>
    <row r="565" customFormat="false" ht="15" hidden="false" customHeight="false" outlineLevel="0" collapsed="false">
      <c r="A565" s="48" t="n">
        <v>564</v>
      </c>
      <c r="B565" s="46" t="n">
        <f aca="false">LARGE(v_valor,A565)</f>
        <v>32.8</v>
      </c>
      <c r="C565" s="46" t="n">
        <f aca="false">C564+B565</f>
        <v>103769.23</v>
      </c>
      <c r="D565" s="50" t="n">
        <f aca="false">C565/SUM(v_valor)</f>
        <v>0.949013012741306</v>
      </c>
      <c r="E565" s="50" t="n">
        <f aca="false">A565/1000</f>
        <v>0.564</v>
      </c>
    </row>
    <row r="566" customFormat="false" ht="15" hidden="false" customHeight="false" outlineLevel="0" collapsed="false">
      <c r="A566" s="48" t="n">
        <v>565</v>
      </c>
      <c r="B566" s="46" t="n">
        <f aca="false">LARGE(v_valor,A566)</f>
        <v>32.65</v>
      </c>
      <c r="C566" s="46" t="n">
        <f aca="false">C565+B566</f>
        <v>103801.88</v>
      </c>
      <c r="D566" s="50" t="n">
        <f aca="false">C566/SUM(v_valor)</f>
        <v>0.949311610648084</v>
      </c>
      <c r="E566" s="50" t="n">
        <f aca="false">A566/1000</f>
        <v>0.565</v>
      </c>
    </row>
    <row r="567" customFormat="false" ht="15" hidden="false" customHeight="false" outlineLevel="0" collapsed="false">
      <c r="A567" s="48" t="n">
        <v>566</v>
      </c>
      <c r="B567" s="46" t="n">
        <f aca="false">LARGE(v_valor,A567)</f>
        <v>32.29</v>
      </c>
      <c r="C567" s="46" t="n">
        <f aca="false">C566+B567</f>
        <v>103834.17</v>
      </c>
      <c r="D567" s="50" t="n">
        <f aca="false">C567/SUM(v_valor)</f>
        <v>0.949606916204282</v>
      </c>
      <c r="E567" s="50" t="n">
        <f aca="false">A567/1000</f>
        <v>0.566</v>
      </c>
    </row>
    <row r="568" customFormat="false" ht="15" hidden="false" customHeight="false" outlineLevel="0" collapsed="false">
      <c r="A568" s="48" t="n">
        <v>567</v>
      </c>
      <c r="B568" s="46" t="n">
        <f aca="false">LARGE(v_valor,A568)</f>
        <v>32.08</v>
      </c>
      <c r="C568" s="46" t="n">
        <f aca="false">C567+B568</f>
        <v>103866.25</v>
      </c>
      <c r="D568" s="50" t="n">
        <f aca="false">C568/SUM(v_valor)</f>
        <v>0.949900301222642</v>
      </c>
      <c r="E568" s="50" t="n">
        <f aca="false">A568/1000</f>
        <v>0.567</v>
      </c>
    </row>
    <row r="569" customFormat="false" ht="15" hidden="false" customHeight="false" outlineLevel="0" collapsed="false">
      <c r="A569" s="48" t="n">
        <v>568</v>
      </c>
      <c r="B569" s="46" t="n">
        <f aca="false">LARGE(v_valor,A569)</f>
        <v>32.06</v>
      </c>
      <c r="C569" s="46" t="n">
        <f aca="false">C568+B569</f>
        <v>103898.31</v>
      </c>
      <c r="D569" s="50" t="n">
        <f aca="false">C569/SUM(v_valor)</f>
        <v>0.950193503332637</v>
      </c>
      <c r="E569" s="50" t="n">
        <f aca="false">A569/1000</f>
        <v>0.568</v>
      </c>
    </row>
    <row r="570" customFormat="false" ht="15" hidden="false" customHeight="false" outlineLevel="0" collapsed="false">
      <c r="A570" s="48" t="n">
        <v>569</v>
      </c>
      <c r="B570" s="46" t="n">
        <f aca="false">LARGE(v_valor,A570)</f>
        <v>31.83</v>
      </c>
      <c r="C570" s="46" t="n">
        <f aca="false">C569+B570</f>
        <v>103930.14</v>
      </c>
      <c r="D570" s="50" t="n">
        <f aca="false">C570/SUM(v_valor)</f>
        <v>0.950484601996427</v>
      </c>
      <c r="E570" s="50" t="n">
        <f aca="false">A570/1000</f>
        <v>0.569</v>
      </c>
    </row>
    <row r="571" customFormat="false" ht="15" hidden="false" customHeight="false" outlineLevel="0" collapsed="false">
      <c r="A571" s="48" t="n">
        <v>570</v>
      </c>
      <c r="B571" s="46" t="n">
        <f aca="false">LARGE(v_valor,A571)</f>
        <v>31.81</v>
      </c>
      <c r="C571" s="46" t="n">
        <f aca="false">C570+B571</f>
        <v>103961.95</v>
      </c>
      <c r="D571" s="50" t="n">
        <f aca="false">C571/SUM(v_valor)</f>
        <v>0.950775517751852</v>
      </c>
      <c r="E571" s="50" t="n">
        <f aca="false">A571/1000</f>
        <v>0.57</v>
      </c>
    </row>
    <row r="572" customFormat="false" ht="15" hidden="false" customHeight="false" outlineLevel="0" collapsed="false">
      <c r="A572" s="48" t="n">
        <v>571</v>
      </c>
      <c r="B572" s="46" t="n">
        <f aca="false">LARGE(v_valor,A572)</f>
        <v>31.81</v>
      </c>
      <c r="C572" s="46" t="n">
        <f aca="false">C571+B572</f>
        <v>103993.76</v>
      </c>
      <c r="D572" s="50" t="n">
        <f aca="false">C572/SUM(v_valor)</f>
        <v>0.951066433507277</v>
      </c>
      <c r="E572" s="50" t="n">
        <f aca="false">A572/1000</f>
        <v>0.571</v>
      </c>
    </row>
    <row r="573" customFormat="false" ht="15" hidden="false" customHeight="false" outlineLevel="0" collapsed="false">
      <c r="A573" s="48" t="n">
        <v>572</v>
      </c>
      <c r="B573" s="46" t="n">
        <f aca="false">LARGE(v_valor,A573)</f>
        <v>31.73</v>
      </c>
      <c r="C573" s="46" t="n">
        <f aca="false">C572+B573</f>
        <v>104025.49</v>
      </c>
      <c r="D573" s="50" t="n">
        <f aca="false">C573/SUM(v_valor)</f>
        <v>0.951356617629239</v>
      </c>
      <c r="E573" s="50" t="n">
        <f aca="false">A573/1000</f>
        <v>0.572</v>
      </c>
    </row>
    <row r="574" customFormat="false" ht="15" hidden="false" customHeight="false" outlineLevel="0" collapsed="false">
      <c r="A574" s="48" t="n">
        <v>573</v>
      </c>
      <c r="B574" s="46" t="n">
        <f aca="false">LARGE(v_valor,A574)</f>
        <v>31.56</v>
      </c>
      <c r="C574" s="46" t="n">
        <f aca="false">C573+B574</f>
        <v>104057.05</v>
      </c>
      <c r="D574" s="50" t="n">
        <f aca="false">C574/SUM(v_valor)</f>
        <v>0.951645247030094</v>
      </c>
      <c r="E574" s="50" t="n">
        <f aca="false">A574/1000</f>
        <v>0.573</v>
      </c>
    </row>
    <row r="575" customFormat="false" ht="15" hidden="false" customHeight="false" outlineLevel="0" collapsed="false">
      <c r="A575" s="48" t="n">
        <v>574</v>
      </c>
      <c r="B575" s="46" t="n">
        <f aca="false">LARGE(v_valor,A575)</f>
        <v>31.26</v>
      </c>
      <c r="C575" s="46" t="n">
        <f aca="false">C574+B575</f>
        <v>104088.31</v>
      </c>
      <c r="D575" s="50" t="n">
        <f aca="false">C575/SUM(v_valor)</f>
        <v>0.951931132805466</v>
      </c>
      <c r="E575" s="50" t="n">
        <f aca="false">A575/1000</f>
        <v>0.574</v>
      </c>
    </row>
    <row r="576" customFormat="false" ht="15" hidden="false" customHeight="false" outlineLevel="0" collapsed="false">
      <c r="A576" s="48" t="n">
        <v>575</v>
      </c>
      <c r="B576" s="46" t="n">
        <f aca="false">LARGE(v_valor,A576)</f>
        <v>31.1</v>
      </c>
      <c r="C576" s="46" t="n">
        <f aca="false">C575+B576</f>
        <v>104119.41</v>
      </c>
      <c r="D576" s="50" t="n">
        <f aca="false">C576/SUM(v_valor)</f>
        <v>0.952215555313914</v>
      </c>
      <c r="E576" s="50" t="n">
        <f aca="false">A576/1000</f>
        <v>0.575</v>
      </c>
    </row>
    <row r="577" customFormat="false" ht="15" hidden="false" customHeight="false" outlineLevel="0" collapsed="false">
      <c r="A577" s="48" t="n">
        <v>576</v>
      </c>
      <c r="B577" s="46" t="n">
        <f aca="false">LARGE(v_valor,A577)</f>
        <v>30.19</v>
      </c>
      <c r="C577" s="46" t="n">
        <f aca="false">C576+B577</f>
        <v>104149.6</v>
      </c>
      <c r="D577" s="50" t="n">
        <f aca="false">C577/SUM(v_valor)</f>
        <v>0.952491655491728</v>
      </c>
      <c r="E577" s="50" t="n">
        <f aca="false">A577/1000</f>
        <v>0.576</v>
      </c>
    </row>
    <row r="578" customFormat="false" ht="15" hidden="false" customHeight="false" outlineLevel="0" collapsed="false">
      <c r="A578" s="48" t="n">
        <v>577</v>
      </c>
      <c r="B578" s="46" t="n">
        <f aca="false">LARGE(v_valor,A578)</f>
        <v>29.96</v>
      </c>
      <c r="C578" s="46" t="n">
        <f aca="false">C577+B578</f>
        <v>104179.56</v>
      </c>
      <c r="D578" s="50" t="n">
        <f aca="false">C578/SUM(v_valor)</f>
        <v>0.952765652223339</v>
      </c>
      <c r="E578" s="50" t="n">
        <f aca="false">A578/1000</f>
        <v>0.577</v>
      </c>
    </row>
    <row r="579" customFormat="false" ht="15" hidden="false" customHeight="false" outlineLevel="0" collapsed="false">
      <c r="A579" s="48" t="n">
        <v>578</v>
      </c>
      <c r="B579" s="46" t="n">
        <f aca="false">LARGE(v_valor,A579)</f>
        <v>29.48</v>
      </c>
      <c r="C579" s="46" t="n">
        <f aca="false">C578+B579</f>
        <v>104209.04</v>
      </c>
      <c r="D579" s="50" t="n">
        <f aca="false">C579/SUM(v_valor)</f>
        <v>0.953035259154175</v>
      </c>
      <c r="E579" s="50" t="n">
        <f aca="false">A579/1000</f>
        <v>0.578</v>
      </c>
    </row>
    <row r="580" customFormat="false" ht="15" hidden="false" customHeight="false" outlineLevel="0" collapsed="false">
      <c r="A580" s="48" t="n">
        <v>579</v>
      </c>
      <c r="B580" s="46" t="n">
        <f aca="false">LARGE(v_valor,A580)</f>
        <v>29.41</v>
      </c>
      <c r="C580" s="46" t="n">
        <f aca="false">C579+B580</f>
        <v>104238.45</v>
      </c>
      <c r="D580" s="50" t="n">
        <f aca="false">C580/SUM(v_valor)</f>
        <v>0.953304225905733</v>
      </c>
      <c r="E580" s="50" t="n">
        <f aca="false">A580/1000</f>
        <v>0.579</v>
      </c>
    </row>
    <row r="581" customFormat="false" ht="15" hidden="false" customHeight="false" outlineLevel="0" collapsed="false">
      <c r="A581" s="48" t="n">
        <v>580</v>
      </c>
      <c r="B581" s="46" t="n">
        <f aca="false">LARGE(v_valor,A581)</f>
        <v>29.32</v>
      </c>
      <c r="C581" s="46" t="n">
        <f aca="false">C580+B581</f>
        <v>104267.77</v>
      </c>
      <c r="D581" s="50" t="n">
        <f aca="false">C581/SUM(v_valor)</f>
        <v>0.953572369569645</v>
      </c>
      <c r="E581" s="50" t="n">
        <f aca="false">A581/1000</f>
        <v>0.58</v>
      </c>
    </row>
    <row r="582" customFormat="false" ht="15" hidden="false" customHeight="false" outlineLevel="0" collapsed="false">
      <c r="A582" s="48" t="n">
        <v>581</v>
      </c>
      <c r="B582" s="46" t="n">
        <f aca="false">LARGE(v_valor,A582)</f>
        <v>29.29</v>
      </c>
      <c r="C582" s="46" t="n">
        <f aca="false">C581+B582</f>
        <v>104297.06</v>
      </c>
      <c r="D582" s="50" t="n">
        <f aca="false">C582/SUM(v_valor)</f>
        <v>0.95384023887101</v>
      </c>
      <c r="E582" s="50" t="n">
        <f aca="false">A582/1000</f>
        <v>0.581</v>
      </c>
    </row>
    <row r="583" customFormat="false" ht="15" hidden="false" customHeight="false" outlineLevel="0" collapsed="false">
      <c r="A583" s="48" t="n">
        <v>582</v>
      </c>
      <c r="B583" s="46" t="n">
        <f aca="false">LARGE(v_valor,A583)</f>
        <v>29.19</v>
      </c>
      <c r="C583" s="46" t="n">
        <f aca="false">C582+B583</f>
        <v>104326.25</v>
      </c>
      <c r="D583" s="50" t="n">
        <f aca="false">C583/SUM(v_valor)</f>
        <v>0.954107193630546</v>
      </c>
      <c r="E583" s="50" t="n">
        <f aca="false">A583/1000</f>
        <v>0.582</v>
      </c>
    </row>
    <row r="584" customFormat="false" ht="15" hidden="false" customHeight="false" outlineLevel="0" collapsed="false">
      <c r="A584" s="48" t="n">
        <v>583</v>
      </c>
      <c r="B584" s="46" t="n">
        <f aca="false">LARGE(v_valor,A584)</f>
        <v>29</v>
      </c>
      <c r="C584" s="46" t="n">
        <f aca="false">C583+B584</f>
        <v>104355.25</v>
      </c>
      <c r="D584" s="50" t="n">
        <f aca="false">C584/SUM(v_valor)</f>
        <v>0.954372410760609</v>
      </c>
      <c r="E584" s="50" t="n">
        <f aca="false">A584/1000</f>
        <v>0.583</v>
      </c>
    </row>
    <row r="585" customFormat="false" ht="15" hidden="false" customHeight="false" outlineLevel="0" collapsed="false">
      <c r="A585" s="48" t="n">
        <v>584</v>
      </c>
      <c r="B585" s="46" t="n">
        <f aca="false">LARGE(v_valor,A585)</f>
        <v>28.63</v>
      </c>
      <c r="C585" s="46" t="n">
        <f aca="false">C584+B585</f>
        <v>104383.88</v>
      </c>
      <c r="D585" s="50" t="n">
        <f aca="false">C585/SUM(v_valor)</f>
        <v>0.95463424408591</v>
      </c>
      <c r="E585" s="50" t="n">
        <f aca="false">A585/1000</f>
        <v>0.584</v>
      </c>
    </row>
    <row r="586" customFormat="false" ht="15" hidden="false" customHeight="false" outlineLevel="0" collapsed="false">
      <c r="A586" s="48" t="n">
        <v>585</v>
      </c>
      <c r="B586" s="46" t="n">
        <f aca="false">LARGE(v_valor,A586)</f>
        <v>28.47</v>
      </c>
      <c r="C586" s="46" t="n">
        <f aca="false">C585+B586</f>
        <v>104412.35</v>
      </c>
      <c r="D586" s="50" t="n">
        <f aca="false">C586/SUM(v_valor)</f>
        <v>0.954894614144286</v>
      </c>
      <c r="E586" s="50" t="n">
        <f aca="false">A586/1000</f>
        <v>0.585</v>
      </c>
    </row>
    <row r="587" customFormat="false" ht="15" hidden="false" customHeight="false" outlineLevel="0" collapsed="false">
      <c r="A587" s="48" t="n">
        <v>586</v>
      </c>
      <c r="B587" s="46" t="n">
        <f aca="false">LARGE(v_valor,A587)</f>
        <v>28.13</v>
      </c>
      <c r="C587" s="46" t="n">
        <f aca="false">C586+B587</f>
        <v>104440.48</v>
      </c>
      <c r="D587" s="50" t="n">
        <f aca="false">C587/SUM(v_valor)</f>
        <v>0.955151874760448</v>
      </c>
      <c r="E587" s="50" t="n">
        <f aca="false">A587/1000</f>
        <v>0.586</v>
      </c>
    </row>
    <row r="588" customFormat="false" ht="15" hidden="false" customHeight="false" outlineLevel="0" collapsed="false">
      <c r="A588" s="48" t="n">
        <v>587</v>
      </c>
      <c r="B588" s="46" t="n">
        <f aca="false">LARGE(v_valor,A588)</f>
        <v>27.88</v>
      </c>
      <c r="C588" s="46" t="n">
        <f aca="false">C587+B588</f>
        <v>104468.36</v>
      </c>
      <c r="D588" s="50" t="n">
        <f aca="false">C588/SUM(v_valor)</f>
        <v>0.95540684902204</v>
      </c>
      <c r="E588" s="50" t="n">
        <f aca="false">A588/1000</f>
        <v>0.587</v>
      </c>
    </row>
    <row r="589" customFormat="false" ht="15" hidden="false" customHeight="false" outlineLevel="0" collapsed="false">
      <c r="A589" s="48" t="n">
        <v>588</v>
      </c>
      <c r="B589" s="46" t="n">
        <f aca="false">LARGE(v_valor,A589)</f>
        <v>27.85</v>
      </c>
      <c r="C589" s="46" t="n">
        <f aca="false">C588+B589</f>
        <v>104496.21</v>
      </c>
      <c r="D589" s="50" t="n">
        <f aca="false">C589/SUM(v_valor)</f>
        <v>0.955661548921084</v>
      </c>
      <c r="E589" s="50" t="n">
        <f aca="false">A589/1000</f>
        <v>0.588</v>
      </c>
    </row>
    <row r="590" customFormat="false" ht="15" hidden="false" customHeight="false" outlineLevel="0" collapsed="false">
      <c r="A590" s="48" t="n">
        <v>589</v>
      </c>
      <c r="B590" s="46" t="n">
        <f aca="false">LARGE(v_valor,A590)</f>
        <v>27.77</v>
      </c>
      <c r="C590" s="46" t="n">
        <f aca="false">C589+B590</f>
        <v>104523.98</v>
      </c>
      <c r="D590" s="50" t="n">
        <f aca="false">C590/SUM(v_valor)</f>
        <v>0.955915517186665</v>
      </c>
      <c r="E590" s="50" t="n">
        <f aca="false">A590/1000</f>
        <v>0.589</v>
      </c>
    </row>
    <row r="591" customFormat="false" ht="15" hidden="false" customHeight="false" outlineLevel="0" collapsed="false">
      <c r="A591" s="48" t="n">
        <v>590</v>
      </c>
      <c r="B591" s="46" t="n">
        <f aca="false">LARGE(v_valor,A591)</f>
        <v>27.59</v>
      </c>
      <c r="C591" s="46" t="n">
        <f aca="false">C590+B591</f>
        <v>104551.57</v>
      </c>
      <c r="D591" s="50" t="n">
        <f aca="false">C591/SUM(v_valor)</f>
        <v>0.956167839276957</v>
      </c>
      <c r="E591" s="50" t="n">
        <f aca="false">A591/1000</f>
        <v>0.59</v>
      </c>
    </row>
    <row r="592" customFormat="false" ht="15" hidden="false" customHeight="false" outlineLevel="0" collapsed="false">
      <c r="A592" s="48" t="n">
        <v>591</v>
      </c>
      <c r="B592" s="46" t="n">
        <f aca="false">LARGE(v_valor,A592)</f>
        <v>27.48</v>
      </c>
      <c r="C592" s="46" t="n">
        <f aca="false">C591+B592</f>
        <v>104579.05</v>
      </c>
      <c r="D592" s="50" t="n">
        <f aca="false">C592/SUM(v_valor)</f>
        <v>0.956419155371237</v>
      </c>
      <c r="E592" s="50" t="n">
        <f aca="false">A592/1000</f>
        <v>0.591</v>
      </c>
    </row>
    <row r="593" customFormat="false" ht="15" hidden="false" customHeight="false" outlineLevel="0" collapsed="false">
      <c r="A593" s="48" t="n">
        <v>592</v>
      </c>
      <c r="B593" s="46" t="n">
        <f aca="false">LARGE(v_valor,A593)</f>
        <v>27.4</v>
      </c>
      <c r="C593" s="46" t="n">
        <f aca="false">C592+B593</f>
        <v>104606.45</v>
      </c>
      <c r="D593" s="50" t="n">
        <f aca="false">C593/SUM(v_valor)</f>
        <v>0.956669739832056</v>
      </c>
      <c r="E593" s="50" t="n">
        <f aca="false">A593/1000</f>
        <v>0.592</v>
      </c>
    </row>
    <row r="594" customFormat="false" ht="15" hidden="false" customHeight="false" outlineLevel="0" collapsed="false">
      <c r="A594" s="48" t="n">
        <v>593</v>
      </c>
      <c r="B594" s="46" t="n">
        <f aca="false">LARGE(v_valor,A594)</f>
        <v>27.07</v>
      </c>
      <c r="C594" s="46" t="n">
        <f aca="false">C593+B594</f>
        <v>104633.52</v>
      </c>
      <c r="D594" s="50" t="n">
        <f aca="false">C594/SUM(v_valor)</f>
        <v>0.956917306304843</v>
      </c>
      <c r="E594" s="50" t="n">
        <f aca="false">A594/1000</f>
        <v>0.593</v>
      </c>
    </row>
    <row r="595" customFormat="false" ht="15" hidden="false" customHeight="false" outlineLevel="0" collapsed="false">
      <c r="A595" s="48" t="n">
        <v>594</v>
      </c>
      <c r="B595" s="46" t="n">
        <f aca="false">LARGE(v_valor,A595)</f>
        <v>27.02</v>
      </c>
      <c r="C595" s="46" t="n">
        <f aca="false">C594+B595</f>
        <v>104660.54</v>
      </c>
      <c r="D595" s="50" t="n">
        <f aca="false">C595/SUM(v_valor)</f>
        <v>0.957164415506716</v>
      </c>
      <c r="E595" s="50" t="n">
        <f aca="false">A595/1000</f>
        <v>0.594</v>
      </c>
    </row>
    <row r="596" customFormat="false" ht="15" hidden="false" customHeight="false" outlineLevel="0" collapsed="false">
      <c r="A596" s="48" t="n">
        <v>595</v>
      </c>
      <c r="B596" s="46" t="n">
        <f aca="false">LARGE(v_valor,A596)</f>
        <v>26.93</v>
      </c>
      <c r="C596" s="46" t="n">
        <f aca="false">C595+B596</f>
        <v>104687.47</v>
      </c>
      <c r="D596" s="50" t="n">
        <f aca="false">C596/SUM(v_valor)</f>
        <v>0.957410701620944</v>
      </c>
      <c r="E596" s="50" t="n">
        <f aca="false">A596/1000</f>
        <v>0.595</v>
      </c>
    </row>
    <row r="597" customFormat="false" ht="15" hidden="false" customHeight="false" outlineLevel="0" collapsed="false">
      <c r="A597" s="48" t="n">
        <v>596</v>
      </c>
      <c r="B597" s="46" t="n">
        <f aca="false">LARGE(v_valor,A597)</f>
        <v>26.76</v>
      </c>
      <c r="C597" s="46" t="n">
        <f aca="false">C596+B597</f>
        <v>104714.23</v>
      </c>
      <c r="D597" s="50" t="n">
        <f aca="false">C597/SUM(v_valor)</f>
        <v>0.957655433014064</v>
      </c>
      <c r="E597" s="50" t="n">
        <f aca="false">A597/1000</f>
        <v>0.596</v>
      </c>
    </row>
    <row r="598" customFormat="false" ht="15" hidden="false" customHeight="false" outlineLevel="0" collapsed="false">
      <c r="A598" s="48" t="n">
        <v>597</v>
      </c>
      <c r="B598" s="46" t="n">
        <f aca="false">LARGE(v_valor,A598)</f>
        <v>26.73</v>
      </c>
      <c r="C598" s="46" t="n">
        <f aca="false">C597+B598</f>
        <v>104740.96</v>
      </c>
      <c r="D598" s="50" t="n">
        <f aca="false">C598/SUM(v_valor)</f>
        <v>0.957899890044637</v>
      </c>
      <c r="E598" s="50" t="n">
        <f aca="false">A598/1000</f>
        <v>0.597</v>
      </c>
    </row>
    <row r="599" customFormat="false" ht="15" hidden="false" customHeight="false" outlineLevel="0" collapsed="false">
      <c r="A599" s="48" t="n">
        <v>598</v>
      </c>
      <c r="B599" s="46" t="n">
        <f aca="false">LARGE(v_valor,A599)</f>
        <v>26.66</v>
      </c>
      <c r="C599" s="46" t="n">
        <f aca="false">C598+B599</f>
        <v>104767.62</v>
      </c>
      <c r="D599" s="50" t="n">
        <f aca="false">C599/SUM(v_valor)</f>
        <v>0.958143706895929</v>
      </c>
      <c r="E599" s="50" t="n">
        <f aca="false">A599/1000</f>
        <v>0.598</v>
      </c>
    </row>
    <row r="600" customFormat="false" ht="15" hidden="false" customHeight="false" outlineLevel="0" collapsed="false">
      <c r="A600" s="48" t="n">
        <v>599</v>
      </c>
      <c r="B600" s="46" t="n">
        <f aca="false">LARGE(v_valor,A600)</f>
        <v>26.66</v>
      </c>
      <c r="C600" s="46" t="n">
        <f aca="false">C599+B600</f>
        <v>104794.28</v>
      </c>
      <c r="D600" s="50" t="n">
        <f aca="false">C600/SUM(v_valor)</f>
        <v>0.958387523747222</v>
      </c>
      <c r="E600" s="50" t="n">
        <f aca="false">A600/1000</f>
        <v>0.599</v>
      </c>
    </row>
    <row r="601" customFormat="false" ht="15" hidden="false" customHeight="false" outlineLevel="0" collapsed="false">
      <c r="A601" s="48" t="n">
        <v>600</v>
      </c>
      <c r="B601" s="46" t="n">
        <f aca="false">LARGE(v_valor,A601)</f>
        <v>26.65</v>
      </c>
      <c r="C601" s="46" t="n">
        <f aca="false">C600+B601</f>
        <v>104820.93</v>
      </c>
      <c r="D601" s="50" t="n">
        <f aca="false">C601/SUM(v_valor)</f>
        <v>0.958631249144332</v>
      </c>
      <c r="E601" s="50" t="n">
        <f aca="false">A601/1000</f>
        <v>0.6</v>
      </c>
    </row>
    <row r="602" customFormat="false" ht="15" hidden="false" customHeight="false" outlineLevel="0" collapsed="false">
      <c r="A602" s="48" t="n">
        <v>601</v>
      </c>
      <c r="B602" s="46" t="n">
        <f aca="false">LARGE(v_valor,A602)</f>
        <v>26.59</v>
      </c>
      <c r="C602" s="46" t="n">
        <f aca="false">C601+B602</f>
        <v>104847.52</v>
      </c>
      <c r="D602" s="50" t="n">
        <f aca="false">C602/SUM(v_valor)</f>
        <v>0.958874425816346</v>
      </c>
      <c r="E602" s="50" t="n">
        <f aca="false">A602/1000</f>
        <v>0.601</v>
      </c>
    </row>
    <row r="603" customFormat="false" ht="15" hidden="false" customHeight="false" outlineLevel="0" collapsed="false">
      <c r="A603" s="48" t="n">
        <v>602</v>
      </c>
      <c r="B603" s="46" t="n">
        <f aca="false">LARGE(v_valor,A603)</f>
        <v>26.53</v>
      </c>
      <c r="C603" s="46" t="n">
        <f aca="false">C602+B603</f>
        <v>104874.05</v>
      </c>
      <c r="D603" s="50" t="n">
        <f aca="false">C603/SUM(v_valor)</f>
        <v>0.959117053763262</v>
      </c>
      <c r="E603" s="50" t="n">
        <f aca="false">A603/1000</f>
        <v>0.602</v>
      </c>
    </row>
    <row r="604" customFormat="false" ht="15" hidden="false" customHeight="false" outlineLevel="0" collapsed="false">
      <c r="A604" s="48" t="n">
        <v>603</v>
      </c>
      <c r="B604" s="46" t="n">
        <f aca="false">LARGE(v_valor,A604)</f>
        <v>26.49</v>
      </c>
      <c r="C604" s="46" t="n">
        <f aca="false">C603+B604</f>
        <v>104900.54</v>
      </c>
      <c r="D604" s="50" t="n">
        <f aca="false">C604/SUM(v_valor)</f>
        <v>0.959359315893448</v>
      </c>
      <c r="E604" s="50" t="n">
        <f aca="false">A604/1000</f>
        <v>0.603</v>
      </c>
    </row>
    <row r="605" customFormat="false" ht="15" hidden="false" customHeight="false" outlineLevel="0" collapsed="false">
      <c r="A605" s="48" t="n">
        <v>604</v>
      </c>
      <c r="B605" s="46" t="n">
        <f aca="false">LARGE(v_valor,A605)</f>
        <v>26.47</v>
      </c>
      <c r="C605" s="46" t="n">
        <f aca="false">C604+B605</f>
        <v>104927.01</v>
      </c>
      <c r="D605" s="50" t="n">
        <f aca="false">C605/SUM(v_valor)</f>
        <v>0.959601395115268</v>
      </c>
      <c r="E605" s="50" t="n">
        <f aca="false">A605/1000</f>
        <v>0.604</v>
      </c>
    </row>
    <row r="606" customFormat="false" ht="15" hidden="false" customHeight="false" outlineLevel="0" collapsed="false">
      <c r="A606" s="48" t="n">
        <v>605</v>
      </c>
      <c r="B606" s="46" t="n">
        <f aca="false">LARGE(v_valor,A606)</f>
        <v>26.25</v>
      </c>
      <c r="C606" s="46" t="n">
        <f aca="false">C605+B606</f>
        <v>104953.26</v>
      </c>
      <c r="D606" s="50" t="n">
        <f aca="false">C606/SUM(v_valor)</f>
        <v>0.959841462345067</v>
      </c>
      <c r="E606" s="50" t="n">
        <f aca="false">A606/1000</f>
        <v>0.605</v>
      </c>
    </row>
    <row r="607" customFormat="false" ht="15" hidden="false" customHeight="false" outlineLevel="0" collapsed="false">
      <c r="A607" s="48" t="n">
        <v>606</v>
      </c>
      <c r="B607" s="46" t="n">
        <f aca="false">LARGE(v_valor,A607)</f>
        <v>26.06</v>
      </c>
      <c r="C607" s="46" t="n">
        <f aca="false">C606+B607</f>
        <v>104979.32</v>
      </c>
      <c r="D607" s="50" t="n">
        <f aca="false">C607/SUM(v_valor)</f>
        <v>0.960079791945393</v>
      </c>
      <c r="E607" s="50" t="n">
        <f aca="false">A607/1000</f>
        <v>0.606</v>
      </c>
    </row>
    <row r="608" customFormat="false" ht="15" hidden="false" customHeight="false" outlineLevel="0" collapsed="false">
      <c r="A608" s="48" t="n">
        <v>607</v>
      </c>
      <c r="B608" s="46" t="n">
        <f aca="false">LARGE(v_valor,A608)</f>
        <v>26.01</v>
      </c>
      <c r="C608" s="46" t="n">
        <f aca="false">C607+B608</f>
        <v>105005.33</v>
      </c>
      <c r="D608" s="50" t="n">
        <f aca="false">C608/SUM(v_valor)</f>
        <v>0.960317664274805</v>
      </c>
      <c r="E608" s="50" t="n">
        <f aca="false">A608/1000</f>
        <v>0.607</v>
      </c>
    </row>
    <row r="609" customFormat="false" ht="15" hidden="false" customHeight="false" outlineLevel="0" collapsed="false">
      <c r="A609" s="48" t="n">
        <v>608</v>
      </c>
      <c r="B609" s="46" t="n">
        <f aca="false">LARGE(v_valor,A609)</f>
        <v>25.84</v>
      </c>
      <c r="C609" s="46" t="n">
        <f aca="false">C608+B609</f>
        <v>105031.17</v>
      </c>
      <c r="D609" s="50" t="n">
        <f aca="false">C609/SUM(v_valor)</f>
        <v>0.96055398188311</v>
      </c>
      <c r="E609" s="50" t="n">
        <f aca="false">A609/1000</f>
        <v>0.608</v>
      </c>
    </row>
    <row r="610" customFormat="false" ht="15" hidden="false" customHeight="false" outlineLevel="0" collapsed="false">
      <c r="A610" s="48" t="n">
        <v>609</v>
      </c>
      <c r="B610" s="46" t="n">
        <f aca="false">LARGE(v_valor,A610)</f>
        <v>25.73</v>
      </c>
      <c r="C610" s="46" t="n">
        <f aca="false">C609+B610</f>
        <v>105056.9</v>
      </c>
      <c r="D610" s="50" t="n">
        <f aca="false">C610/SUM(v_valor)</f>
        <v>0.960789293495404</v>
      </c>
      <c r="E610" s="50" t="n">
        <f aca="false">A610/1000</f>
        <v>0.609</v>
      </c>
    </row>
    <row r="611" customFormat="false" ht="15" hidden="false" customHeight="false" outlineLevel="0" collapsed="false">
      <c r="A611" s="48" t="n">
        <v>610</v>
      </c>
      <c r="B611" s="46" t="n">
        <f aca="false">LARGE(v_valor,A611)</f>
        <v>25.71</v>
      </c>
      <c r="C611" s="46" t="n">
        <f aca="false">C610+B611</f>
        <v>105082.61</v>
      </c>
      <c r="D611" s="50" t="n">
        <f aca="false">C611/SUM(v_valor)</f>
        <v>0.961024422199333</v>
      </c>
      <c r="E611" s="50" t="n">
        <f aca="false">A611/1000</f>
        <v>0.61</v>
      </c>
    </row>
    <row r="612" customFormat="false" ht="15" hidden="false" customHeight="false" outlineLevel="0" collapsed="false">
      <c r="A612" s="48" t="n">
        <v>611</v>
      </c>
      <c r="B612" s="46" t="n">
        <f aca="false">LARGE(v_valor,A612)</f>
        <v>25.63</v>
      </c>
      <c r="C612" s="46" t="n">
        <f aca="false">C611+B612</f>
        <v>105108.24</v>
      </c>
      <c r="D612" s="50" t="n">
        <f aca="false">C612/SUM(v_valor)</f>
        <v>0.961258819269799</v>
      </c>
      <c r="E612" s="50" t="n">
        <f aca="false">A612/1000</f>
        <v>0.611</v>
      </c>
    </row>
    <row r="613" customFormat="false" ht="15" hidden="false" customHeight="false" outlineLevel="0" collapsed="false">
      <c r="A613" s="48" t="n">
        <v>612</v>
      </c>
      <c r="B613" s="46" t="n">
        <f aca="false">LARGE(v_valor,A613)</f>
        <v>25.48</v>
      </c>
      <c r="C613" s="46" t="n">
        <f aca="false">C612+B613</f>
        <v>105133.72</v>
      </c>
      <c r="D613" s="50" t="n">
        <f aca="false">C613/SUM(v_valor)</f>
        <v>0.961491844527524</v>
      </c>
      <c r="E613" s="50" t="n">
        <f aca="false">A613/1000</f>
        <v>0.612</v>
      </c>
    </row>
    <row r="614" customFormat="false" ht="15" hidden="false" customHeight="false" outlineLevel="0" collapsed="false">
      <c r="A614" s="48" t="n">
        <v>613</v>
      </c>
      <c r="B614" s="46" t="n">
        <f aca="false">LARGE(v_valor,A614)</f>
        <v>25.37</v>
      </c>
      <c r="C614" s="46" t="n">
        <f aca="false">C613+B614</f>
        <v>105159.09</v>
      </c>
      <c r="D614" s="50" t="n">
        <f aca="false">C614/SUM(v_valor)</f>
        <v>0.961723863789238</v>
      </c>
      <c r="E614" s="50" t="n">
        <f aca="false">A614/1000</f>
        <v>0.613</v>
      </c>
    </row>
    <row r="615" customFormat="false" ht="15" hidden="false" customHeight="false" outlineLevel="0" collapsed="false">
      <c r="A615" s="48" t="n">
        <v>614</v>
      </c>
      <c r="B615" s="46" t="n">
        <f aca="false">LARGE(v_valor,A615)</f>
        <v>25.19</v>
      </c>
      <c r="C615" s="46" t="n">
        <f aca="false">C614+B615</f>
        <v>105184.28</v>
      </c>
      <c r="D615" s="50" t="n">
        <f aca="false">C615/SUM(v_valor)</f>
        <v>0.961954236875662</v>
      </c>
      <c r="E615" s="50" t="n">
        <f aca="false">A615/1000</f>
        <v>0.614</v>
      </c>
    </row>
    <row r="616" customFormat="false" ht="15" hidden="false" customHeight="false" outlineLevel="0" collapsed="false">
      <c r="A616" s="48" t="n">
        <v>615</v>
      </c>
      <c r="B616" s="46" t="n">
        <f aca="false">LARGE(v_valor,A616)</f>
        <v>25.18</v>
      </c>
      <c r="C616" s="46" t="n">
        <f aca="false">C615+B616</f>
        <v>105209.46</v>
      </c>
      <c r="D616" s="50" t="n">
        <f aca="false">C616/SUM(v_valor)</f>
        <v>0.962184518507903</v>
      </c>
      <c r="E616" s="50" t="n">
        <f aca="false">A616/1000</f>
        <v>0.615</v>
      </c>
    </row>
    <row r="617" customFormat="false" ht="15" hidden="false" customHeight="false" outlineLevel="0" collapsed="false">
      <c r="A617" s="48" t="n">
        <v>616</v>
      </c>
      <c r="B617" s="46" t="n">
        <f aca="false">LARGE(v_valor,A617)</f>
        <v>25.11</v>
      </c>
      <c r="C617" s="46" t="n">
        <f aca="false">C616+B617</f>
        <v>105234.57</v>
      </c>
      <c r="D617" s="50" t="n">
        <f aca="false">C617/SUM(v_valor)</f>
        <v>0.962414159960865</v>
      </c>
      <c r="E617" s="50" t="n">
        <f aca="false">A617/1000</f>
        <v>0.616</v>
      </c>
    </row>
    <row r="618" customFormat="false" ht="15" hidden="false" customHeight="false" outlineLevel="0" collapsed="false">
      <c r="A618" s="48" t="n">
        <v>617</v>
      </c>
      <c r="B618" s="46" t="n">
        <f aca="false">LARGE(v_valor,A618)</f>
        <v>24.89</v>
      </c>
      <c r="C618" s="46" t="n">
        <f aca="false">C617+B618</f>
        <v>105259.46</v>
      </c>
      <c r="D618" s="50" t="n">
        <f aca="false">C618/SUM(v_valor)</f>
        <v>0.962641789421806</v>
      </c>
      <c r="E618" s="50" t="n">
        <f aca="false">A618/1000</f>
        <v>0.617</v>
      </c>
    </row>
    <row r="619" customFormat="false" ht="15" hidden="false" customHeight="false" outlineLevel="0" collapsed="false">
      <c r="A619" s="48" t="n">
        <v>618</v>
      </c>
      <c r="B619" s="46" t="n">
        <f aca="false">LARGE(v_valor,A619)</f>
        <v>24.85</v>
      </c>
      <c r="C619" s="46" t="n">
        <f aca="false">C618+B619</f>
        <v>105284.31</v>
      </c>
      <c r="D619" s="50" t="n">
        <f aca="false">C619/SUM(v_valor)</f>
        <v>0.962869053066016</v>
      </c>
      <c r="E619" s="50" t="n">
        <f aca="false">A619/1000</f>
        <v>0.618</v>
      </c>
    </row>
    <row r="620" customFormat="false" ht="15" hidden="false" customHeight="false" outlineLevel="0" collapsed="false">
      <c r="A620" s="48" t="n">
        <v>619</v>
      </c>
      <c r="B620" s="46" t="n">
        <f aca="false">LARGE(v_valor,A620)</f>
        <v>24.63</v>
      </c>
      <c r="C620" s="46" t="n">
        <f aca="false">C619+B620</f>
        <v>105308.94</v>
      </c>
      <c r="D620" s="50" t="n">
        <f aca="false">C620/SUM(v_valor)</f>
        <v>0.963094304718204</v>
      </c>
      <c r="E620" s="50" t="n">
        <f aca="false">A620/1000</f>
        <v>0.619</v>
      </c>
    </row>
    <row r="621" customFormat="false" ht="15" hidden="false" customHeight="false" outlineLevel="0" collapsed="false">
      <c r="A621" s="48" t="n">
        <v>620</v>
      </c>
      <c r="B621" s="46" t="n">
        <f aca="false">LARGE(v_valor,A621)</f>
        <v>24.6</v>
      </c>
      <c r="C621" s="46" t="n">
        <f aca="false">C620+B621</f>
        <v>105333.54</v>
      </c>
      <c r="D621" s="50" t="n">
        <f aca="false">C621/SUM(v_valor)</f>
        <v>0.963319282007844</v>
      </c>
      <c r="E621" s="50" t="n">
        <f aca="false">A621/1000</f>
        <v>0.62</v>
      </c>
    </row>
    <row r="622" customFormat="false" ht="15" hidden="false" customHeight="false" outlineLevel="0" collapsed="false">
      <c r="A622" s="48" t="n">
        <v>621</v>
      </c>
      <c r="B622" s="46" t="n">
        <f aca="false">LARGE(v_valor,A622)</f>
        <v>24.47</v>
      </c>
      <c r="C622" s="46" t="n">
        <f aca="false">C621+B622</f>
        <v>105358.01</v>
      </c>
      <c r="D622" s="50" t="n">
        <f aca="false">C622/SUM(v_valor)</f>
        <v>0.963543070393108</v>
      </c>
      <c r="E622" s="50" t="n">
        <f aca="false">A622/1000</f>
        <v>0.621</v>
      </c>
    </row>
    <row r="623" customFormat="false" ht="15" hidden="false" customHeight="false" outlineLevel="0" collapsed="false">
      <c r="A623" s="48" t="n">
        <v>622</v>
      </c>
      <c r="B623" s="46" t="n">
        <f aca="false">LARGE(v_valor,A623)</f>
        <v>24.22</v>
      </c>
      <c r="C623" s="46" t="n">
        <f aca="false">C622+B623</f>
        <v>105382.23</v>
      </c>
      <c r="D623" s="50" t="n">
        <f aca="false">C623/SUM(v_valor)</f>
        <v>0.963764572423803</v>
      </c>
      <c r="E623" s="50" t="n">
        <f aca="false">A623/1000</f>
        <v>0.622</v>
      </c>
    </row>
    <row r="624" customFormat="false" ht="15" hidden="false" customHeight="false" outlineLevel="0" collapsed="false">
      <c r="A624" s="48" t="n">
        <v>623</v>
      </c>
      <c r="B624" s="46" t="n">
        <f aca="false">LARGE(v_valor,A624)</f>
        <v>24.17</v>
      </c>
      <c r="C624" s="46" t="n">
        <f aca="false">C623+B624</f>
        <v>105406.4</v>
      </c>
      <c r="D624" s="50" t="n">
        <f aca="false">C624/SUM(v_valor)</f>
        <v>0.963985617183583</v>
      </c>
      <c r="E624" s="50" t="n">
        <f aca="false">A624/1000</f>
        <v>0.623</v>
      </c>
    </row>
    <row r="625" customFormat="false" ht="15" hidden="false" customHeight="false" outlineLevel="0" collapsed="false">
      <c r="A625" s="48" t="n">
        <v>624</v>
      </c>
      <c r="B625" s="46" t="n">
        <f aca="false">LARGE(v_valor,A625)</f>
        <v>24.15</v>
      </c>
      <c r="C625" s="46" t="n">
        <f aca="false">C624+B625</f>
        <v>105430.55</v>
      </c>
      <c r="D625" s="50" t="n">
        <f aca="false">C625/SUM(v_valor)</f>
        <v>0.964206479034998</v>
      </c>
      <c r="E625" s="50" t="n">
        <f aca="false">A625/1000</f>
        <v>0.624</v>
      </c>
    </row>
    <row r="626" customFormat="false" ht="15" hidden="false" customHeight="false" outlineLevel="0" collapsed="false">
      <c r="A626" s="48" t="n">
        <v>625</v>
      </c>
      <c r="B626" s="46" t="n">
        <f aca="false">LARGE(v_valor,A626)</f>
        <v>24.14</v>
      </c>
      <c r="C626" s="46" t="n">
        <f aca="false">C625+B626</f>
        <v>105454.69</v>
      </c>
      <c r="D626" s="50" t="n">
        <f aca="false">C626/SUM(v_valor)</f>
        <v>0.96442724943223</v>
      </c>
      <c r="E626" s="50" t="n">
        <f aca="false">A626/1000</f>
        <v>0.625</v>
      </c>
    </row>
    <row r="627" customFormat="false" ht="15" hidden="false" customHeight="false" outlineLevel="0" collapsed="false">
      <c r="A627" s="48" t="n">
        <v>626</v>
      </c>
      <c r="B627" s="46" t="n">
        <f aca="false">LARGE(v_valor,A627)</f>
        <v>24.01</v>
      </c>
      <c r="C627" s="46" t="n">
        <f aca="false">C626+B627</f>
        <v>105478.7</v>
      </c>
      <c r="D627" s="50" t="n">
        <f aca="false">C627/SUM(v_valor)</f>
        <v>0.964646830925086</v>
      </c>
      <c r="E627" s="50" t="n">
        <f aca="false">A627/1000</f>
        <v>0.626</v>
      </c>
    </row>
    <row r="628" customFormat="false" ht="15" hidden="false" customHeight="false" outlineLevel="0" collapsed="false">
      <c r="A628" s="48" t="n">
        <v>627</v>
      </c>
      <c r="B628" s="46" t="n">
        <f aca="false">LARGE(v_valor,A628)</f>
        <v>23.99</v>
      </c>
      <c r="C628" s="46" t="n">
        <f aca="false">C627+B628</f>
        <v>105502.69</v>
      </c>
      <c r="D628" s="50" t="n">
        <f aca="false">C628/SUM(v_valor)</f>
        <v>0.964866229509577</v>
      </c>
      <c r="E628" s="50" t="n">
        <f aca="false">A628/1000</f>
        <v>0.627</v>
      </c>
    </row>
    <row r="629" customFormat="false" ht="15" hidden="false" customHeight="false" outlineLevel="0" collapsed="false">
      <c r="A629" s="48" t="n">
        <v>628</v>
      </c>
      <c r="B629" s="46" t="n">
        <f aca="false">LARGE(v_valor,A629)</f>
        <v>23.9</v>
      </c>
      <c r="C629" s="46" t="n">
        <f aca="false">C628+B629</f>
        <v>105526.59</v>
      </c>
      <c r="D629" s="50" t="n">
        <f aca="false">C629/SUM(v_valor)</f>
        <v>0.965084805006422</v>
      </c>
      <c r="E629" s="50" t="n">
        <f aca="false">A629/1000</f>
        <v>0.628</v>
      </c>
    </row>
    <row r="630" customFormat="false" ht="15" hidden="false" customHeight="false" outlineLevel="0" collapsed="false">
      <c r="A630" s="48" t="n">
        <v>629</v>
      </c>
      <c r="B630" s="46" t="n">
        <f aca="false">LARGE(v_valor,A630)</f>
        <v>23.83</v>
      </c>
      <c r="C630" s="46" t="n">
        <f aca="false">C629+B630</f>
        <v>105550.42</v>
      </c>
      <c r="D630" s="50" t="n">
        <f aca="false">C630/SUM(v_valor)</f>
        <v>0.965302740323988</v>
      </c>
      <c r="E630" s="50" t="n">
        <f aca="false">A630/1000</f>
        <v>0.629</v>
      </c>
    </row>
    <row r="631" customFormat="false" ht="15" hidden="false" customHeight="false" outlineLevel="0" collapsed="false">
      <c r="A631" s="48" t="n">
        <v>630</v>
      </c>
      <c r="B631" s="46" t="n">
        <f aca="false">LARGE(v_valor,A631)</f>
        <v>23.82</v>
      </c>
      <c r="C631" s="46" t="n">
        <f aca="false">C630+B631</f>
        <v>105574.24</v>
      </c>
      <c r="D631" s="50" t="n">
        <f aca="false">C631/SUM(v_valor)</f>
        <v>0.965520584187371</v>
      </c>
      <c r="E631" s="50" t="n">
        <f aca="false">A631/1000</f>
        <v>0.63</v>
      </c>
    </row>
    <row r="632" customFormat="false" ht="15" hidden="false" customHeight="false" outlineLevel="0" collapsed="false">
      <c r="A632" s="48" t="n">
        <v>631</v>
      </c>
      <c r="B632" s="46" t="n">
        <f aca="false">LARGE(v_valor,A632)</f>
        <v>23.73</v>
      </c>
      <c r="C632" s="46" t="n">
        <f aca="false">C631+B632</f>
        <v>105597.97</v>
      </c>
      <c r="D632" s="50" t="n">
        <f aca="false">C632/SUM(v_valor)</f>
        <v>0.965737604963109</v>
      </c>
      <c r="E632" s="50" t="n">
        <f aca="false">A632/1000</f>
        <v>0.631</v>
      </c>
    </row>
    <row r="633" customFormat="false" ht="15" hidden="false" customHeight="false" outlineLevel="0" collapsed="false">
      <c r="A633" s="48" t="n">
        <v>632</v>
      </c>
      <c r="B633" s="46" t="n">
        <f aca="false">LARGE(v_valor,A633)</f>
        <v>23.68</v>
      </c>
      <c r="C633" s="46" t="n">
        <f aca="false">C632+B633</f>
        <v>105621.65</v>
      </c>
      <c r="D633" s="50" t="n">
        <f aca="false">C633/SUM(v_valor)</f>
        <v>0.965954168467933</v>
      </c>
      <c r="E633" s="50" t="n">
        <f aca="false">A633/1000</f>
        <v>0.632</v>
      </c>
    </row>
    <row r="634" customFormat="false" ht="15" hidden="false" customHeight="false" outlineLevel="0" collapsed="false">
      <c r="A634" s="48" t="n">
        <v>633</v>
      </c>
      <c r="B634" s="46" t="n">
        <f aca="false">LARGE(v_valor,A634)</f>
        <v>23.33</v>
      </c>
      <c r="C634" s="46" t="n">
        <f aca="false">C633+B634</f>
        <v>105644.98</v>
      </c>
      <c r="D634" s="50" t="n">
        <f aca="false">C634/SUM(v_valor)</f>
        <v>0.96616753107636</v>
      </c>
      <c r="E634" s="50" t="n">
        <f aca="false">A634/1000</f>
        <v>0.633</v>
      </c>
    </row>
    <row r="635" customFormat="false" ht="15" hidden="false" customHeight="false" outlineLevel="0" collapsed="false">
      <c r="A635" s="48" t="n">
        <v>634</v>
      </c>
      <c r="B635" s="46" t="n">
        <f aca="false">LARGE(v_valor,A635)</f>
        <v>23.23</v>
      </c>
      <c r="C635" s="46" t="n">
        <f aca="false">C634+B635</f>
        <v>105668.21</v>
      </c>
      <c r="D635" s="50" t="n">
        <f aca="false">C635/SUM(v_valor)</f>
        <v>0.96637997914296</v>
      </c>
      <c r="E635" s="50" t="n">
        <f aca="false">A635/1000</f>
        <v>0.634</v>
      </c>
    </row>
    <row r="636" customFormat="false" ht="15" hidden="false" customHeight="false" outlineLevel="0" collapsed="false">
      <c r="A636" s="48" t="n">
        <v>635</v>
      </c>
      <c r="B636" s="46" t="n">
        <f aca="false">LARGE(v_valor,A636)</f>
        <v>23.16</v>
      </c>
      <c r="C636" s="46" t="n">
        <f aca="false">C635+B636</f>
        <v>105691.37</v>
      </c>
      <c r="D636" s="50" t="n">
        <f aca="false">C636/SUM(v_valor)</f>
        <v>0.966591787030279</v>
      </c>
      <c r="E636" s="50" t="n">
        <f aca="false">A636/1000</f>
        <v>0.635</v>
      </c>
    </row>
    <row r="637" customFormat="false" ht="15" hidden="false" customHeight="false" outlineLevel="0" collapsed="false">
      <c r="A637" s="48" t="n">
        <v>636</v>
      </c>
      <c r="B637" s="46" t="n">
        <f aca="false">LARGE(v_valor,A637)</f>
        <v>22.85</v>
      </c>
      <c r="C637" s="46" t="n">
        <f aca="false">C636+B637</f>
        <v>105714.22</v>
      </c>
      <c r="D637" s="50" t="n">
        <f aca="false">C637/SUM(v_valor)</f>
        <v>0.966800759837933</v>
      </c>
      <c r="E637" s="50" t="n">
        <f aca="false">A637/1000</f>
        <v>0.636</v>
      </c>
    </row>
    <row r="638" customFormat="false" ht="15" hidden="false" customHeight="false" outlineLevel="0" collapsed="false">
      <c r="A638" s="48" t="n">
        <v>637</v>
      </c>
      <c r="B638" s="46" t="n">
        <f aca="false">LARGE(v_valor,A638)</f>
        <v>22.57</v>
      </c>
      <c r="C638" s="46" t="n">
        <f aca="false">C637+B638</f>
        <v>105736.79</v>
      </c>
      <c r="D638" s="50" t="n">
        <f aca="false">C638/SUM(v_valor)</f>
        <v>0.967007171928468</v>
      </c>
      <c r="E638" s="50" t="n">
        <f aca="false">A638/1000</f>
        <v>0.637</v>
      </c>
    </row>
    <row r="639" customFormat="false" ht="15" hidden="false" customHeight="false" outlineLevel="0" collapsed="false">
      <c r="A639" s="48" t="n">
        <v>638</v>
      </c>
      <c r="B639" s="46" t="n">
        <f aca="false">LARGE(v_valor,A639)</f>
        <v>22.5</v>
      </c>
      <c r="C639" s="46" t="n">
        <f aca="false">C638+B639</f>
        <v>105759.29</v>
      </c>
      <c r="D639" s="50" t="n">
        <f aca="false">C639/SUM(v_valor)</f>
        <v>0.967212943839724</v>
      </c>
      <c r="E639" s="50" t="n">
        <f aca="false">A639/1000</f>
        <v>0.638</v>
      </c>
    </row>
    <row r="640" customFormat="false" ht="15" hidden="false" customHeight="false" outlineLevel="0" collapsed="false">
      <c r="A640" s="48" t="n">
        <v>639</v>
      </c>
      <c r="B640" s="46" t="n">
        <f aca="false">LARGE(v_valor,A640)</f>
        <v>22.5</v>
      </c>
      <c r="C640" s="46" t="n">
        <f aca="false">C639+B640</f>
        <v>105781.79</v>
      </c>
      <c r="D640" s="50" t="n">
        <f aca="false">C640/SUM(v_valor)</f>
        <v>0.967418715750981</v>
      </c>
      <c r="E640" s="50" t="n">
        <f aca="false">A640/1000</f>
        <v>0.639</v>
      </c>
    </row>
    <row r="641" customFormat="false" ht="15" hidden="false" customHeight="false" outlineLevel="0" collapsed="false">
      <c r="A641" s="48" t="n">
        <v>640</v>
      </c>
      <c r="B641" s="46" t="n">
        <f aca="false">LARGE(v_valor,A641)</f>
        <v>22.4</v>
      </c>
      <c r="C641" s="46" t="n">
        <f aca="false">C640+B641</f>
        <v>105804.19</v>
      </c>
      <c r="D641" s="50" t="n">
        <f aca="false">C641/SUM(v_valor)</f>
        <v>0.967623573120409</v>
      </c>
      <c r="E641" s="50" t="n">
        <f aca="false">A641/1000</f>
        <v>0.64</v>
      </c>
    </row>
    <row r="642" customFormat="false" ht="15" hidden="false" customHeight="false" outlineLevel="0" collapsed="false">
      <c r="A642" s="48" t="n">
        <v>641</v>
      </c>
      <c r="B642" s="46" t="n">
        <f aca="false">LARGE(v_valor,A642)</f>
        <v>22.04</v>
      </c>
      <c r="C642" s="46" t="n">
        <f aca="false">C641+B642</f>
        <v>105826.23</v>
      </c>
      <c r="D642" s="50" t="n">
        <f aca="false">C642/SUM(v_valor)</f>
        <v>0.967825138139257</v>
      </c>
      <c r="E642" s="50" t="n">
        <f aca="false">A642/1000</f>
        <v>0.641</v>
      </c>
    </row>
    <row r="643" customFormat="false" ht="15" hidden="false" customHeight="false" outlineLevel="0" collapsed="false">
      <c r="A643" s="48" t="n">
        <v>642</v>
      </c>
      <c r="B643" s="46" t="n">
        <f aca="false">LARGE(v_valor,A643)</f>
        <v>21.99</v>
      </c>
      <c r="C643" s="46" t="n">
        <f aca="false">C642+B643</f>
        <v>105848.22</v>
      </c>
      <c r="D643" s="50" t="n">
        <f aca="false">C643/SUM(v_valor)</f>
        <v>0.968026245887192</v>
      </c>
      <c r="E643" s="50" t="n">
        <f aca="false">A643/1000</f>
        <v>0.642</v>
      </c>
    </row>
    <row r="644" customFormat="false" ht="15" hidden="false" customHeight="false" outlineLevel="0" collapsed="false">
      <c r="A644" s="48" t="n">
        <v>643</v>
      </c>
      <c r="B644" s="46" t="n">
        <f aca="false">LARGE(v_valor,A644)</f>
        <v>21.85</v>
      </c>
      <c r="C644" s="46" t="n">
        <f aca="false">C643+B644</f>
        <v>105870.07</v>
      </c>
      <c r="D644" s="50" t="n">
        <f aca="false">C644/SUM(v_valor)</f>
        <v>0.968226073276567</v>
      </c>
      <c r="E644" s="50" t="n">
        <f aca="false">A644/1000</f>
        <v>0.643</v>
      </c>
    </row>
    <row r="645" customFormat="false" ht="15" hidden="false" customHeight="false" outlineLevel="0" collapsed="false">
      <c r="A645" s="48" t="n">
        <v>644</v>
      </c>
      <c r="B645" s="46" t="n">
        <f aca="false">LARGE(v_valor,A645)</f>
        <v>21.68</v>
      </c>
      <c r="C645" s="46" t="n">
        <f aca="false">C644+B645</f>
        <v>105891.75</v>
      </c>
      <c r="D645" s="50" t="n">
        <f aca="false">C645/SUM(v_valor)</f>
        <v>0.968424345944835</v>
      </c>
      <c r="E645" s="50" t="n">
        <f aca="false">A645/1000</f>
        <v>0.644</v>
      </c>
    </row>
    <row r="646" customFormat="false" ht="15" hidden="false" customHeight="false" outlineLevel="0" collapsed="false">
      <c r="A646" s="48" t="n">
        <v>645</v>
      </c>
      <c r="B646" s="46" t="n">
        <f aca="false">LARGE(v_valor,A646)</f>
        <v>21.67</v>
      </c>
      <c r="C646" s="46" t="n">
        <f aca="false">C645+B646</f>
        <v>105913.42</v>
      </c>
      <c r="D646" s="50" t="n">
        <f aca="false">C646/SUM(v_valor)</f>
        <v>0.968622527158921</v>
      </c>
      <c r="E646" s="50" t="n">
        <f aca="false">A646/1000</f>
        <v>0.645</v>
      </c>
    </row>
    <row r="647" customFormat="false" ht="15" hidden="false" customHeight="false" outlineLevel="0" collapsed="false">
      <c r="A647" s="48" t="n">
        <v>646</v>
      </c>
      <c r="B647" s="46" t="n">
        <f aca="false">LARGE(v_valor,A647)</f>
        <v>21.67</v>
      </c>
      <c r="C647" s="46" t="n">
        <f aca="false">C646+B647</f>
        <v>105935.09</v>
      </c>
      <c r="D647" s="50" t="n">
        <f aca="false">C647/SUM(v_valor)</f>
        <v>0.968820708373006</v>
      </c>
      <c r="E647" s="50" t="n">
        <f aca="false">A647/1000</f>
        <v>0.646</v>
      </c>
    </row>
    <row r="648" customFormat="false" ht="15" hidden="false" customHeight="false" outlineLevel="0" collapsed="false">
      <c r="A648" s="48" t="n">
        <v>647</v>
      </c>
      <c r="B648" s="46" t="n">
        <f aca="false">LARGE(v_valor,A648)</f>
        <v>21.65</v>
      </c>
      <c r="C648" s="46" t="n">
        <f aca="false">C647+B648</f>
        <v>105956.74</v>
      </c>
      <c r="D648" s="50" t="n">
        <f aca="false">C648/SUM(v_valor)</f>
        <v>0.969018706678726</v>
      </c>
      <c r="E648" s="50" t="n">
        <f aca="false">A648/1000</f>
        <v>0.647</v>
      </c>
    </row>
    <row r="649" customFormat="false" ht="15" hidden="false" customHeight="false" outlineLevel="0" collapsed="false">
      <c r="A649" s="48" t="n">
        <v>648</v>
      </c>
      <c r="B649" s="46" t="n">
        <f aca="false">LARGE(v_valor,A649)</f>
        <v>21.54</v>
      </c>
      <c r="C649" s="46" t="n">
        <f aca="false">C648+B649</f>
        <v>105978.28</v>
      </c>
      <c r="D649" s="50" t="n">
        <f aca="false">C649/SUM(v_valor)</f>
        <v>0.969215698988435</v>
      </c>
      <c r="E649" s="50" t="n">
        <f aca="false">A649/1000</f>
        <v>0.648</v>
      </c>
    </row>
    <row r="650" customFormat="false" ht="15" hidden="false" customHeight="false" outlineLevel="0" collapsed="false">
      <c r="A650" s="48" t="n">
        <v>649</v>
      </c>
      <c r="B650" s="46" t="n">
        <f aca="false">LARGE(v_valor,A650)</f>
        <v>21.45</v>
      </c>
      <c r="C650" s="46" t="n">
        <f aca="false">C649+B650</f>
        <v>105999.73</v>
      </c>
      <c r="D650" s="50" t="n">
        <f aca="false">C650/SUM(v_valor)</f>
        <v>0.969411868210499</v>
      </c>
      <c r="E650" s="50" t="n">
        <f aca="false">A650/1000</f>
        <v>0.649</v>
      </c>
    </row>
    <row r="651" customFormat="false" ht="15" hidden="false" customHeight="false" outlineLevel="0" collapsed="false">
      <c r="A651" s="48" t="n">
        <v>650</v>
      </c>
      <c r="B651" s="46" t="n">
        <f aca="false">LARGE(v_valor,A651)</f>
        <v>21.38</v>
      </c>
      <c r="C651" s="46" t="n">
        <f aca="false">C650+B651</f>
        <v>106021.11</v>
      </c>
      <c r="D651" s="50" t="n">
        <f aca="false">C651/SUM(v_valor)</f>
        <v>0.969607397253284</v>
      </c>
      <c r="E651" s="50" t="n">
        <f aca="false">A651/1000</f>
        <v>0.65</v>
      </c>
    </row>
    <row r="652" customFormat="false" ht="15" hidden="false" customHeight="false" outlineLevel="0" collapsed="false">
      <c r="A652" s="48" t="n">
        <v>651</v>
      </c>
      <c r="B652" s="46" t="n">
        <f aca="false">LARGE(v_valor,A652)</f>
        <v>21.17</v>
      </c>
      <c r="C652" s="46" t="n">
        <f aca="false">C651+B652</f>
        <v>106042.28</v>
      </c>
      <c r="D652" s="50" t="n">
        <f aca="false">C652/SUM(v_valor)</f>
        <v>0.96980100575823</v>
      </c>
      <c r="E652" s="50" t="n">
        <f aca="false">A652/1000</f>
        <v>0.651</v>
      </c>
    </row>
    <row r="653" customFormat="false" ht="15" hidden="false" customHeight="false" outlineLevel="0" collapsed="false">
      <c r="A653" s="48" t="n">
        <v>652</v>
      </c>
      <c r="B653" s="46" t="n">
        <f aca="false">LARGE(v_valor,A653)</f>
        <v>21.05</v>
      </c>
      <c r="C653" s="46" t="n">
        <f aca="false">C652+B653</f>
        <v>106063.33</v>
      </c>
      <c r="D653" s="50" t="n">
        <f aca="false">C653/SUM(v_valor)</f>
        <v>0.969993516812983</v>
      </c>
      <c r="E653" s="50" t="n">
        <f aca="false">A653/1000</f>
        <v>0.652</v>
      </c>
    </row>
    <row r="654" customFormat="false" ht="15" hidden="false" customHeight="false" outlineLevel="0" collapsed="false">
      <c r="A654" s="48" t="n">
        <v>653</v>
      </c>
      <c r="B654" s="46" t="n">
        <f aca="false">LARGE(v_valor,A654)</f>
        <v>20.72</v>
      </c>
      <c r="C654" s="46" t="n">
        <f aca="false">C653+B654</f>
        <v>106084.05</v>
      </c>
      <c r="D654" s="50" t="n">
        <f aca="false">C654/SUM(v_valor)</f>
        <v>0.970183009879704</v>
      </c>
      <c r="E654" s="50" t="n">
        <f aca="false">A654/1000</f>
        <v>0.653</v>
      </c>
    </row>
    <row r="655" customFormat="false" ht="15" hidden="false" customHeight="false" outlineLevel="0" collapsed="false">
      <c r="A655" s="48" t="n">
        <v>654</v>
      </c>
      <c r="B655" s="46" t="n">
        <f aca="false">LARGE(v_valor,A655)</f>
        <v>20.71</v>
      </c>
      <c r="C655" s="46" t="n">
        <f aca="false">C654+B655</f>
        <v>106104.76</v>
      </c>
      <c r="D655" s="50" t="n">
        <f aca="false">C655/SUM(v_valor)</f>
        <v>0.970372411492243</v>
      </c>
      <c r="E655" s="50" t="n">
        <f aca="false">A655/1000</f>
        <v>0.654</v>
      </c>
    </row>
    <row r="656" customFormat="false" ht="15" hidden="false" customHeight="false" outlineLevel="0" collapsed="false">
      <c r="A656" s="48" t="n">
        <v>655</v>
      </c>
      <c r="B656" s="46" t="n">
        <f aca="false">LARGE(v_valor,A656)</f>
        <v>20.66</v>
      </c>
      <c r="C656" s="46" t="n">
        <f aca="false">C655+B656</f>
        <v>106125.42</v>
      </c>
      <c r="D656" s="50" t="n">
        <f aca="false">C656/SUM(v_valor)</f>
        <v>0.970561355833867</v>
      </c>
      <c r="E656" s="50" t="n">
        <f aca="false">A656/1000</f>
        <v>0.655</v>
      </c>
    </row>
    <row r="657" customFormat="false" ht="15" hidden="false" customHeight="false" outlineLevel="0" collapsed="false">
      <c r="A657" s="48" t="n">
        <v>656</v>
      </c>
      <c r="B657" s="46" t="n">
        <f aca="false">LARGE(v_valor,A657)</f>
        <v>20.6</v>
      </c>
      <c r="C657" s="46" t="n">
        <f aca="false">C656+B657</f>
        <v>106146.02</v>
      </c>
      <c r="D657" s="50" t="n">
        <f aca="false">C657/SUM(v_valor)</f>
        <v>0.970749751450395</v>
      </c>
      <c r="E657" s="50" t="n">
        <f aca="false">A657/1000</f>
        <v>0.656</v>
      </c>
    </row>
    <row r="658" customFormat="false" ht="15" hidden="false" customHeight="false" outlineLevel="0" collapsed="false">
      <c r="A658" s="48" t="n">
        <v>657</v>
      </c>
      <c r="B658" s="46" t="n">
        <f aca="false">LARGE(v_valor,A658)</f>
        <v>20.54</v>
      </c>
      <c r="C658" s="46" t="n">
        <f aca="false">C657+B658</f>
        <v>106166.56</v>
      </c>
      <c r="D658" s="50" t="n">
        <f aca="false">C658/SUM(v_valor)</f>
        <v>0.970937598341826</v>
      </c>
      <c r="E658" s="50" t="n">
        <f aca="false">A658/1000</f>
        <v>0.657</v>
      </c>
    </row>
    <row r="659" customFormat="false" ht="15" hidden="false" customHeight="false" outlineLevel="0" collapsed="false">
      <c r="A659" s="48" t="n">
        <v>658</v>
      </c>
      <c r="B659" s="46" t="n">
        <f aca="false">LARGE(v_valor,A659)</f>
        <v>20.43</v>
      </c>
      <c r="C659" s="46" t="n">
        <f aca="false">C658+B659</f>
        <v>106186.99</v>
      </c>
      <c r="D659" s="50" t="n">
        <f aca="false">C659/SUM(v_valor)</f>
        <v>0.971124439237247</v>
      </c>
      <c r="E659" s="50" t="n">
        <f aca="false">A659/1000</f>
        <v>0.658</v>
      </c>
    </row>
    <row r="660" customFormat="false" ht="15" hidden="false" customHeight="false" outlineLevel="0" collapsed="false">
      <c r="A660" s="48" t="n">
        <v>659</v>
      </c>
      <c r="B660" s="46" t="n">
        <f aca="false">LARGE(v_valor,A660)</f>
        <v>20.37</v>
      </c>
      <c r="C660" s="46" t="n">
        <f aca="false">C659+B660</f>
        <v>106207.36</v>
      </c>
      <c r="D660" s="50" t="n">
        <f aca="false">C660/SUM(v_valor)</f>
        <v>0.971310731407571</v>
      </c>
      <c r="E660" s="50" t="n">
        <f aca="false">A660/1000</f>
        <v>0.659</v>
      </c>
    </row>
    <row r="661" customFormat="false" ht="15" hidden="false" customHeight="false" outlineLevel="0" collapsed="false">
      <c r="A661" s="48" t="n">
        <v>660</v>
      </c>
      <c r="B661" s="46" t="n">
        <f aca="false">LARGE(v_valor,A661)</f>
        <v>20.29</v>
      </c>
      <c r="C661" s="46" t="n">
        <f aca="false">C660+B661</f>
        <v>106227.65</v>
      </c>
      <c r="D661" s="50" t="n">
        <f aca="false">C661/SUM(v_valor)</f>
        <v>0.971496291944432</v>
      </c>
      <c r="E661" s="50" t="n">
        <f aca="false">A661/1000</f>
        <v>0.66</v>
      </c>
    </row>
    <row r="662" customFormat="false" ht="15" hidden="false" customHeight="false" outlineLevel="0" collapsed="false">
      <c r="A662" s="48" t="n">
        <v>661</v>
      </c>
      <c r="B662" s="46" t="n">
        <f aca="false">LARGE(v_valor,A662)</f>
        <v>20.27</v>
      </c>
      <c r="C662" s="46" t="n">
        <f aca="false">C661+B662</f>
        <v>106247.92</v>
      </c>
      <c r="D662" s="50" t="n">
        <f aca="false">C662/SUM(v_valor)</f>
        <v>0.971681669572929</v>
      </c>
      <c r="E662" s="50" t="n">
        <f aca="false">A662/1000</f>
        <v>0.661</v>
      </c>
    </row>
    <row r="663" customFormat="false" ht="15" hidden="false" customHeight="false" outlineLevel="0" collapsed="false">
      <c r="A663" s="48" t="n">
        <v>662</v>
      </c>
      <c r="B663" s="46" t="n">
        <f aca="false">LARGE(v_valor,A663)</f>
        <v>20.23</v>
      </c>
      <c r="C663" s="46" t="n">
        <f aca="false">C662+B663</f>
        <v>106268.15</v>
      </c>
      <c r="D663" s="50" t="n">
        <f aca="false">C663/SUM(v_valor)</f>
        <v>0.971866681384694</v>
      </c>
      <c r="E663" s="50" t="n">
        <f aca="false">A663/1000</f>
        <v>0.662</v>
      </c>
    </row>
    <row r="664" customFormat="false" ht="15" hidden="false" customHeight="false" outlineLevel="0" collapsed="false">
      <c r="A664" s="48" t="n">
        <v>663</v>
      </c>
      <c r="B664" s="46" t="n">
        <f aca="false">LARGE(v_valor,A664)</f>
        <v>20.18</v>
      </c>
      <c r="C664" s="46" t="n">
        <f aca="false">C663+B664</f>
        <v>106288.33</v>
      </c>
      <c r="D664" s="50" t="n">
        <f aca="false">C664/SUM(v_valor)</f>
        <v>0.972051235925544</v>
      </c>
      <c r="E664" s="50" t="n">
        <f aca="false">A664/1000</f>
        <v>0.663</v>
      </c>
    </row>
    <row r="665" customFormat="false" ht="15" hidden="false" customHeight="false" outlineLevel="0" collapsed="false">
      <c r="A665" s="48" t="n">
        <v>664</v>
      </c>
      <c r="B665" s="46" t="n">
        <f aca="false">LARGE(v_valor,A665)</f>
        <v>19.78</v>
      </c>
      <c r="C665" s="46" t="n">
        <f aca="false">C664+B665</f>
        <v>106308.11</v>
      </c>
      <c r="D665" s="50" t="n">
        <f aca="false">C665/SUM(v_valor)</f>
        <v>0.972232132299084</v>
      </c>
      <c r="E665" s="50" t="n">
        <f aca="false">A665/1000</f>
        <v>0.664</v>
      </c>
    </row>
    <row r="666" customFormat="false" ht="15" hidden="false" customHeight="false" outlineLevel="0" collapsed="false">
      <c r="A666" s="48" t="n">
        <v>665</v>
      </c>
      <c r="B666" s="46" t="n">
        <f aca="false">LARGE(v_valor,A666)</f>
        <v>19.72</v>
      </c>
      <c r="C666" s="46" t="n">
        <f aca="false">C665+B666</f>
        <v>106327.83</v>
      </c>
      <c r="D666" s="50" t="n">
        <f aca="false">C666/SUM(v_valor)</f>
        <v>0.972412479947527</v>
      </c>
      <c r="E666" s="50" t="n">
        <f aca="false">A666/1000</f>
        <v>0.665</v>
      </c>
    </row>
    <row r="667" customFormat="false" ht="15" hidden="false" customHeight="false" outlineLevel="0" collapsed="false">
      <c r="A667" s="48" t="n">
        <v>666</v>
      </c>
      <c r="B667" s="46" t="n">
        <f aca="false">LARGE(v_valor,A667)</f>
        <v>19.69</v>
      </c>
      <c r="C667" s="46" t="n">
        <f aca="false">C666+B667</f>
        <v>106347.52</v>
      </c>
      <c r="D667" s="50" t="n">
        <f aca="false">C667/SUM(v_valor)</f>
        <v>0.972592553233422</v>
      </c>
      <c r="E667" s="50" t="n">
        <f aca="false">A667/1000</f>
        <v>0.666</v>
      </c>
    </row>
    <row r="668" customFormat="false" ht="15" hidden="false" customHeight="false" outlineLevel="0" collapsed="false">
      <c r="A668" s="48" t="n">
        <v>667</v>
      </c>
      <c r="B668" s="46" t="n">
        <f aca="false">LARGE(v_valor,A668)</f>
        <v>19.66</v>
      </c>
      <c r="C668" s="46" t="n">
        <f aca="false">C667+B668</f>
        <v>106367.18</v>
      </c>
      <c r="D668" s="50" t="n">
        <f aca="false">C668/SUM(v_valor)</f>
        <v>0.972772352156769</v>
      </c>
      <c r="E668" s="50" t="n">
        <f aca="false">A668/1000</f>
        <v>0.667</v>
      </c>
    </row>
    <row r="669" customFormat="false" ht="15" hidden="false" customHeight="false" outlineLevel="0" collapsed="false">
      <c r="A669" s="48" t="n">
        <v>668</v>
      </c>
      <c r="B669" s="46" t="n">
        <f aca="false">LARGE(v_valor,A669)</f>
        <v>19.65</v>
      </c>
      <c r="C669" s="46" t="n">
        <f aca="false">C668+B669</f>
        <v>106386.83</v>
      </c>
      <c r="D669" s="50" t="n">
        <f aca="false">C669/SUM(v_valor)</f>
        <v>0.972952059625933</v>
      </c>
      <c r="E669" s="50" t="n">
        <f aca="false">A669/1000</f>
        <v>0.668</v>
      </c>
    </row>
    <row r="670" customFormat="false" ht="15" hidden="false" customHeight="false" outlineLevel="0" collapsed="false">
      <c r="A670" s="48" t="n">
        <v>669</v>
      </c>
      <c r="B670" s="46" t="n">
        <f aca="false">LARGE(v_valor,A670)</f>
        <v>19.62</v>
      </c>
      <c r="C670" s="46" t="n">
        <f aca="false">C669+B670</f>
        <v>106406.45</v>
      </c>
      <c r="D670" s="50" t="n">
        <f aca="false">C670/SUM(v_valor)</f>
        <v>0.973131492732548</v>
      </c>
      <c r="E670" s="50" t="n">
        <f aca="false">A670/1000</f>
        <v>0.669</v>
      </c>
    </row>
    <row r="671" customFormat="false" ht="15" hidden="false" customHeight="false" outlineLevel="0" collapsed="false">
      <c r="A671" s="48" t="n">
        <v>670</v>
      </c>
      <c r="B671" s="46" t="n">
        <f aca="false">LARGE(v_valor,A671)</f>
        <v>19.61</v>
      </c>
      <c r="C671" s="46" t="n">
        <f aca="false">C670+B671</f>
        <v>106426.06</v>
      </c>
      <c r="D671" s="50" t="n">
        <f aca="false">C671/SUM(v_valor)</f>
        <v>0.97331083438498</v>
      </c>
      <c r="E671" s="50" t="n">
        <f aca="false">A671/1000</f>
        <v>0.67</v>
      </c>
    </row>
    <row r="672" customFormat="false" ht="15" hidden="false" customHeight="false" outlineLevel="0" collapsed="false">
      <c r="A672" s="48" t="n">
        <v>671</v>
      </c>
      <c r="B672" s="46" t="n">
        <f aca="false">LARGE(v_valor,A672)</f>
        <v>19.47</v>
      </c>
      <c r="C672" s="46" t="n">
        <f aca="false">C671+B672</f>
        <v>106445.53</v>
      </c>
      <c r="D672" s="50" t="n">
        <f aca="false">C672/SUM(v_valor)</f>
        <v>0.973488895678854</v>
      </c>
      <c r="E672" s="50" t="n">
        <f aca="false">A672/1000</f>
        <v>0.671</v>
      </c>
    </row>
    <row r="673" customFormat="false" ht="15" hidden="false" customHeight="false" outlineLevel="0" collapsed="false">
      <c r="A673" s="48" t="n">
        <v>672</v>
      </c>
      <c r="B673" s="46" t="n">
        <f aca="false">LARGE(v_valor,A673)</f>
        <v>19.47</v>
      </c>
      <c r="C673" s="46" t="n">
        <f aca="false">C672+B673</f>
        <v>106465</v>
      </c>
      <c r="D673" s="50" t="n">
        <f aca="false">C673/SUM(v_valor)</f>
        <v>0.973666956972728</v>
      </c>
      <c r="E673" s="50" t="n">
        <f aca="false">A673/1000</f>
        <v>0.672</v>
      </c>
    </row>
    <row r="674" customFormat="false" ht="15" hidden="false" customHeight="false" outlineLevel="0" collapsed="false">
      <c r="A674" s="48" t="n">
        <v>673</v>
      </c>
      <c r="B674" s="46" t="n">
        <f aca="false">LARGE(v_valor,A674)</f>
        <v>19.45</v>
      </c>
      <c r="C674" s="46" t="n">
        <f aca="false">C673+B674</f>
        <v>106484.45</v>
      </c>
      <c r="D674" s="50" t="n">
        <f aca="false">C674/SUM(v_valor)</f>
        <v>0.973844835358236</v>
      </c>
      <c r="E674" s="50" t="n">
        <f aca="false">A674/1000</f>
        <v>0.673</v>
      </c>
    </row>
    <row r="675" customFormat="false" ht="15" hidden="false" customHeight="false" outlineLevel="0" collapsed="false">
      <c r="A675" s="48" t="n">
        <v>674</v>
      </c>
      <c r="B675" s="46" t="n">
        <f aca="false">LARGE(v_valor,A675)</f>
        <v>19.41</v>
      </c>
      <c r="C675" s="46" t="n">
        <f aca="false">C674+B675</f>
        <v>106503.86</v>
      </c>
      <c r="D675" s="50" t="n">
        <f aca="false">C675/SUM(v_valor)</f>
        <v>0.974022347927013</v>
      </c>
      <c r="E675" s="50" t="n">
        <f aca="false">A675/1000</f>
        <v>0.674</v>
      </c>
    </row>
    <row r="676" customFormat="false" ht="15" hidden="false" customHeight="false" outlineLevel="0" collapsed="false">
      <c r="A676" s="48" t="n">
        <v>675</v>
      </c>
      <c r="B676" s="46" t="n">
        <f aca="false">LARGE(v_valor,A676)</f>
        <v>19.35</v>
      </c>
      <c r="C676" s="46" t="n">
        <f aca="false">C675+B676</f>
        <v>106523.21</v>
      </c>
      <c r="D676" s="50" t="n">
        <f aca="false">C676/SUM(v_valor)</f>
        <v>0.974199311770693</v>
      </c>
      <c r="E676" s="50" t="n">
        <f aca="false">A676/1000</f>
        <v>0.675</v>
      </c>
    </row>
    <row r="677" customFormat="false" ht="15" hidden="false" customHeight="false" outlineLevel="0" collapsed="false">
      <c r="A677" s="48" t="n">
        <v>676</v>
      </c>
      <c r="B677" s="46" t="n">
        <f aca="false">LARGE(v_valor,A677)</f>
        <v>19.24</v>
      </c>
      <c r="C677" s="46" t="n">
        <f aca="false">C676+B677</f>
        <v>106542.45</v>
      </c>
      <c r="D677" s="50" t="n">
        <f aca="false">C677/SUM(v_valor)</f>
        <v>0.974375269618363</v>
      </c>
      <c r="E677" s="50" t="n">
        <f aca="false">A677/1000</f>
        <v>0.676</v>
      </c>
    </row>
    <row r="678" customFormat="false" ht="15" hidden="false" customHeight="false" outlineLevel="0" collapsed="false">
      <c r="A678" s="48" t="n">
        <v>677</v>
      </c>
      <c r="B678" s="46" t="n">
        <f aca="false">LARGE(v_valor,A678)</f>
        <v>19.23</v>
      </c>
      <c r="C678" s="46" t="n">
        <f aca="false">C677+B678</f>
        <v>106561.68</v>
      </c>
      <c r="D678" s="50" t="n">
        <f aca="false">C678/SUM(v_valor)</f>
        <v>0.97455113601185</v>
      </c>
      <c r="E678" s="50" t="n">
        <f aca="false">A678/1000</f>
        <v>0.677</v>
      </c>
    </row>
    <row r="679" customFormat="false" ht="15" hidden="false" customHeight="false" outlineLevel="0" collapsed="false">
      <c r="A679" s="48" t="n">
        <v>678</v>
      </c>
      <c r="B679" s="46" t="n">
        <f aca="false">LARGE(v_valor,A679)</f>
        <v>19.09</v>
      </c>
      <c r="C679" s="46" t="n">
        <f aca="false">C678+B679</f>
        <v>106580.77</v>
      </c>
      <c r="D679" s="50" t="n">
        <f aca="false">C679/SUM(v_valor)</f>
        <v>0.974725722046778</v>
      </c>
      <c r="E679" s="50" t="n">
        <f aca="false">A679/1000</f>
        <v>0.678</v>
      </c>
    </row>
    <row r="680" customFormat="false" ht="15" hidden="false" customHeight="false" outlineLevel="0" collapsed="false">
      <c r="A680" s="48" t="n">
        <v>679</v>
      </c>
      <c r="B680" s="46" t="n">
        <f aca="false">LARGE(v_valor,A680)</f>
        <v>18.94</v>
      </c>
      <c r="C680" s="46" t="n">
        <f aca="false">C679+B680</f>
        <v>106599.71</v>
      </c>
      <c r="D680" s="50" t="n">
        <f aca="false">C680/SUM(v_valor)</f>
        <v>0.974898936268964</v>
      </c>
      <c r="E680" s="50" t="n">
        <f aca="false">A680/1000</f>
        <v>0.679</v>
      </c>
    </row>
    <row r="681" customFormat="false" ht="15" hidden="false" customHeight="false" outlineLevel="0" collapsed="false">
      <c r="A681" s="48" t="n">
        <v>680</v>
      </c>
      <c r="B681" s="46" t="n">
        <f aca="false">LARGE(v_valor,A681)</f>
        <v>18.79</v>
      </c>
      <c r="C681" s="46" t="n">
        <f aca="false">C680+B681</f>
        <v>106618.5</v>
      </c>
      <c r="D681" s="50" t="n">
        <f aca="false">C681/SUM(v_valor)</f>
        <v>0.975070778678409</v>
      </c>
      <c r="E681" s="50" t="n">
        <f aca="false">A681/1000</f>
        <v>0.68</v>
      </c>
    </row>
    <row r="682" customFormat="false" ht="15" hidden="false" customHeight="false" outlineLevel="0" collapsed="false">
      <c r="A682" s="48" t="n">
        <v>681</v>
      </c>
      <c r="B682" s="46" t="n">
        <f aca="false">LARGE(v_valor,A682)</f>
        <v>18.7</v>
      </c>
      <c r="C682" s="46" t="n">
        <f aca="false">C681+B682</f>
        <v>106637.2</v>
      </c>
      <c r="D682" s="50" t="n">
        <f aca="false">C682/SUM(v_valor)</f>
        <v>0.975241798000208</v>
      </c>
      <c r="E682" s="50" t="n">
        <f aca="false">A682/1000</f>
        <v>0.681</v>
      </c>
    </row>
    <row r="683" customFormat="false" ht="15" hidden="false" customHeight="false" outlineLevel="0" collapsed="false">
      <c r="A683" s="48" t="n">
        <v>682</v>
      </c>
      <c r="B683" s="46" t="n">
        <f aca="false">LARGE(v_valor,A683)</f>
        <v>18.68</v>
      </c>
      <c r="C683" s="46" t="n">
        <f aca="false">C682+B683</f>
        <v>106655.88</v>
      </c>
      <c r="D683" s="50" t="n">
        <f aca="false">C683/SUM(v_valor)</f>
        <v>0.975412634413642</v>
      </c>
      <c r="E683" s="50" t="n">
        <f aca="false">A683/1000</f>
        <v>0.682</v>
      </c>
    </row>
    <row r="684" customFormat="false" ht="15" hidden="false" customHeight="false" outlineLevel="0" collapsed="false">
      <c r="A684" s="48" t="n">
        <v>683</v>
      </c>
      <c r="B684" s="46" t="n">
        <f aca="false">LARGE(v_valor,A684)</f>
        <v>18.49</v>
      </c>
      <c r="C684" s="46" t="n">
        <f aca="false">C683+B684</f>
        <v>106674.37</v>
      </c>
      <c r="D684" s="50" t="n">
        <f aca="false">C684/SUM(v_valor)</f>
        <v>0.975581733197603</v>
      </c>
      <c r="E684" s="50" t="n">
        <f aca="false">A684/1000</f>
        <v>0.683</v>
      </c>
    </row>
    <row r="685" customFormat="false" ht="15" hidden="false" customHeight="false" outlineLevel="0" collapsed="false">
      <c r="A685" s="48" t="n">
        <v>684</v>
      </c>
      <c r="B685" s="46" t="n">
        <f aca="false">LARGE(v_valor,A685)</f>
        <v>18.37</v>
      </c>
      <c r="C685" s="46" t="n">
        <f aca="false">C684+B685</f>
        <v>106692.74</v>
      </c>
      <c r="D685" s="50" t="n">
        <f aca="false">C685/SUM(v_valor)</f>
        <v>0.975749734531371</v>
      </c>
      <c r="E685" s="50" t="n">
        <f aca="false">A685/1000</f>
        <v>0.684</v>
      </c>
    </row>
    <row r="686" customFormat="false" ht="15" hidden="false" customHeight="false" outlineLevel="0" collapsed="false">
      <c r="A686" s="48" t="n">
        <v>685</v>
      </c>
      <c r="B686" s="46" t="n">
        <f aca="false">LARGE(v_valor,A686)</f>
        <v>18.2</v>
      </c>
      <c r="C686" s="46" t="n">
        <f aca="false">C685+B686</f>
        <v>106710.94</v>
      </c>
      <c r="D686" s="50" t="n">
        <f aca="false">C686/SUM(v_valor)</f>
        <v>0.975916181144032</v>
      </c>
      <c r="E686" s="50" t="n">
        <f aca="false">A686/1000</f>
        <v>0.685</v>
      </c>
    </row>
    <row r="687" customFormat="false" ht="15" hidden="false" customHeight="false" outlineLevel="0" collapsed="false">
      <c r="A687" s="48" t="n">
        <v>686</v>
      </c>
      <c r="B687" s="46" t="n">
        <f aca="false">LARGE(v_valor,A687)</f>
        <v>18.12</v>
      </c>
      <c r="C687" s="46" t="n">
        <f aca="false">C686+B687</f>
        <v>106729.06</v>
      </c>
      <c r="D687" s="50" t="n">
        <f aca="false">C687/SUM(v_valor)</f>
        <v>0.97608189612323</v>
      </c>
      <c r="E687" s="50" t="n">
        <f aca="false">A687/1000</f>
        <v>0.686</v>
      </c>
    </row>
    <row r="688" customFormat="false" ht="15" hidden="false" customHeight="false" outlineLevel="0" collapsed="false">
      <c r="A688" s="48" t="n">
        <v>687</v>
      </c>
      <c r="B688" s="46" t="n">
        <f aca="false">LARGE(v_valor,A688)</f>
        <v>18.07</v>
      </c>
      <c r="C688" s="46" t="n">
        <f aca="false">C687+B688</f>
        <v>106747.13</v>
      </c>
      <c r="D688" s="50" t="n">
        <f aca="false">C688/SUM(v_valor)</f>
        <v>0.976247153831514</v>
      </c>
      <c r="E688" s="50" t="n">
        <f aca="false">A688/1000</f>
        <v>0.687</v>
      </c>
    </row>
    <row r="689" customFormat="false" ht="15" hidden="false" customHeight="false" outlineLevel="0" collapsed="false">
      <c r="A689" s="48" t="n">
        <v>688</v>
      </c>
      <c r="B689" s="46" t="n">
        <f aca="false">LARGE(v_valor,A689)</f>
        <v>18.06</v>
      </c>
      <c r="C689" s="46" t="n">
        <f aca="false">C688+B689</f>
        <v>106765.19</v>
      </c>
      <c r="D689" s="50" t="n">
        <f aca="false">C689/SUM(v_valor)</f>
        <v>0.976412320085616</v>
      </c>
      <c r="E689" s="50" t="n">
        <f aca="false">A689/1000</f>
        <v>0.688</v>
      </c>
    </row>
    <row r="690" customFormat="false" ht="15" hidden="false" customHeight="false" outlineLevel="0" collapsed="false">
      <c r="A690" s="48" t="n">
        <v>689</v>
      </c>
      <c r="B690" s="46" t="n">
        <f aca="false">LARGE(v_valor,A690)</f>
        <v>17.95</v>
      </c>
      <c r="C690" s="46" t="n">
        <f aca="false">C689+B690</f>
        <v>106783.14</v>
      </c>
      <c r="D690" s="50" t="n">
        <f aca="false">C690/SUM(v_valor)</f>
        <v>0.976576480343707</v>
      </c>
      <c r="E690" s="50" t="n">
        <f aca="false">A690/1000</f>
        <v>0.689</v>
      </c>
    </row>
    <row r="691" customFormat="false" ht="15" hidden="false" customHeight="false" outlineLevel="0" collapsed="false">
      <c r="A691" s="48" t="n">
        <v>690</v>
      </c>
      <c r="B691" s="46" t="n">
        <f aca="false">LARGE(v_valor,A691)</f>
        <v>17.92</v>
      </c>
      <c r="C691" s="46" t="n">
        <f aca="false">C690+B691</f>
        <v>106801.06</v>
      </c>
      <c r="D691" s="50" t="n">
        <f aca="false">C691/SUM(v_valor)</f>
        <v>0.976740366239249</v>
      </c>
      <c r="E691" s="50" t="n">
        <f aca="false">A691/1000</f>
        <v>0.69</v>
      </c>
    </row>
    <row r="692" customFormat="false" ht="15" hidden="false" customHeight="false" outlineLevel="0" collapsed="false">
      <c r="A692" s="48" t="n">
        <v>691</v>
      </c>
      <c r="B692" s="46" t="n">
        <f aca="false">LARGE(v_valor,A692)</f>
        <v>17.85</v>
      </c>
      <c r="C692" s="46" t="n">
        <f aca="false">C691+B692</f>
        <v>106818.91</v>
      </c>
      <c r="D692" s="50" t="n">
        <f aca="false">C692/SUM(v_valor)</f>
        <v>0.976903611955513</v>
      </c>
      <c r="E692" s="50" t="n">
        <f aca="false">A692/1000</f>
        <v>0.691</v>
      </c>
    </row>
    <row r="693" customFormat="false" ht="15" hidden="false" customHeight="false" outlineLevel="0" collapsed="false">
      <c r="A693" s="48" t="n">
        <v>692</v>
      </c>
      <c r="B693" s="46" t="n">
        <f aca="false">LARGE(v_valor,A693)</f>
        <v>17.81</v>
      </c>
      <c r="C693" s="46" t="n">
        <f aca="false">C692+B693</f>
        <v>106836.72</v>
      </c>
      <c r="D693" s="50" t="n">
        <f aca="false">C693/SUM(v_valor)</f>
        <v>0.977066491855045</v>
      </c>
      <c r="E693" s="50" t="n">
        <f aca="false">A693/1000</f>
        <v>0.692</v>
      </c>
    </row>
    <row r="694" customFormat="false" ht="15" hidden="false" customHeight="false" outlineLevel="0" collapsed="false">
      <c r="A694" s="48" t="n">
        <v>693</v>
      </c>
      <c r="B694" s="46" t="n">
        <f aca="false">LARGE(v_valor,A694)</f>
        <v>17.77</v>
      </c>
      <c r="C694" s="46" t="n">
        <f aca="false">C693+B694</f>
        <v>106854.49</v>
      </c>
      <c r="D694" s="50" t="n">
        <f aca="false">C694/SUM(v_valor)</f>
        <v>0.977229005937846</v>
      </c>
      <c r="E694" s="50" t="n">
        <f aca="false">A694/1000</f>
        <v>0.693</v>
      </c>
    </row>
    <row r="695" customFormat="false" ht="15" hidden="false" customHeight="false" outlineLevel="0" collapsed="false">
      <c r="A695" s="48" t="n">
        <v>694</v>
      </c>
      <c r="B695" s="46" t="n">
        <f aca="false">LARGE(v_valor,A695)</f>
        <v>17.72</v>
      </c>
      <c r="C695" s="46" t="n">
        <f aca="false">C694+B695</f>
        <v>106872.21</v>
      </c>
      <c r="D695" s="50" t="n">
        <f aca="false">C695/SUM(v_valor)</f>
        <v>0.977391062749733</v>
      </c>
      <c r="E695" s="50" t="n">
        <f aca="false">A695/1000</f>
        <v>0.694</v>
      </c>
    </row>
    <row r="696" customFormat="false" ht="15" hidden="false" customHeight="false" outlineLevel="0" collapsed="false">
      <c r="A696" s="48" t="n">
        <v>695</v>
      </c>
      <c r="B696" s="46" t="n">
        <f aca="false">LARGE(v_valor,A696)</f>
        <v>17.7</v>
      </c>
      <c r="C696" s="46" t="n">
        <f aca="false">C695+B696</f>
        <v>106889.91</v>
      </c>
      <c r="D696" s="50" t="n">
        <f aca="false">C696/SUM(v_valor)</f>
        <v>0.977552936653254</v>
      </c>
      <c r="E696" s="50" t="n">
        <f aca="false">A696/1000</f>
        <v>0.695</v>
      </c>
    </row>
    <row r="697" customFormat="false" ht="15" hidden="false" customHeight="false" outlineLevel="0" collapsed="false">
      <c r="A697" s="48" t="n">
        <v>696</v>
      </c>
      <c r="B697" s="46" t="n">
        <f aca="false">LARGE(v_valor,A697)</f>
        <v>17.59</v>
      </c>
      <c r="C697" s="46" t="n">
        <f aca="false">C696+B697</f>
        <v>106907.5</v>
      </c>
      <c r="D697" s="50" t="n">
        <f aca="false">C697/SUM(v_valor)</f>
        <v>0.977713804560765</v>
      </c>
      <c r="E697" s="50" t="n">
        <f aca="false">A697/1000</f>
        <v>0.696</v>
      </c>
    </row>
    <row r="698" customFormat="false" ht="15" hidden="false" customHeight="false" outlineLevel="0" collapsed="false">
      <c r="A698" s="48" t="n">
        <v>697</v>
      </c>
      <c r="B698" s="46" t="n">
        <f aca="false">LARGE(v_valor,A698)</f>
        <v>17.57</v>
      </c>
      <c r="C698" s="46" t="n">
        <f aca="false">C697+B698</f>
        <v>106925.07</v>
      </c>
      <c r="D698" s="50" t="n">
        <f aca="false">C698/SUM(v_valor)</f>
        <v>0.977874489559911</v>
      </c>
      <c r="E698" s="50" t="n">
        <f aca="false">A698/1000</f>
        <v>0.697</v>
      </c>
    </row>
    <row r="699" customFormat="false" ht="15" hidden="false" customHeight="false" outlineLevel="0" collapsed="false">
      <c r="A699" s="48" t="n">
        <v>698</v>
      </c>
      <c r="B699" s="46" t="n">
        <f aca="false">LARGE(v_valor,A699)</f>
        <v>17.53</v>
      </c>
      <c r="C699" s="46" t="n">
        <f aca="false">C698+B699</f>
        <v>106942.6</v>
      </c>
      <c r="D699" s="50" t="n">
        <f aca="false">C699/SUM(v_valor)</f>
        <v>0.978034808742325</v>
      </c>
      <c r="E699" s="50" t="n">
        <f aca="false">A699/1000</f>
        <v>0.698</v>
      </c>
    </row>
    <row r="700" customFormat="false" ht="15" hidden="false" customHeight="false" outlineLevel="0" collapsed="false">
      <c r="A700" s="48" t="n">
        <v>699</v>
      </c>
      <c r="B700" s="46" t="n">
        <f aca="false">LARGE(v_valor,A700)</f>
        <v>17.41</v>
      </c>
      <c r="C700" s="46" t="n">
        <f aca="false">C699+B700</f>
        <v>106960.01</v>
      </c>
      <c r="D700" s="50" t="n">
        <f aca="false">C700/SUM(v_valor)</f>
        <v>0.978194030474546</v>
      </c>
      <c r="E700" s="50" t="n">
        <f aca="false">A700/1000</f>
        <v>0.699</v>
      </c>
    </row>
    <row r="701" customFormat="false" ht="15" hidden="false" customHeight="false" outlineLevel="0" collapsed="false">
      <c r="A701" s="48" t="n">
        <v>700</v>
      </c>
      <c r="B701" s="46" t="n">
        <f aca="false">LARGE(v_valor,A701)</f>
        <v>17.35</v>
      </c>
      <c r="C701" s="46" t="n">
        <f aca="false">C700+B701</f>
        <v>106977.36</v>
      </c>
      <c r="D701" s="50" t="n">
        <f aca="false">C701/SUM(v_valor)</f>
        <v>0.97835270348167</v>
      </c>
      <c r="E701" s="50" t="n">
        <f aca="false">A701/1000</f>
        <v>0.7</v>
      </c>
    </row>
    <row r="702" customFormat="false" ht="15" hidden="false" customHeight="false" outlineLevel="0" collapsed="false">
      <c r="A702" s="48" t="n">
        <v>701</v>
      </c>
      <c r="B702" s="46" t="n">
        <f aca="false">LARGE(v_valor,A702)</f>
        <v>17.19</v>
      </c>
      <c r="C702" s="46" t="n">
        <f aca="false">C701+B702</f>
        <v>106994.55</v>
      </c>
      <c r="D702" s="50" t="n">
        <f aca="false">C702/SUM(v_valor)</f>
        <v>0.97850991322187</v>
      </c>
      <c r="E702" s="50" t="n">
        <f aca="false">A702/1000</f>
        <v>0.701</v>
      </c>
    </row>
    <row r="703" customFormat="false" ht="15" hidden="false" customHeight="false" outlineLevel="0" collapsed="false">
      <c r="A703" s="48" t="n">
        <v>702</v>
      </c>
      <c r="B703" s="46" t="n">
        <f aca="false">LARGE(v_valor,A703)</f>
        <v>17.14</v>
      </c>
      <c r="C703" s="46" t="n">
        <f aca="false">C702+B703</f>
        <v>107011.69</v>
      </c>
      <c r="D703" s="50" t="n">
        <f aca="false">C703/SUM(v_valor)</f>
        <v>0.978666665691156</v>
      </c>
      <c r="E703" s="50" t="n">
        <f aca="false">A703/1000</f>
        <v>0.702</v>
      </c>
    </row>
    <row r="704" customFormat="false" ht="15" hidden="false" customHeight="false" outlineLevel="0" collapsed="false">
      <c r="A704" s="48" t="n">
        <v>703</v>
      </c>
      <c r="B704" s="46" t="n">
        <f aca="false">LARGE(v_valor,A704)</f>
        <v>17.1</v>
      </c>
      <c r="C704" s="46" t="n">
        <f aca="false">C703+B704</f>
        <v>107028.79</v>
      </c>
      <c r="D704" s="50" t="n">
        <f aca="false">C704/SUM(v_valor)</f>
        <v>0.97882305234371</v>
      </c>
      <c r="E704" s="50" t="n">
        <f aca="false">A704/1000</f>
        <v>0.703</v>
      </c>
    </row>
    <row r="705" customFormat="false" ht="15" hidden="false" customHeight="false" outlineLevel="0" collapsed="false">
      <c r="A705" s="48" t="n">
        <v>704</v>
      </c>
      <c r="B705" s="46" t="n">
        <f aca="false">LARGE(v_valor,A705)</f>
        <v>16.92</v>
      </c>
      <c r="C705" s="46" t="n">
        <f aca="false">C704+B705</f>
        <v>107045.71</v>
      </c>
      <c r="D705" s="50" t="n">
        <f aca="false">C705/SUM(v_valor)</f>
        <v>0.978977792820975</v>
      </c>
      <c r="E705" s="50" t="n">
        <f aca="false">A705/1000</f>
        <v>0.704</v>
      </c>
    </row>
    <row r="706" customFormat="false" ht="15" hidden="false" customHeight="false" outlineLevel="0" collapsed="false">
      <c r="A706" s="48" t="n">
        <v>705</v>
      </c>
      <c r="B706" s="46" t="n">
        <f aca="false">LARGE(v_valor,A706)</f>
        <v>16.86</v>
      </c>
      <c r="C706" s="46" t="n">
        <f aca="false">C705+B706</f>
        <v>107062.57</v>
      </c>
      <c r="D706" s="50" t="n">
        <f aca="false">C706/SUM(v_valor)</f>
        <v>0.979131984573143</v>
      </c>
      <c r="E706" s="50" t="n">
        <f aca="false">A706/1000</f>
        <v>0.705</v>
      </c>
    </row>
    <row r="707" customFormat="false" ht="15" hidden="false" customHeight="false" outlineLevel="0" collapsed="false">
      <c r="A707" s="48" t="n">
        <v>706</v>
      </c>
      <c r="B707" s="46" t="n">
        <f aca="false">LARGE(v_valor,A707)</f>
        <v>16.82</v>
      </c>
      <c r="C707" s="46" t="n">
        <f aca="false">C706+B707</f>
        <v>107079.39</v>
      </c>
      <c r="D707" s="50" t="n">
        <f aca="false">C707/SUM(v_valor)</f>
        <v>0.97928581050858</v>
      </c>
      <c r="E707" s="50" t="n">
        <f aca="false">A707/1000</f>
        <v>0.706</v>
      </c>
    </row>
    <row r="708" customFormat="false" ht="15" hidden="false" customHeight="false" outlineLevel="0" collapsed="false">
      <c r="A708" s="48" t="n">
        <v>707</v>
      </c>
      <c r="B708" s="46" t="n">
        <f aca="false">LARGE(v_valor,A708)</f>
        <v>16.47</v>
      </c>
      <c r="C708" s="46" t="n">
        <f aca="false">C707+B708</f>
        <v>107095.86</v>
      </c>
      <c r="D708" s="50" t="n">
        <f aca="false">C708/SUM(v_valor)</f>
        <v>0.979436435547619</v>
      </c>
      <c r="E708" s="50" t="n">
        <f aca="false">A708/1000</f>
        <v>0.707</v>
      </c>
    </row>
    <row r="709" customFormat="false" ht="15" hidden="false" customHeight="false" outlineLevel="0" collapsed="false">
      <c r="A709" s="48" t="n">
        <v>708</v>
      </c>
      <c r="B709" s="46" t="n">
        <f aca="false">LARGE(v_valor,A709)</f>
        <v>16.34</v>
      </c>
      <c r="C709" s="46" t="n">
        <f aca="false">C708+B709</f>
        <v>107112.2</v>
      </c>
      <c r="D709" s="50" t="n">
        <f aca="false">C709/SUM(v_valor)</f>
        <v>0.979585871682283</v>
      </c>
      <c r="E709" s="50" t="n">
        <f aca="false">A709/1000</f>
        <v>0.708</v>
      </c>
    </row>
    <row r="710" customFormat="false" ht="15" hidden="false" customHeight="false" outlineLevel="0" collapsed="false">
      <c r="A710" s="48" t="n">
        <v>709</v>
      </c>
      <c r="B710" s="46" t="n">
        <f aca="false">LARGE(v_valor,A710)</f>
        <v>16.27</v>
      </c>
      <c r="C710" s="46" t="n">
        <f aca="false">C709+B710</f>
        <v>107128.47</v>
      </c>
      <c r="D710" s="50" t="n">
        <f aca="false">C710/SUM(v_valor)</f>
        <v>0.979734667637667</v>
      </c>
      <c r="E710" s="50" t="n">
        <f aca="false">A710/1000</f>
        <v>0.709</v>
      </c>
    </row>
    <row r="711" customFormat="false" ht="15" hidden="false" customHeight="false" outlineLevel="0" collapsed="false">
      <c r="A711" s="48" t="n">
        <v>710</v>
      </c>
      <c r="B711" s="46" t="n">
        <f aca="false">LARGE(v_valor,A711)</f>
        <v>16.09</v>
      </c>
      <c r="C711" s="46" t="n">
        <f aca="false">C710+B711</f>
        <v>107144.56</v>
      </c>
      <c r="D711" s="50" t="n">
        <f aca="false">C711/SUM(v_valor)</f>
        <v>0.97988181741776</v>
      </c>
      <c r="E711" s="50" t="n">
        <f aca="false">A711/1000</f>
        <v>0.71</v>
      </c>
    </row>
    <row r="712" customFormat="false" ht="15" hidden="false" customHeight="false" outlineLevel="0" collapsed="false">
      <c r="A712" s="48" t="n">
        <v>711</v>
      </c>
      <c r="B712" s="46" t="n">
        <f aca="false">LARGE(v_valor,A712)</f>
        <v>15.99</v>
      </c>
      <c r="C712" s="46" t="n">
        <f aca="false">C711+B712</f>
        <v>107160.55</v>
      </c>
      <c r="D712" s="50" t="n">
        <f aca="false">C712/SUM(v_valor)</f>
        <v>0.980028052656026</v>
      </c>
      <c r="E712" s="50" t="n">
        <f aca="false">A712/1000</f>
        <v>0.711</v>
      </c>
    </row>
    <row r="713" customFormat="false" ht="15" hidden="false" customHeight="false" outlineLevel="0" collapsed="false">
      <c r="A713" s="48" t="n">
        <v>712</v>
      </c>
      <c r="B713" s="46" t="n">
        <f aca="false">LARGE(v_valor,A713)</f>
        <v>15.95</v>
      </c>
      <c r="C713" s="46" t="n">
        <f aca="false">C712+B713</f>
        <v>107176.5</v>
      </c>
      <c r="D713" s="50" t="n">
        <f aca="false">C713/SUM(v_valor)</f>
        <v>0.980173922077561</v>
      </c>
      <c r="E713" s="50" t="n">
        <f aca="false">A713/1000</f>
        <v>0.712</v>
      </c>
    </row>
    <row r="714" customFormat="false" ht="15" hidden="false" customHeight="false" outlineLevel="0" collapsed="false">
      <c r="A714" s="48" t="n">
        <v>713</v>
      </c>
      <c r="B714" s="46" t="n">
        <f aca="false">LARGE(v_valor,A714)</f>
        <v>15.69</v>
      </c>
      <c r="C714" s="46" t="n">
        <f aca="false">C713+B714</f>
        <v>107192.19</v>
      </c>
      <c r="D714" s="50" t="n">
        <f aca="false">C714/SUM(v_valor)</f>
        <v>0.980317413690344</v>
      </c>
      <c r="E714" s="50" t="n">
        <f aca="false">A714/1000</f>
        <v>0.713</v>
      </c>
    </row>
    <row r="715" customFormat="false" ht="15" hidden="false" customHeight="false" outlineLevel="0" collapsed="false">
      <c r="A715" s="48" t="n">
        <v>714</v>
      </c>
      <c r="B715" s="46" t="n">
        <f aca="false">LARGE(v_valor,A715)</f>
        <v>15.65</v>
      </c>
      <c r="C715" s="46" t="n">
        <f aca="false">C714+B715</f>
        <v>107207.84</v>
      </c>
      <c r="D715" s="50" t="n">
        <f aca="false">C715/SUM(v_valor)</f>
        <v>0.980460539486395</v>
      </c>
      <c r="E715" s="50" t="n">
        <f aca="false">A715/1000</f>
        <v>0.714</v>
      </c>
    </row>
    <row r="716" customFormat="false" ht="15" hidden="false" customHeight="false" outlineLevel="0" collapsed="false">
      <c r="A716" s="48" t="n">
        <v>715</v>
      </c>
      <c r="B716" s="46" t="n">
        <f aca="false">LARGE(v_valor,A716)</f>
        <v>15.44</v>
      </c>
      <c r="C716" s="46" t="n">
        <f aca="false">C715+B716</f>
        <v>107223.28</v>
      </c>
      <c r="D716" s="50" t="n">
        <f aca="false">C716/SUM(v_valor)</f>
        <v>0.980601744744609</v>
      </c>
      <c r="E716" s="50" t="n">
        <f aca="false">A716/1000</f>
        <v>0.715</v>
      </c>
    </row>
    <row r="717" customFormat="false" ht="15" hidden="false" customHeight="false" outlineLevel="0" collapsed="false">
      <c r="A717" s="48" t="n">
        <v>716</v>
      </c>
      <c r="B717" s="46" t="n">
        <f aca="false">LARGE(v_valor,A717)</f>
        <v>15.44</v>
      </c>
      <c r="C717" s="46" t="n">
        <f aca="false">C716+B717</f>
        <v>107238.72</v>
      </c>
      <c r="D717" s="50" t="n">
        <f aca="false">C717/SUM(v_valor)</f>
        <v>0.980742950002822</v>
      </c>
      <c r="E717" s="50" t="n">
        <f aca="false">A717/1000</f>
        <v>0.716</v>
      </c>
    </row>
    <row r="718" customFormat="false" ht="15" hidden="false" customHeight="false" outlineLevel="0" collapsed="false">
      <c r="A718" s="48" t="n">
        <v>717</v>
      </c>
      <c r="B718" s="46" t="n">
        <f aca="false">LARGE(v_valor,A718)</f>
        <v>15.36</v>
      </c>
      <c r="C718" s="46" t="n">
        <f aca="false">C717+B718</f>
        <v>107254.08</v>
      </c>
      <c r="D718" s="50" t="n">
        <f aca="false">C718/SUM(v_valor)</f>
        <v>0.980883423627573</v>
      </c>
      <c r="E718" s="50" t="n">
        <f aca="false">A718/1000</f>
        <v>0.717</v>
      </c>
    </row>
    <row r="719" customFormat="false" ht="15" hidden="false" customHeight="false" outlineLevel="0" collapsed="false">
      <c r="A719" s="48" t="n">
        <v>718</v>
      </c>
      <c r="B719" s="46" t="n">
        <f aca="false">LARGE(v_valor,A719)</f>
        <v>15.31</v>
      </c>
      <c r="C719" s="46" t="n">
        <f aca="false">C718+B719</f>
        <v>107269.39</v>
      </c>
      <c r="D719" s="50" t="n">
        <f aca="false">C719/SUM(v_valor)</f>
        <v>0.98102343998141</v>
      </c>
      <c r="E719" s="50" t="n">
        <f aca="false">A719/1000</f>
        <v>0.718</v>
      </c>
    </row>
    <row r="720" customFormat="false" ht="15" hidden="false" customHeight="false" outlineLevel="0" collapsed="false">
      <c r="A720" s="48" t="n">
        <v>719</v>
      </c>
      <c r="B720" s="46" t="n">
        <f aca="false">LARGE(v_valor,A720)</f>
        <v>15.31</v>
      </c>
      <c r="C720" s="46" t="n">
        <f aca="false">C719+B720</f>
        <v>107284.7</v>
      </c>
      <c r="D720" s="50" t="n">
        <f aca="false">C720/SUM(v_valor)</f>
        <v>0.981163456335247</v>
      </c>
      <c r="E720" s="50" t="n">
        <f aca="false">A720/1000</f>
        <v>0.719</v>
      </c>
    </row>
    <row r="721" customFormat="false" ht="15" hidden="false" customHeight="false" outlineLevel="0" collapsed="false">
      <c r="A721" s="48" t="n">
        <v>720</v>
      </c>
      <c r="B721" s="46" t="n">
        <f aca="false">LARGE(v_valor,A721)</f>
        <v>15.15</v>
      </c>
      <c r="C721" s="46" t="n">
        <f aca="false">C720+B721</f>
        <v>107299.85</v>
      </c>
      <c r="D721" s="50" t="n">
        <f aca="false">C721/SUM(v_valor)</f>
        <v>0.981302009422159</v>
      </c>
      <c r="E721" s="50" t="n">
        <f aca="false">A721/1000</f>
        <v>0.72</v>
      </c>
    </row>
    <row r="722" customFormat="false" ht="15" hidden="false" customHeight="false" outlineLevel="0" collapsed="false">
      <c r="A722" s="48" t="n">
        <v>721</v>
      </c>
      <c r="B722" s="46" t="n">
        <f aca="false">LARGE(v_valor,A722)</f>
        <v>15.13</v>
      </c>
      <c r="C722" s="46" t="n">
        <f aca="false">C721+B722</f>
        <v>107314.98</v>
      </c>
      <c r="D722" s="50" t="n">
        <f aca="false">C722/SUM(v_valor)</f>
        <v>0.981440379600706</v>
      </c>
      <c r="E722" s="50" t="n">
        <f aca="false">A722/1000</f>
        <v>0.721</v>
      </c>
    </row>
    <row r="723" customFormat="false" ht="15" hidden="false" customHeight="false" outlineLevel="0" collapsed="false">
      <c r="A723" s="48" t="n">
        <v>722</v>
      </c>
      <c r="B723" s="46" t="n">
        <f aca="false">LARGE(v_valor,A723)</f>
        <v>15.11</v>
      </c>
      <c r="C723" s="46" t="n">
        <f aca="false">C722+B723</f>
        <v>107330.09</v>
      </c>
      <c r="D723" s="50" t="n">
        <f aca="false">C723/SUM(v_valor)</f>
        <v>0.981578566870887</v>
      </c>
      <c r="E723" s="50" t="n">
        <f aca="false">A723/1000</f>
        <v>0.722</v>
      </c>
    </row>
    <row r="724" customFormat="false" ht="15" hidden="false" customHeight="false" outlineLevel="0" collapsed="false">
      <c r="A724" s="48" t="n">
        <v>723</v>
      </c>
      <c r="B724" s="46" t="n">
        <f aca="false">LARGE(v_valor,A724)</f>
        <v>14.68</v>
      </c>
      <c r="C724" s="46" t="n">
        <f aca="false">C723+B724</f>
        <v>107344.77</v>
      </c>
      <c r="D724" s="50" t="n">
        <f aca="false">C724/SUM(v_valor)</f>
        <v>0.981712821611209</v>
      </c>
      <c r="E724" s="50" t="n">
        <f aca="false">A724/1000</f>
        <v>0.723</v>
      </c>
    </row>
    <row r="725" customFormat="false" ht="15" hidden="false" customHeight="false" outlineLevel="0" collapsed="false">
      <c r="A725" s="48" t="n">
        <v>724</v>
      </c>
      <c r="B725" s="46" t="n">
        <f aca="false">LARGE(v_valor,A725)</f>
        <v>14.61</v>
      </c>
      <c r="C725" s="46" t="n">
        <f aca="false">C724+B725</f>
        <v>107359.38</v>
      </c>
      <c r="D725" s="50" t="n">
        <f aca="false">C725/SUM(v_valor)</f>
        <v>0.981846436172251</v>
      </c>
      <c r="E725" s="50" t="n">
        <f aca="false">A725/1000</f>
        <v>0.724</v>
      </c>
    </row>
    <row r="726" customFormat="false" ht="15" hidden="false" customHeight="false" outlineLevel="0" collapsed="false">
      <c r="A726" s="48" t="n">
        <v>725</v>
      </c>
      <c r="B726" s="46" t="n">
        <f aca="false">LARGE(v_valor,A726)</f>
        <v>14.59</v>
      </c>
      <c r="C726" s="46" t="n">
        <f aca="false">C725+B726</f>
        <v>107373.97</v>
      </c>
      <c r="D726" s="50" t="n">
        <f aca="false">C726/SUM(v_valor)</f>
        <v>0.981979867824928</v>
      </c>
      <c r="E726" s="50" t="n">
        <f aca="false">A726/1000</f>
        <v>0.725</v>
      </c>
    </row>
    <row r="727" customFormat="false" ht="15" hidden="false" customHeight="false" outlineLevel="0" collapsed="false">
      <c r="A727" s="48" t="n">
        <v>726</v>
      </c>
      <c r="B727" s="46" t="n">
        <f aca="false">LARGE(v_valor,A727)</f>
        <v>14.57</v>
      </c>
      <c r="C727" s="46" t="n">
        <f aca="false">C726+B727</f>
        <v>107388.54</v>
      </c>
      <c r="D727" s="50" t="n">
        <f aca="false">C727/SUM(v_valor)</f>
        <v>0.982113116569239</v>
      </c>
      <c r="E727" s="50" t="n">
        <f aca="false">A727/1000</f>
        <v>0.726</v>
      </c>
    </row>
    <row r="728" customFormat="false" ht="15" hidden="false" customHeight="false" outlineLevel="0" collapsed="false">
      <c r="A728" s="48" t="n">
        <v>727</v>
      </c>
      <c r="B728" s="46" t="n">
        <f aca="false">LARGE(v_valor,A728)</f>
        <v>14.51</v>
      </c>
      <c r="C728" s="46" t="n">
        <f aca="false">C727+B728</f>
        <v>107403.05</v>
      </c>
      <c r="D728" s="50" t="n">
        <f aca="false">C728/SUM(v_valor)</f>
        <v>0.982245816588454</v>
      </c>
      <c r="E728" s="50" t="n">
        <f aca="false">A728/1000</f>
        <v>0.727</v>
      </c>
    </row>
    <row r="729" customFormat="false" ht="15" hidden="false" customHeight="false" outlineLevel="0" collapsed="false">
      <c r="A729" s="48" t="n">
        <v>728</v>
      </c>
      <c r="B729" s="46" t="n">
        <f aca="false">LARGE(v_valor,A729)</f>
        <v>14.47</v>
      </c>
      <c r="C729" s="46" t="n">
        <f aca="false">C728+B729</f>
        <v>107417.52</v>
      </c>
      <c r="D729" s="50" t="n">
        <f aca="false">C729/SUM(v_valor)</f>
        <v>0.982378150790937</v>
      </c>
      <c r="E729" s="50" t="n">
        <f aca="false">A729/1000</f>
        <v>0.728</v>
      </c>
    </row>
    <row r="730" customFormat="false" ht="15" hidden="false" customHeight="false" outlineLevel="0" collapsed="false">
      <c r="A730" s="48" t="n">
        <v>729</v>
      </c>
      <c r="B730" s="46" t="n">
        <f aca="false">LARGE(v_valor,A730)</f>
        <v>14.43</v>
      </c>
      <c r="C730" s="46" t="n">
        <f aca="false">C729+B730</f>
        <v>107431.95</v>
      </c>
      <c r="D730" s="50" t="n">
        <f aca="false">C730/SUM(v_valor)</f>
        <v>0.982510119176689</v>
      </c>
      <c r="E730" s="50" t="n">
        <f aca="false">A730/1000</f>
        <v>0.729</v>
      </c>
    </row>
    <row r="731" customFormat="false" ht="15" hidden="false" customHeight="false" outlineLevel="0" collapsed="false">
      <c r="A731" s="48" t="n">
        <v>730</v>
      </c>
      <c r="B731" s="46" t="n">
        <f aca="false">LARGE(v_valor,A731)</f>
        <v>14.4</v>
      </c>
      <c r="C731" s="46" t="n">
        <f aca="false">C730+B731</f>
        <v>107446.35</v>
      </c>
      <c r="D731" s="50" t="n">
        <f aca="false">C731/SUM(v_valor)</f>
        <v>0.982641813199893</v>
      </c>
      <c r="E731" s="50" t="n">
        <f aca="false">A731/1000</f>
        <v>0.73</v>
      </c>
    </row>
    <row r="732" customFormat="false" ht="15" hidden="false" customHeight="false" outlineLevel="0" collapsed="false">
      <c r="A732" s="48" t="n">
        <v>731</v>
      </c>
      <c r="B732" s="46" t="n">
        <f aca="false">LARGE(v_valor,A732)</f>
        <v>14.38</v>
      </c>
      <c r="C732" s="46" t="n">
        <f aca="false">C731+B732</f>
        <v>107460.73</v>
      </c>
      <c r="D732" s="50" t="n">
        <f aca="false">C732/SUM(v_valor)</f>
        <v>0.982773324314732</v>
      </c>
      <c r="E732" s="50" t="n">
        <f aca="false">A732/1000</f>
        <v>0.731</v>
      </c>
    </row>
    <row r="733" customFormat="false" ht="15" hidden="false" customHeight="false" outlineLevel="0" collapsed="false">
      <c r="A733" s="48" t="n">
        <v>732</v>
      </c>
      <c r="B733" s="46" t="n">
        <f aca="false">LARGE(v_valor,A733)</f>
        <v>14.34</v>
      </c>
      <c r="C733" s="46" t="n">
        <f aca="false">C732+B733</f>
        <v>107475.07</v>
      </c>
      <c r="D733" s="50" t="n">
        <f aca="false">C733/SUM(v_valor)</f>
        <v>0.982904469612839</v>
      </c>
      <c r="E733" s="50" t="n">
        <f aca="false">A733/1000</f>
        <v>0.732</v>
      </c>
    </row>
    <row r="734" customFormat="false" ht="15" hidden="false" customHeight="false" outlineLevel="0" collapsed="false">
      <c r="A734" s="48" t="n">
        <v>733</v>
      </c>
      <c r="B734" s="46" t="n">
        <f aca="false">LARGE(v_valor,A734)</f>
        <v>14.07</v>
      </c>
      <c r="C734" s="46" t="n">
        <f aca="false">C733+B734</f>
        <v>107489.14</v>
      </c>
      <c r="D734" s="50" t="n">
        <f aca="false">C734/SUM(v_valor)</f>
        <v>0.983033145648011</v>
      </c>
      <c r="E734" s="50" t="n">
        <f aca="false">A734/1000</f>
        <v>0.733</v>
      </c>
    </row>
    <row r="735" customFormat="false" ht="15" hidden="false" customHeight="false" outlineLevel="0" collapsed="false">
      <c r="A735" s="48" t="n">
        <v>734</v>
      </c>
      <c r="B735" s="46" t="n">
        <f aca="false">LARGE(v_valor,A735)</f>
        <v>14.01</v>
      </c>
      <c r="C735" s="46" t="n">
        <f aca="false">C734+B735</f>
        <v>107503.15</v>
      </c>
      <c r="D735" s="50" t="n">
        <f aca="false">C735/SUM(v_valor)</f>
        <v>0.983161272958087</v>
      </c>
      <c r="E735" s="50" t="n">
        <f aca="false">A735/1000</f>
        <v>0.734</v>
      </c>
    </row>
    <row r="736" customFormat="false" ht="15" hidden="false" customHeight="false" outlineLevel="0" collapsed="false">
      <c r="A736" s="48" t="n">
        <v>735</v>
      </c>
      <c r="B736" s="46" t="n">
        <f aca="false">LARGE(v_valor,A736)</f>
        <v>13.88</v>
      </c>
      <c r="C736" s="46" t="n">
        <f aca="false">C735+B736</f>
        <v>107517.03</v>
      </c>
      <c r="D736" s="50" t="n">
        <f aca="false">C736/SUM(v_valor)</f>
        <v>0.983288211363786</v>
      </c>
      <c r="E736" s="50" t="n">
        <f aca="false">A736/1000</f>
        <v>0.735</v>
      </c>
    </row>
    <row r="737" customFormat="false" ht="15" hidden="false" customHeight="false" outlineLevel="0" collapsed="false">
      <c r="A737" s="48" t="n">
        <v>736</v>
      </c>
      <c r="B737" s="46" t="n">
        <f aca="false">LARGE(v_valor,A737)</f>
        <v>13.86</v>
      </c>
      <c r="C737" s="46" t="n">
        <f aca="false">C736+B737</f>
        <v>107530.89</v>
      </c>
      <c r="D737" s="50" t="n">
        <f aca="false">C737/SUM(v_valor)</f>
        <v>0.98341496686112</v>
      </c>
      <c r="E737" s="50" t="n">
        <f aca="false">A737/1000</f>
        <v>0.736</v>
      </c>
    </row>
    <row r="738" customFormat="false" ht="15" hidden="false" customHeight="false" outlineLevel="0" collapsed="false">
      <c r="A738" s="48" t="n">
        <v>737</v>
      </c>
      <c r="B738" s="46" t="n">
        <f aca="false">LARGE(v_valor,A738)</f>
        <v>13.85</v>
      </c>
      <c r="C738" s="46" t="n">
        <f aca="false">C737+B738</f>
        <v>107544.74</v>
      </c>
      <c r="D738" s="50" t="n">
        <f aca="false">C738/SUM(v_valor)</f>
        <v>0.983541630904271</v>
      </c>
      <c r="E738" s="50" t="n">
        <f aca="false">A738/1000</f>
        <v>0.737</v>
      </c>
    </row>
    <row r="739" customFormat="false" ht="15" hidden="false" customHeight="false" outlineLevel="0" collapsed="false">
      <c r="A739" s="48" t="n">
        <v>738</v>
      </c>
      <c r="B739" s="46" t="n">
        <f aca="false">LARGE(v_valor,A739)</f>
        <v>13.85</v>
      </c>
      <c r="C739" s="46" t="n">
        <f aca="false">C738+B739</f>
        <v>107558.59</v>
      </c>
      <c r="D739" s="50" t="n">
        <f aca="false">C739/SUM(v_valor)</f>
        <v>0.983668294947422</v>
      </c>
      <c r="E739" s="50" t="n">
        <f aca="false">A739/1000</f>
        <v>0.738</v>
      </c>
    </row>
    <row r="740" customFormat="false" ht="15" hidden="false" customHeight="false" outlineLevel="0" collapsed="false">
      <c r="A740" s="48" t="n">
        <v>739</v>
      </c>
      <c r="B740" s="46" t="n">
        <f aca="false">LARGE(v_valor,A740)</f>
        <v>13.73</v>
      </c>
      <c r="C740" s="46" t="n">
        <f aca="false">C739+B740</f>
        <v>107572.32</v>
      </c>
      <c r="D740" s="50" t="n">
        <f aca="false">C740/SUM(v_valor)</f>
        <v>0.98379386154038</v>
      </c>
      <c r="E740" s="50" t="n">
        <f aca="false">A740/1000</f>
        <v>0.739</v>
      </c>
    </row>
    <row r="741" customFormat="false" ht="15" hidden="false" customHeight="false" outlineLevel="0" collapsed="false">
      <c r="A741" s="48" t="n">
        <v>740</v>
      </c>
      <c r="B741" s="46" t="n">
        <f aca="false">LARGE(v_valor,A741)</f>
        <v>13.58</v>
      </c>
      <c r="C741" s="46" t="n">
        <f aca="false">C740+B741</f>
        <v>107585.9</v>
      </c>
      <c r="D741" s="50" t="n">
        <f aca="false">C741/SUM(v_valor)</f>
        <v>0.983918056320596</v>
      </c>
      <c r="E741" s="50" t="n">
        <f aca="false">A741/1000</f>
        <v>0.74</v>
      </c>
    </row>
    <row r="742" customFormat="false" ht="15" hidden="false" customHeight="false" outlineLevel="0" collapsed="false">
      <c r="A742" s="48" t="n">
        <v>741</v>
      </c>
      <c r="B742" s="46" t="n">
        <f aca="false">LARGE(v_valor,A742)</f>
        <v>13.58</v>
      </c>
      <c r="C742" s="46" t="n">
        <f aca="false">C741+B742</f>
        <v>107599.48</v>
      </c>
      <c r="D742" s="50" t="n">
        <f aca="false">C742/SUM(v_valor)</f>
        <v>0.984042251100811</v>
      </c>
      <c r="E742" s="50" t="n">
        <f aca="false">A742/1000</f>
        <v>0.741</v>
      </c>
    </row>
    <row r="743" customFormat="false" ht="15" hidden="false" customHeight="false" outlineLevel="0" collapsed="false">
      <c r="A743" s="48" t="n">
        <v>742</v>
      </c>
      <c r="B743" s="46" t="n">
        <f aca="false">LARGE(v_valor,A743)</f>
        <v>13.57</v>
      </c>
      <c r="C743" s="46" t="n">
        <f aca="false">C742+B743</f>
        <v>107613.05</v>
      </c>
      <c r="D743" s="50" t="n">
        <f aca="false">C743/SUM(v_valor)</f>
        <v>0.984166354426845</v>
      </c>
      <c r="E743" s="50" t="n">
        <f aca="false">A743/1000</f>
        <v>0.742</v>
      </c>
    </row>
    <row r="744" customFormat="false" ht="15" hidden="false" customHeight="false" outlineLevel="0" collapsed="false">
      <c r="A744" s="48" t="n">
        <v>743</v>
      </c>
      <c r="B744" s="46" t="n">
        <f aca="false">LARGE(v_valor,A744)</f>
        <v>13.53</v>
      </c>
      <c r="C744" s="46" t="n">
        <f aca="false">C743+B744</f>
        <v>107626.58</v>
      </c>
      <c r="D744" s="50" t="n">
        <f aca="false">C744/SUM(v_valor)</f>
        <v>0.984290091936147</v>
      </c>
      <c r="E744" s="50" t="n">
        <f aca="false">A744/1000</f>
        <v>0.743</v>
      </c>
    </row>
    <row r="745" customFormat="false" ht="15" hidden="false" customHeight="false" outlineLevel="0" collapsed="false">
      <c r="A745" s="48" t="n">
        <v>744</v>
      </c>
      <c r="B745" s="46" t="n">
        <f aca="false">LARGE(v_valor,A745)</f>
        <v>13.52</v>
      </c>
      <c r="C745" s="46" t="n">
        <f aca="false">C744+B745</f>
        <v>107640.1</v>
      </c>
      <c r="D745" s="50" t="n">
        <f aca="false">C745/SUM(v_valor)</f>
        <v>0.984413737991266</v>
      </c>
      <c r="E745" s="50" t="n">
        <f aca="false">A745/1000</f>
        <v>0.744</v>
      </c>
    </row>
    <row r="746" customFormat="false" ht="15" hidden="false" customHeight="false" outlineLevel="0" collapsed="false">
      <c r="A746" s="48" t="n">
        <v>745</v>
      </c>
      <c r="B746" s="46" t="n">
        <f aca="false">LARGE(v_valor,A746)</f>
        <v>13.44</v>
      </c>
      <c r="C746" s="46" t="n">
        <f aca="false">C745+B746</f>
        <v>107653.54</v>
      </c>
      <c r="D746" s="50" t="n">
        <f aca="false">C746/SUM(v_valor)</f>
        <v>0.984536652412923</v>
      </c>
      <c r="E746" s="50" t="n">
        <f aca="false">A746/1000</f>
        <v>0.745</v>
      </c>
    </row>
    <row r="747" customFormat="false" ht="15" hidden="false" customHeight="false" outlineLevel="0" collapsed="false">
      <c r="A747" s="48" t="n">
        <v>746</v>
      </c>
      <c r="B747" s="46" t="n">
        <f aca="false">LARGE(v_valor,A747)</f>
        <v>13.04</v>
      </c>
      <c r="C747" s="46" t="n">
        <f aca="false">C746+B747</f>
        <v>107666.58</v>
      </c>
      <c r="D747" s="50" t="n">
        <f aca="false">C747/SUM(v_valor)</f>
        <v>0.984655908667269</v>
      </c>
      <c r="E747" s="50" t="n">
        <f aca="false">A747/1000</f>
        <v>0.746</v>
      </c>
    </row>
    <row r="748" customFormat="false" ht="15" hidden="false" customHeight="false" outlineLevel="0" collapsed="false">
      <c r="A748" s="48" t="n">
        <v>747</v>
      </c>
      <c r="B748" s="46" t="n">
        <f aca="false">LARGE(v_valor,A748)</f>
        <v>12.89</v>
      </c>
      <c r="C748" s="46" t="n">
        <f aca="false">C747+B748</f>
        <v>107679.47</v>
      </c>
      <c r="D748" s="50" t="n">
        <f aca="false">C748/SUM(v_valor)</f>
        <v>0.984773793108873</v>
      </c>
      <c r="E748" s="50" t="n">
        <f aca="false">A748/1000</f>
        <v>0.747</v>
      </c>
    </row>
    <row r="749" customFormat="false" ht="15" hidden="false" customHeight="false" outlineLevel="0" collapsed="false">
      <c r="A749" s="48" t="n">
        <v>748</v>
      </c>
      <c r="B749" s="46" t="n">
        <f aca="false">LARGE(v_valor,A749)</f>
        <v>12.87</v>
      </c>
      <c r="C749" s="46" t="n">
        <f aca="false">C748+B749</f>
        <v>107692.34</v>
      </c>
      <c r="D749" s="50" t="n">
        <f aca="false">C749/SUM(v_valor)</f>
        <v>0.984891494642111</v>
      </c>
      <c r="E749" s="50" t="n">
        <f aca="false">A749/1000</f>
        <v>0.748</v>
      </c>
    </row>
    <row r="750" customFormat="false" ht="15" hidden="false" customHeight="false" outlineLevel="0" collapsed="false">
      <c r="A750" s="48" t="n">
        <v>749</v>
      </c>
      <c r="B750" s="46" t="n">
        <f aca="false">LARGE(v_valor,A750)</f>
        <v>12.85</v>
      </c>
      <c r="C750" s="46" t="n">
        <f aca="false">C749+B750</f>
        <v>107705.19</v>
      </c>
      <c r="D750" s="50" t="n">
        <f aca="false">C750/SUM(v_valor)</f>
        <v>0.985009013266984</v>
      </c>
      <c r="E750" s="50" t="n">
        <f aca="false">A750/1000</f>
        <v>0.749</v>
      </c>
    </row>
    <row r="751" customFormat="false" ht="15" hidden="false" customHeight="false" outlineLevel="0" collapsed="false">
      <c r="A751" s="48" t="n">
        <v>750</v>
      </c>
      <c r="B751" s="46" t="n">
        <f aca="false">LARGE(v_valor,A751)</f>
        <v>12.81</v>
      </c>
      <c r="C751" s="46" t="n">
        <f aca="false">C750+B751</f>
        <v>107718</v>
      </c>
      <c r="D751" s="50" t="n">
        <f aca="false">C751/SUM(v_valor)</f>
        <v>0.985126166075126</v>
      </c>
      <c r="E751" s="50" t="n">
        <f aca="false">A751/1000</f>
        <v>0.75</v>
      </c>
    </row>
    <row r="752" customFormat="false" ht="15" hidden="false" customHeight="false" outlineLevel="0" collapsed="false">
      <c r="A752" s="48" t="n">
        <v>751</v>
      </c>
      <c r="B752" s="46" t="n">
        <f aca="false">LARGE(v_valor,A752)</f>
        <v>12.73</v>
      </c>
      <c r="C752" s="46" t="n">
        <f aca="false">C751+B752</f>
        <v>107730.73</v>
      </c>
      <c r="D752" s="50" t="n">
        <f aca="false">C752/SUM(v_valor)</f>
        <v>0.985242587249806</v>
      </c>
      <c r="E752" s="50" t="n">
        <f aca="false">A752/1000</f>
        <v>0.751</v>
      </c>
    </row>
    <row r="753" customFormat="false" ht="15" hidden="false" customHeight="false" outlineLevel="0" collapsed="false">
      <c r="A753" s="48" t="n">
        <v>752</v>
      </c>
      <c r="B753" s="46" t="n">
        <f aca="false">LARGE(v_valor,A753)</f>
        <v>12.69</v>
      </c>
      <c r="C753" s="46" t="n">
        <f aca="false">C752+B753</f>
        <v>107743.42</v>
      </c>
      <c r="D753" s="50" t="n">
        <f aca="false">C753/SUM(v_valor)</f>
        <v>0.985358642607754</v>
      </c>
      <c r="E753" s="50" t="n">
        <f aca="false">A753/1000</f>
        <v>0.752</v>
      </c>
    </row>
    <row r="754" customFormat="false" ht="15" hidden="false" customHeight="false" outlineLevel="0" collapsed="false">
      <c r="A754" s="48" t="n">
        <v>753</v>
      </c>
      <c r="B754" s="46" t="n">
        <f aca="false">LARGE(v_valor,A754)</f>
        <v>12.67</v>
      </c>
      <c r="C754" s="46" t="n">
        <f aca="false">C753+B754</f>
        <v>107756.09</v>
      </c>
      <c r="D754" s="50" t="n">
        <f aca="false">C754/SUM(v_valor)</f>
        <v>0.985474515057337</v>
      </c>
      <c r="E754" s="50" t="n">
        <f aca="false">A754/1000</f>
        <v>0.753</v>
      </c>
    </row>
    <row r="755" customFormat="false" ht="15" hidden="false" customHeight="false" outlineLevel="0" collapsed="false">
      <c r="A755" s="48" t="n">
        <v>754</v>
      </c>
      <c r="B755" s="46" t="n">
        <f aca="false">LARGE(v_valor,A755)</f>
        <v>12.64</v>
      </c>
      <c r="C755" s="46" t="n">
        <f aca="false">C754+B755</f>
        <v>107768.73</v>
      </c>
      <c r="D755" s="50" t="n">
        <f aca="false">C755/SUM(v_valor)</f>
        <v>0.985590113144372</v>
      </c>
      <c r="E755" s="50" t="n">
        <f aca="false">A755/1000</f>
        <v>0.754</v>
      </c>
    </row>
    <row r="756" customFormat="false" ht="15" hidden="false" customHeight="false" outlineLevel="0" collapsed="false">
      <c r="A756" s="48" t="n">
        <v>755</v>
      </c>
      <c r="B756" s="46" t="n">
        <f aca="false">LARGE(v_valor,A756)</f>
        <v>12.63</v>
      </c>
      <c r="C756" s="46" t="n">
        <f aca="false">C755+B756</f>
        <v>107781.36</v>
      </c>
      <c r="D756" s="50" t="n">
        <f aca="false">C756/SUM(v_valor)</f>
        <v>0.985705619777223</v>
      </c>
      <c r="E756" s="50" t="n">
        <f aca="false">A756/1000</f>
        <v>0.755</v>
      </c>
    </row>
    <row r="757" customFormat="false" ht="15" hidden="false" customHeight="false" outlineLevel="0" collapsed="false">
      <c r="A757" s="48" t="n">
        <v>756</v>
      </c>
      <c r="B757" s="46" t="n">
        <f aca="false">LARGE(v_valor,A757)</f>
        <v>12.52</v>
      </c>
      <c r="C757" s="46" t="n">
        <f aca="false">C756+B757</f>
        <v>107793.88</v>
      </c>
      <c r="D757" s="50" t="n">
        <f aca="false">C757/SUM(v_valor)</f>
        <v>0.985820120414065</v>
      </c>
      <c r="E757" s="50" t="n">
        <f aca="false">A757/1000</f>
        <v>0.756</v>
      </c>
    </row>
    <row r="758" customFormat="false" ht="15" hidden="false" customHeight="false" outlineLevel="0" collapsed="false">
      <c r="A758" s="48" t="n">
        <v>757</v>
      </c>
      <c r="B758" s="46" t="n">
        <f aca="false">LARGE(v_valor,A758)</f>
        <v>12.48</v>
      </c>
      <c r="C758" s="46" t="n">
        <f aca="false">C757+B758</f>
        <v>107806.36</v>
      </c>
      <c r="D758" s="50" t="n">
        <f aca="false">C758/SUM(v_valor)</f>
        <v>0.985934255234175</v>
      </c>
      <c r="E758" s="50" t="n">
        <f aca="false">A758/1000</f>
        <v>0.757</v>
      </c>
    </row>
    <row r="759" customFormat="false" ht="15" hidden="false" customHeight="false" outlineLevel="0" collapsed="false">
      <c r="A759" s="48" t="n">
        <v>758</v>
      </c>
      <c r="B759" s="46" t="n">
        <f aca="false">LARGE(v_valor,A759)</f>
        <v>12.43</v>
      </c>
      <c r="C759" s="46" t="n">
        <f aca="false">C758+B759</f>
        <v>107818.79</v>
      </c>
      <c r="D759" s="50" t="n">
        <f aca="false">C759/SUM(v_valor)</f>
        <v>0.986047932783371</v>
      </c>
      <c r="E759" s="50" t="n">
        <f aca="false">A759/1000</f>
        <v>0.758</v>
      </c>
    </row>
    <row r="760" customFormat="false" ht="15" hidden="false" customHeight="false" outlineLevel="0" collapsed="false">
      <c r="A760" s="48" t="n">
        <v>759</v>
      </c>
      <c r="B760" s="46" t="n">
        <f aca="false">LARGE(v_valor,A760)</f>
        <v>12.33</v>
      </c>
      <c r="C760" s="46" t="n">
        <f aca="false">C759+B760</f>
        <v>107831.12</v>
      </c>
      <c r="D760" s="50" t="n">
        <f aca="false">C760/SUM(v_valor)</f>
        <v>0.986160695790739</v>
      </c>
      <c r="E760" s="50" t="n">
        <f aca="false">A760/1000</f>
        <v>0.759</v>
      </c>
    </row>
    <row r="761" customFormat="false" ht="15" hidden="false" customHeight="false" outlineLevel="0" collapsed="false">
      <c r="A761" s="48" t="n">
        <v>760</v>
      </c>
      <c r="B761" s="46" t="n">
        <f aca="false">LARGE(v_valor,A761)</f>
        <v>12.32</v>
      </c>
      <c r="C761" s="46" t="n">
        <f aca="false">C760+B761</f>
        <v>107843.44</v>
      </c>
      <c r="D761" s="50" t="n">
        <f aca="false">C761/SUM(v_valor)</f>
        <v>0.986273367343925</v>
      </c>
      <c r="E761" s="50" t="n">
        <f aca="false">A761/1000</f>
        <v>0.76</v>
      </c>
    </row>
    <row r="762" customFormat="false" ht="15" hidden="false" customHeight="false" outlineLevel="0" collapsed="false">
      <c r="A762" s="48" t="n">
        <v>761</v>
      </c>
      <c r="B762" s="46" t="n">
        <f aca="false">LARGE(v_valor,A762)</f>
        <v>12.31</v>
      </c>
      <c r="C762" s="46" t="n">
        <f aca="false">C761+B762</f>
        <v>107855.75</v>
      </c>
      <c r="D762" s="50" t="n">
        <f aca="false">C762/SUM(v_valor)</f>
        <v>0.986385947442928</v>
      </c>
      <c r="E762" s="50" t="n">
        <f aca="false">A762/1000</f>
        <v>0.761</v>
      </c>
    </row>
    <row r="763" customFormat="false" ht="15" hidden="false" customHeight="false" outlineLevel="0" collapsed="false">
      <c r="A763" s="48" t="n">
        <v>762</v>
      </c>
      <c r="B763" s="46" t="n">
        <f aca="false">LARGE(v_valor,A763)</f>
        <v>12.25</v>
      </c>
      <c r="C763" s="46" t="n">
        <f aca="false">C762+B763</f>
        <v>107868</v>
      </c>
      <c r="D763" s="50" t="n">
        <f aca="false">C763/SUM(v_valor)</f>
        <v>0.986497978816834</v>
      </c>
      <c r="E763" s="50" t="n">
        <f aca="false">A763/1000</f>
        <v>0.762</v>
      </c>
    </row>
    <row r="764" customFormat="false" ht="15" hidden="false" customHeight="false" outlineLevel="0" collapsed="false">
      <c r="A764" s="48" t="n">
        <v>763</v>
      </c>
      <c r="B764" s="46" t="n">
        <f aca="false">LARGE(v_valor,A764)</f>
        <v>12.16</v>
      </c>
      <c r="C764" s="46" t="n">
        <f aca="false">C763+B764</f>
        <v>107880.16</v>
      </c>
      <c r="D764" s="50" t="n">
        <f aca="false">C764/SUM(v_valor)</f>
        <v>0.986609187103095</v>
      </c>
      <c r="E764" s="50" t="n">
        <f aca="false">A764/1000</f>
        <v>0.763</v>
      </c>
    </row>
    <row r="765" customFormat="false" ht="15" hidden="false" customHeight="false" outlineLevel="0" collapsed="false">
      <c r="A765" s="48" t="n">
        <v>764</v>
      </c>
      <c r="B765" s="46" t="n">
        <f aca="false">LARGE(v_valor,A765)</f>
        <v>12.15</v>
      </c>
      <c r="C765" s="46" t="n">
        <f aca="false">C764+B765</f>
        <v>107892.31</v>
      </c>
      <c r="D765" s="50" t="n">
        <f aca="false">C765/SUM(v_valor)</f>
        <v>0.986720303935173</v>
      </c>
      <c r="E765" s="50" t="n">
        <f aca="false">A765/1000</f>
        <v>0.764</v>
      </c>
    </row>
    <row r="766" customFormat="false" ht="15" hidden="false" customHeight="false" outlineLevel="0" collapsed="false">
      <c r="A766" s="48" t="n">
        <v>765</v>
      </c>
      <c r="B766" s="46" t="n">
        <f aca="false">LARGE(v_valor,A766)</f>
        <v>12.15</v>
      </c>
      <c r="C766" s="46" t="n">
        <f aca="false">C765+B766</f>
        <v>107904.46</v>
      </c>
      <c r="D766" s="50" t="n">
        <f aca="false">C766/SUM(v_valor)</f>
        <v>0.986831420767251</v>
      </c>
      <c r="E766" s="50" t="n">
        <f aca="false">A766/1000</f>
        <v>0.765</v>
      </c>
    </row>
    <row r="767" customFormat="false" ht="15" hidden="false" customHeight="false" outlineLevel="0" collapsed="false">
      <c r="A767" s="48" t="n">
        <v>766</v>
      </c>
      <c r="B767" s="46" t="n">
        <f aca="false">LARGE(v_valor,A767)</f>
        <v>12.03</v>
      </c>
      <c r="C767" s="46" t="n">
        <f aca="false">C766+B767</f>
        <v>107916.49</v>
      </c>
      <c r="D767" s="50" t="n">
        <f aca="false">C767/SUM(v_valor)</f>
        <v>0.986941440149136</v>
      </c>
      <c r="E767" s="50" t="n">
        <f aca="false">A767/1000</f>
        <v>0.766</v>
      </c>
    </row>
    <row r="768" customFormat="false" ht="15" hidden="false" customHeight="false" outlineLevel="0" collapsed="false">
      <c r="A768" s="48" t="n">
        <v>767</v>
      </c>
      <c r="B768" s="46" t="n">
        <f aca="false">LARGE(v_valor,A768)</f>
        <v>12</v>
      </c>
      <c r="C768" s="46" t="n">
        <f aca="false">C767+B768</f>
        <v>107928.49</v>
      </c>
      <c r="D768" s="50" t="n">
        <f aca="false">C768/SUM(v_valor)</f>
        <v>0.987051185168473</v>
      </c>
      <c r="E768" s="50" t="n">
        <f aca="false">A768/1000</f>
        <v>0.767</v>
      </c>
    </row>
    <row r="769" customFormat="false" ht="15" hidden="false" customHeight="false" outlineLevel="0" collapsed="false">
      <c r="A769" s="48" t="n">
        <v>768</v>
      </c>
      <c r="B769" s="46" t="n">
        <f aca="false">LARGE(v_valor,A769)</f>
        <v>11.99</v>
      </c>
      <c r="C769" s="46" t="n">
        <f aca="false">C768+B769</f>
        <v>107940.48</v>
      </c>
      <c r="D769" s="50" t="n">
        <f aca="false">C769/SUM(v_valor)</f>
        <v>0.987160838733627</v>
      </c>
      <c r="E769" s="50" t="n">
        <f aca="false">A769/1000</f>
        <v>0.768</v>
      </c>
    </row>
    <row r="770" customFormat="false" ht="15" hidden="false" customHeight="false" outlineLevel="0" collapsed="false">
      <c r="A770" s="48" t="n">
        <v>769</v>
      </c>
      <c r="B770" s="46" t="n">
        <f aca="false">LARGE(v_valor,A770)</f>
        <v>11.97</v>
      </c>
      <c r="C770" s="46" t="n">
        <f aca="false">C769+B770</f>
        <v>107952.45</v>
      </c>
      <c r="D770" s="50" t="n">
        <f aca="false">C770/SUM(v_valor)</f>
        <v>0.987270309390415</v>
      </c>
      <c r="E770" s="50" t="n">
        <f aca="false">A770/1000</f>
        <v>0.769</v>
      </c>
    </row>
    <row r="771" customFormat="false" ht="15" hidden="false" customHeight="false" outlineLevel="0" collapsed="false">
      <c r="A771" s="48" t="n">
        <v>770</v>
      </c>
      <c r="B771" s="46" t="n">
        <f aca="false">LARGE(v_valor,A771)</f>
        <v>11.95</v>
      </c>
      <c r="C771" s="46" t="n">
        <f aca="false">C770+B771</f>
        <v>107964.4</v>
      </c>
      <c r="D771" s="50" t="n">
        <f aca="false">C771/SUM(v_valor)</f>
        <v>0.987379597138838</v>
      </c>
      <c r="E771" s="50" t="n">
        <f aca="false">A771/1000</f>
        <v>0.77</v>
      </c>
    </row>
    <row r="772" customFormat="false" ht="15" hidden="false" customHeight="false" outlineLevel="0" collapsed="false">
      <c r="A772" s="48" t="n">
        <v>771</v>
      </c>
      <c r="B772" s="46" t="n">
        <f aca="false">LARGE(v_valor,A772)</f>
        <v>11.92</v>
      </c>
      <c r="C772" s="46" t="n">
        <f aca="false">C771+B772</f>
        <v>107976.32</v>
      </c>
      <c r="D772" s="50" t="n">
        <f aca="false">C772/SUM(v_valor)</f>
        <v>0.987488610524712</v>
      </c>
      <c r="E772" s="50" t="n">
        <f aca="false">A772/1000</f>
        <v>0.771</v>
      </c>
    </row>
    <row r="773" customFormat="false" ht="15" hidden="false" customHeight="false" outlineLevel="0" collapsed="false">
      <c r="A773" s="48" t="n">
        <v>772</v>
      </c>
      <c r="B773" s="46" t="n">
        <f aca="false">LARGE(v_valor,A773)</f>
        <v>11.83</v>
      </c>
      <c r="C773" s="46" t="n">
        <f aca="false">C772+B773</f>
        <v>107988.15</v>
      </c>
      <c r="D773" s="50" t="n">
        <f aca="false">C773/SUM(v_valor)</f>
        <v>0.987596800822942</v>
      </c>
      <c r="E773" s="50" t="n">
        <f aca="false">A773/1000</f>
        <v>0.772</v>
      </c>
    </row>
    <row r="774" customFormat="false" ht="15" hidden="false" customHeight="false" outlineLevel="0" collapsed="false">
      <c r="A774" s="48" t="n">
        <v>773</v>
      </c>
      <c r="B774" s="46" t="n">
        <f aca="false">LARGE(v_valor,A774)</f>
        <v>11.8</v>
      </c>
      <c r="C774" s="46" t="n">
        <f aca="false">C773+B774</f>
        <v>107999.95</v>
      </c>
      <c r="D774" s="50" t="n">
        <f aca="false">C774/SUM(v_valor)</f>
        <v>0.987704716758623</v>
      </c>
      <c r="E774" s="50" t="n">
        <f aca="false">A774/1000</f>
        <v>0.773</v>
      </c>
    </row>
    <row r="775" customFormat="false" ht="15" hidden="false" customHeight="false" outlineLevel="0" collapsed="false">
      <c r="A775" s="48" t="n">
        <v>774</v>
      </c>
      <c r="B775" s="46" t="n">
        <f aca="false">LARGE(v_valor,A775)</f>
        <v>11.76</v>
      </c>
      <c r="C775" s="46" t="n">
        <f aca="false">C774+B775</f>
        <v>108011.71</v>
      </c>
      <c r="D775" s="50" t="n">
        <f aca="false">C775/SUM(v_valor)</f>
        <v>0.987812266877572</v>
      </c>
      <c r="E775" s="50" t="n">
        <f aca="false">A775/1000</f>
        <v>0.774</v>
      </c>
    </row>
    <row r="776" customFormat="false" ht="15" hidden="false" customHeight="false" outlineLevel="0" collapsed="false">
      <c r="A776" s="48" t="n">
        <v>775</v>
      </c>
      <c r="B776" s="46" t="n">
        <f aca="false">LARGE(v_valor,A776)</f>
        <v>11.72</v>
      </c>
      <c r="C776" s="46" t="n">
        <f aca="false">C775+B776</f>
        <v>108023.43</v>
      </c>
      <c r="D776" s="50" t="n">
        <f aca="false">C776/SUM(v_valor)</f>
        <v>0.987919451179791</v>
      </c>
      <c r="E776" s="50" t="n">
        <f aca="false">A776/1000</f>
        <v>0.775</v>
      </c>
    </row>
    <row r="777" customFormat="false" ht="15" hidden="false" customHeight="false" outlineLevel="0" collapsed="false">
      <c r="A777" s="48" t="n">
        <v>776</v>
      </c>
      <c r="B777" s="46" t="n">
        <f aca="false">LARGE(v_valor,A777)</f>
        <v>11.72</v>
      </c>
      <c r="C777" s="46" t="n">
        <f aca="false">C776+B777</f>
        <v>108035.15</v>
      </c>
      <c r="D777" s="50" t="n">
        <f aca="false">C777/SUM(v_valor)</f>
        <v>0.98802663548201</v>
      </c>
      <c r="E777" s="50" t="n">
        <f aca="false">A777/1000</f>
        <v>0.776</v>
      </c>
    </row>
    <row r="778" customFormat="false" ht="15" hidden="false" customHeight="false" outlineLevel="0" collapsed="false">
      <c r="A778" s="48" t="n">
        <v>777</v>
      </c>
      <c r="B778" s="46" t="n">
        <f aca="false">LARGE(v_valor,A778)</f>
        <v>11.72</v>
      </c>
      <c r="C778" s="46" t="n">
        <f aca="false">C777+B778</f>
        <v>108046.87</v>
      </c>
      <c r="D778" s="50" t="n">
        <f aca="false">C778/SUM(v_valor)</f>
        <v>0.988133819784229</v>
      </c>
      <c r="E778" s="50" t="n">
        <f aca="false">A778/1000</f>
        <v>0.777</v>
      </c>
    </row>
    <row r="779" customFormat="false" ht="15" hidden="false" customHeight="false" outlineLevel="0" collapsed="false">
      <c r="A779" s="48" t="n">
        <v>778</v>
      </c>
      <c r="B779" s="46" t="n">
        <f aca="false">LARGE(v_valor,A779)</f>
        <v>11.63</v>
      </c>
      <c r="C779" s="46" t="n">
        <f aca="false">C778+B779</f>
        <v>108058.5</v>
      </c>
      <c r="D779" s="50" t="n">
        <f aca="false">C779/SUM(v_valor)</f>
        <v>0.988240180998803</v>
      </c>
      <c r="E779" s="50" t="n">
        <f aca="false">A779/1000</f>
        <v>0.778</v>
      </c>
    </row>
    <row r="780" customFormat="false" ht="15" hidden="false" customHeight="false" outlineLevel="0" collapsed="false">
      <c r="A780" s="48" t="n">
        <v>779</v>
      </c>
      <c r="B780" s="46" t="n">
        <f aca="false">LARGE(v_valor,A780)</f>
        <v>11.56</v>
      </c>
      <c r="C780" s="46" t="n">
        <f aca="false">C779+B780</f>
        <v>108070.06</v>
      </c>
      <c r="D780" s="50" t="n">
        <f aca="false">C780/SUM(v_valor)</f>
        <v>0.988345902034097</v>
      </c>
      <c r="E780" s="50" t="n">
        <f aca="false">A780/1000</f>
        <v>0.779</v>
      </c>
    </row>
    <row r="781" customFormat="false" ht="15" hidden="false" customHeight="false" outlineLevel="0" collapsed="false">
      <c r="A781" s="48" t="n">
        <v>780</v>
      </c>
      <c r="B781" s="46" t="n">
        <f aca="false">LARGE(v_valor,A781)</f>
        <v>11.51</v>
      </c>
      <c r="C781" s="46" t="n">
        <f aca="false">C780+B781</f>
        <v>108081.57</v>
      </c>
      <c r="D781" s="50" t="n">
        <f aca="false">C781/SUM(v_valor)</f>
        <v>0.988451165798477</v>
      </c>
      <c r="E781" s="50" t="n">
        <f aca="false">A781/1000</f>
        <v>0.78</v>
      </c>
    </row>
    <row r="782" customFormat="false" ht="15" hidden="false" customHeight="false" outlineLevel="0" collapsed="false">
      <c r="A782" s="48" t="n">
        <v>781</v>
      </c>
      <c r="B782" s="46" t="n">
        <f aca="false">LARGE(v_valor,A782)</f>
        <v>11.38</v>
      </c>
      <c r="C782" s="46" t="n">
        <f aca="false">C781+B782</f>
        <v>108092.95</v>
      </c>
      <c r="D782" s="50" t="n">
        <f aca="false">C782/SUM(v_valor)</f>
        <v>0.988555240658481</v>
      </c>
      <c r="E782" s="50" t="n">
        <f aca="false">A782/1000</f>
        <v>0.781</v>
      </c>
    </row>
    <row r="783" customFormat="false" ht="15" hidden="false" customHeight="false" outlineLevel="0" collapsed="false">
      <c r="A783" s="48" t="n">
        <v>782</v>
      </c>
      <c r="B783" s="46" t="n">
        <f aca="false">LARGE(v_valor,A783)</f>
        <v>11.31</v>
      </c>
      <c r="C783" s="46" t="n">
        <f aca="false">C782+B783</f>
        <v>108104.26</v>
      </c>
      <c r="D783" s="50" t="n">
        <f aca="false">C783/SUM(v_valor)</f>
        <v>0.988658675339206</v>
      </c>
      <c r="E783" s="50" t="n">
        <f aca="false">A783/1000</f>
        <v>0.782</v>
      </c>
    </row>
    <row r="784" customFormat="false" ht="15" hidden="false" customHeight="false" outlineLevel="0" collapsed="false">
      <c r="A784" s="48" t="n">
        <v>783</v>
      </c>
      <c r="B784" s="46" t="n">
        <f aca="false">LARGE(v_valor,A784)</f>
        <v>11.31</v>
      </c>
      <c r="C784" s="46" t="n">
        <f aca="false">C783+B784</f>
        <v>108115.57</v>
      </c>
      <c r="D784" s="50" t="n">
        <f aca="false">C784/SUM(v_valor)</f>
        <v>0.988762110019931</v>
      </c>
      <c r="E784" s="50" t="n">
        <f aca="false">A784/1000</f>
        <v>0.783</v>
      </c>
    </row>
    <row r="785" customFormat="false" ht="15" hidden="false" customHeight="false" outlineLevel="0" collapsed="false">
      <c r="A785" s="48" t="n">
        <v>784</v>
      </c>
      <c r="B785" s="46" t="n">
        <f aca="false">LARGE(v_valor,A785)</f>
        <v>11.26</v>
      </c>
      <c r="C785" s="46" t="n">
        <f aca="false">C784+B785</f>
        <v>108126.83</v>
      </c>
      <c r="D785" s="50" t="n">
        <f aca="false">C785/SUM(v_valor)</f>
        <v>0.988865087429742</v>
      </c>
      <c r="E785" s="50" t="n">
        <f aca="false">A785/1000</f>
        <v>0.784</v>
      </c>
    </row>
    <row r="786" customFormat="false" ht="15" hidden="false" customHeight="false" outlineLevel="0" collapsed="false">
      <c r="A786" s="48" t="n">
        <v>785</v>
      </c>
      <c r="B786" s="46" t="n">
        <f aca="false">LARGE(v_valor,A786)</f>
        <v>11.15</v>
      </c>
      <c r="C786" s="46" t="n">
        <f aca="false">C785+B786</f>
        <v>108137.98</v>
      </c>
      <c r="D786" s="50" t="n">
        <f aca="false">C786/SUM(v_valor)</f>
        <v>0.988967058843542</v>
      </c>
      <c r="E786" s="50" t="n">
        <f aca="false">A786/1000</f>
        <v>0.785</v>
      </c>
    </row>
    <row r="787" customFormat="false" ht="15" hidden="false" customHeight="false" outlineLevel="0" collapsed="false">
      <c r="A787" s="48" t="n">
        <v>786</v>
      </c>
      <c r="B787" s="46" t="n">
        <f aca="false">LARGE(v_valor,A787)</f>
        <v>11.1</v>
      </c>
      <c r="C787" s="46" t="n">
        <f aca="false">C786+B787</f>
        <v>108149.08</v>
      </c>
      <c r="D787" s="50" t="n">
        <f aca="false">C787/SUM(v_valor)</f>
        <v>0.989068572986428</v>
      </c>
      <c r="E787" s="50" t="n">
        <f aca="false">A787/1000</f>
        <v>0.786</v>
      </c>
    </row>
    <row r="788" customFormat="false" ht="15" hidden="false" customHeight="false" outlineLevel="0" collapsed="false">
      <c r="A788" s="48" t="n">
        <v>787</v>
      </c>
      <c r="B788" s="46" t="n">
        <f aca="false">LARGE(v_valor,A788)</f>
        <v>11</v>
      </c>
      <c r="C788" s="46" t="n">
        <f aca="false">C787+B788</f>
        <v>108160.08</v>
      </c>
      <c r="D788" s="50" t="n">
        <f aca="false">C788/SUM(v_valor)</f>
        <v>0.989169172587487</v>
      </c>
      <c r="E788" s="50" t="n">
        <f aca="false">A788/1000</f>
        <v>0.787</v>
      </c>
    </row>
    <row r="789" customFormat="false" ht="15" hidden="false" customHeight="false" outlineLevel="0" collapsed="false">
      <c r="A789" s="48" t="n">
        <v>788</v>
      </c>
      <c r="B789" s="46" t="n">
        <f aca="false">LARGE(v_valor,A789)</f>
        <v>10.85</v>
      </c>
      <c r="C789" s="46" t="n">
        <f aca="false">C788+B789</f>
        <v>108170.93</v>
      </c>
      <c r="D789" s="50" t="n">
        <f aca="false">C789/SUM(v_valor)</f>
        <v>0.989268400375804</v>
      </c>
      <c r="E789" s="50" t="n">
        <f aca="false">A789/1000</f>
        <v>0.788</v>
      </c>
    </row>
    <row r="790" customFormat="false" ht="15" hidden="false" customHeight="false" outlineLevel="0" collapsed="false">
      <c r="A790" s="48" t="n">
        <v>789</v>
      </c>
      <c r="B790" s="46" t="n">
        <f aca="false">LARGE(v_valor,A790)</f>
        <v>10.81</v>
      </c>
      <c r="C790" s="46" t="n">
        <f aca="false">C789+B790</f>
        <v>108181.74</v>
      </c>
      <c r="D790" s="50" t="n">
        <f aca="false">C790/SUM(v_valor)</f>
        <v>0.98936726234739</v>
      </c>
      <c r="E790" s="50" t="n">
        <f aca="false">A790/1000</f>
        <v>0.789</v>
      </c>
    </row>
    <row r="791" customFormat="false" ht="15" hidden="false" customHeight="false" outlineLevel="0" collapsed="false">
      <c r="A791" s="48" t="n">
        <v>790</v>
      </c>
      <c r="B791" s="46" t="n">
        <f aca="false">LARGE(v_valor,A791)</f>
        <v>10.79</v>
      </c>
      <c r="C791" s="46" t="n">
        <f aca="false">C790+B791</f>
        <v>108192.53</v>
      </c>
      <c r="D791" s="50" t="n">
        <f aca="false">C791/SUM(v_valor)</f>
        <v>0.98946594141061</v>
      </c>
      <c r="E791" s="50" t="n">
        <f aca="false">A791/1000</f>
        <v>0.79</v>
      </c>
    </row>
    <row r="792" customFormat="false" ht="15" hidden="false" customHeight="false" outlineLevel="0" collapsed="false">
      <c r="A792" s="48" t="n">
        <v>791</v>
      </c>
      <c r="B792" s="46" t="n">
        <f aca="false">LARGE(v_valor,A792)</f>
        <v>10.78</v>
      </c>
      <c r="C792" s="46" t="n">
        <f aca="false">C791+B792</f>
        <v>108203.31</v>
      </c>
      <c r="D792" s="50" t="n">
        <f aca="false">C792/SUM(v_valor)</f>
        <v>0.989564529019647</v>
      </c>
      <c r="E792" s="50" t="n">
        <f aca="false">A792/1000</f>
        <v>0.791</v>
      </c>
    </row>
    <row r="793" customFormat="false" ht="15" hidden="false" customHeight="false" outlineLevel="0" collapsed="false">
      <c r="A793" s="48" t="n">
        <v>792</v>
      </c>
      <c r="B793" s="46" t="n">
        <f aca="false">LARGE(v_valor,A793)</f>
        <v>10.66</v>
      </c>
      <c r="C793" s="46" t="n">
        <f aca="false">C792+B793</f>
        <v>108213.97</v>
      </c>
      <c r="D793" s="50" t="n">
        <f aca="false">C793/SUM(v_valor)</f>
        <v>0.989662019178491</v>
      </c>
      <c r="E793" s="50" t="n">
        <f aca="false">A793/1000</f>
        <v>0.792</v>
      </c>
    </row>
    <row r="794" customFormat="false" ht="15" hidden="false" customHeight="false" outlineLevel="0" collapsed="false">
      <c r="A794" s="48" t="n">
        <v>793</v>
      </c>
      <c r="B794" s="46" t="n">
        <f aca="false">LARGE(v_valor,A794)</f>
        <v>10.59</v>
      </c>
      <c r="C794" s="46" t="n">
        <f aca="false">C793+B794</f>
        <v>108224.56</v>
      </c>
      <c r="D794" s="50" t="n">
        <f aca="false">C794/SUM(v_valor)</f>
        <v>0.989758869158056</v>
      </c>
      <c r="E794" s="50" t="n">
        <f aca="false">A794/1000</f>
        <v>0.793</v>
      </c>
    </row>
    <row r="795" customFormat="false" ht="15" hidden="false" customHeight="false" outlineLevel="0" collapsed="false">
      <c r="A795" s="48" t="n">
        <v>794</v>
      </c>
      <c r="B795" s="46" t="n">
        <f aca="false">LARGE(v_valor,A795)</f>
        <v>10.06</v>
      </c>
      <c r="C795" s="46" t="n">
        <f aca="false">C794+B795</f>
        <v>108234.62</v>
      </c>
      <c r="D795" s="50" t="n">
        <f aca="false">C795/SUM(v_valor)</f>
        <v>0.989850872065933</v>
      </c>
      <c r="E795" s="50" t="n">
        <f aca="false">A795/1000</f>
        <v>0.794</v>
      </c>
    </row>
    <row r="796" customFormat="false" ht="15" hidden="false" customHeight="false" outlineLevel="0" collapsed="false">
      <c r="A796" s="48" t="n">
        <v>795</v>
      </c>
      <c r="B796" s="46" t="n">
        <f aca="false">LARGE(v_valor,A796)</f>
        <v>10.05</v>
      </c>
      <c r="C796" s="46" t="n">
        <f aca="false">C795+B796</f>
        <v>108244.67</v>
      </c>
      <c r="D796" s="50" t="n">
        <f aca="false">C796/SUM(v_valor)</f>
        <v>0.989942783519627</v>
      </c>
      <c r="E796" s="50" t="n">
        <f aca="false">A796/1000</f>
        <v>0.795</v>
      </c>
    </row>
    <row r="797" customFormat="false" ht="15" hidden="false" customHeight="false" outlineLevel="0" collapsed="false">
      <c r="A797" s="48" t="n">
        <v>796</v>
      </c>
      <c r="B797" s="46" t="n">
        <f aca="false">LARGE(v_valor,A797)</f>
        <v>9.99</v>
      </c>
      <c r="C797" s="46" t="n">
        <f aca="false">C796+B797</f>
        <v>108254.66</v>
      </c>
      <c r="D797" s="50" t="n">
        <f aca="false">C797/SUM(v_valor)</f>
        <v>0.990034146248225</v>
      </c>
      <c r="E797" s="50" t="n">
        <f aca="false">A797/1000</f>
        <v>0.796</v>
      </c>
    </row>
    <row r="798" customFormat="false" ht="15" hidden="false" customHeight="false" outlineLevel="0" collapsed="false">
      <c r="A798" s="48" t="n">
        <v>797</v>
      </c>
      <c r="B798" s="46" t="n">
        <f aca="false">LARGE(v_valor,A798)</f>
        <v>9.98</v>
      </c>
      <c r="C798" s="46" t="n">
        <f aca="false">C797+B798</f>
        <v>108264.64</v>
      </c>
      <c r="D798" s="50" t="n">
        <f aca="false">C798/SUM(v_valor)</f>
        <v>0.99012541752264</v>
      </c>
      <c r="E798" s="50" t="n">
        <f aca="false">A798/1000</f>
        <v>0.797</v>
      </c>
    </row>
    <row r="799" customFormat="false" ht="15" hidden="false" customHeight="false" outlineLevel="0" collapsed="false">
      <c r="A799" s="48" t="n">
        <v>798</v>
      </c>
      <c r="B799" s="46" t="n">
        <f aca="false">LARGE(v_valor,A799)</f>
        <v>9.93</v>
      </c>
      <c r="C799" s="46" t="n">
        <f aca="false">C798+B799</f>
        <v>108274.57</v>
      </c>
      <c r="D799" s="50" t="n">
        <f aca="false">C799/SUM(v_valor)</f>
        <v>0.990216231526141</v>
      </c>
      <c r="E799" s="50" t="n">
        <f aca="false">A799/1000</f>
        <v>0.798</v>
      </c>
    </row>
    <row r="800" customFormat="false" ht="15" hidden="false" customHeight="false" outlineLevel="0" collapsed="false">
      <c r="A800" s="48" t="n">
        <v>799</v>
      </c>
      <c r="B800" s="46" t="n">
        <f aca="false">LARGE(v_valor,A800)</f>
        <v>9.93</v>
      </c>
      <c r="C800" s="46" t="n">
        <f aca="false">C799+B800</f>
        <v>108284.5</v>
      </c>
      <c r="D800" s="50" t="n">
        <f aca="false">C800/SUM(v_valor)</f>
        <v>0.990307045529642</v>
      </c>
      <c r="E800" s="50" t="n">
        <f aca="false">A800/1000</f>
        <v>0.799</v>
      </c>
    </row>
    <row r="801" customFormat="false" ht="15" hidden="false" customHeight="false" outlineLevel="0" collapsed="false">
      <c r="A801" s="48" t="n">
        <v>800</v>
      </c>
      <c r="B801" s="46" t="n">
        <f aca="false">LARGE(v_valor,A801)</f>
        <v>9.91</v>
      </c>
      <c r="C801" s="46" t="n">
        <f aca="false">C800+B801</f>
        <v>108294.41</v>
      </c>
      <c r="D801" s="50" t="n">
        <f aca="false">C801/SUM(v_valor)</f>
        <v>0.990397676624777</v>
      </c>
      <c r="E801" s="50" t="n">
        <f aca="false">A801/1000</f>
        <v>0.8</v>
      </c>
    </row>
    <row r="802" customFormat="false" ht="15" hidden="false" customHeight="false" outlineLevel="0" collapsed="false">
      <c r="A802" s="48" t="n">
        <v>801</v>
      </c>
      <c r="B802" s="46" t="n">
        <f aca="false">LARGE(v_valor,A802)</f>
        <v>9.9</v>
      </c>
      <c r="C802" s="46" t="n">
        <f aca="false">C801+B802</f>
        <v>108304.31</v>
      </c>
      <c r="D802" s="50" t="n">
        <f aca="false">C802/SUM(v_valor)</f>
        <v>0.99048821626573</v>
      </c>
      <c r="E802" s="50" t="n">
        <f aca="false">A802/1000</f>
        <v>0.801</v>
      </c>
    </row>
    <row r="803" customFormat="false" ht="15" hidden="false" customHeight="false" outlineLevel="0" collapsed="false">
      <c r="A803" s="48" t="n">
        <v>802</v>
      </c>
      <c r="B803" s="46" t="n">
        <f aca="false">LARGE(v_valor,A803)</f>
        <v>9.87</v>
      </c>
      <c r="C803" s="46" t="n">
        <f aca="false">C802+B803</f>
        <v>108314.18</v>
      </c>
      <c r="D803" s="50" t="n">
        <f aca="false">C803/SUM(v_valor)</f>
        <v>0.990578481544134</v>
      </c>
      <c r="E803" s="50" t="n">
        <f aca="false">A803/1000</f>
        <v>0.802</v>
      </c>
    </row>
    <row r="804" customFormat="false" ht="15" hidden="false" customHeight="false" outlineLevel="0" collapsed="false">
      <c r="A804" s="48" t="n">
        <v>803</v>
      </c>
      <c r="B804" s="46" t="n">
        <f aca="false">LARGE(v_valor,A804)</f>
        <v>9.68</v>
      </c>
      <c r="C804" s="46" t="n">
        <f aca="false">C803+B804</f>
        <v>108323.86</v>
      </c>
      <c r="D804" s="50" t="n">
        <f aca="false">C804/SUM(v_valor)</f>
        <v>0.990667009193066</v>
      </c>
      <c r="E804" s="50" t="n">
        <f aca="false">A804/1000</f>
        <v>0.803</v>
      </c>
    </row>
    <row r="805" customFormat="false" ht="15" hidden="false" customHeight="false" outlineLevel="0" collapsed="false">
      <c r="A805" s="48" t="n">
        <v>804</v>
      </c>
      <c r="B805" s="46" t="n">
        <f aca="false">LARGE(v_valor,A805)</f>
        <v>9.67</v>
      </c>
      <c r="C805" s="46" t="n">
        <f aca="false">C804+B805</f>
        <v>108333.53</v>
      </c>
      <c r="D805" s="50" t="n">
        <f aca="false">C805/SUM(v_valor)</f>
        <v>0.990755445387815</v>
      </c>
      <c r="E805" s="50" t="n">
        <f aca="false">A805/1000</f>
        <v>0.804</v>
      </c>
    </row>
    <row r="806" customFormat="false" ht="15" hidden="false" customHeight="false" outlineLevel="0" collapsed="false">
      <c r="A806" s="48" t="n">
        <v>805</v>
      </c>
      <c r="B806" s="46" t="n">
        <f aca="false">LARGE(v_valor,A806)</f>
        <v>9.56</v>
      </c>
      <c r="C806" s="46" t="n">
        <f aca="false">C805+B806</f>
        <v>108343.09</v>
      </c>
      <c r="D806" s="50" t="n">
        <f aca="false">C806/SUM(v_valor)</f>
        <v>0.990842875586553</v>
      </c>
      <c r="E806" s="50" t="n">
        <f aca="false">A806/1000</f>
        <v>0.805</v>
      </c>
    </row>
    <row r="807" customFormat="false" ht="15" hidden="false" customHeight="false" outlineLevel="0" collapsed="false">
      <c r="A807" s="48" t="n">
        <v>806</v>
      </c>
      <c r="B807" s="46" t="n">
        <f aca="false">LARGE(v_valor,A807)</f>
        <v>9.54</v>
      </c>
      <c r="C807" s="46" t="n">
        <f aca="false">C806+B807</f>
        <v>108352.63</v>
      </c>
      <c r="D807" s="50" t="n">
        <f aca="false">C807/SUM(v_valor)</f>
        <v>0.990930122876925</v>
      </c>
      <c r="E807" s="50" t="n">
        <f aca="false">A807/1000</f>
        <v>0.806</v>
      </c>
    </row>
    <row r="808" customFormat="false" ht="15" hidden="false" customHeight="false" outlineLevel="0" collapsed="false">
      <c r="A808" s="48" t="n">
        <v>807</v>
      </c>
      <c r="B808" s="46" t="n">
        <f aca="false">LARGE(v_valor,A808)</f>
        <v>9.46</v>
      </c>
      <c r="C808" s="46" t="n">
        <f aca="false">C807+B808</f>
        <v>108362.09</v>
      </c>
      <c r="D808" s="50" t="n">
        <f aca="false">C808/SUM(v_valor)</f>
        <v>0.991016638533836</v>
      </c>
      <c r="E808" s="50" t="n">
        <f aca="false">A808/1000</f>
        <v>0.807</v>
      </c>
    </row>
    <row r="809" customFormat="false" ht="15" hidden="false" customHeight="false" outlineLevel="0" collapsed="false">
      <c r="A809" s="48" t="n">
        <v>808</v>
      </c>
      <c r="B809" s="46" t="n">
        <f aca="false">LARGE(v_valor,A809)</f>
        <v>9.43</v>
      </c>
      <c r="C809" s="46" t="n">
        <f aca="false">C808+B809</f>
        <v>108371.52</v>
      </c>
      <c r="D809" s="50" t="n">
        <f aca="false">C809/SUM(v_valor)</f>
        <v>0.991102879828198</v>
      </c>
      <c r="E809" s="50" t="n">
        <f aca="false">A809/1000</f>
        <v>0.808</v>
      </c>
    </row>
    <row r="810" customFormat="false" ht="15" hidden="false" customHeight="false" outlineLevel="0" collapsed="false">
      <c r="A810" s="48" t="n">
        <v>809</v>
      </c>
      <c r="B810" s="46" t="n">
        <f aca="false">LARGE(v_valor,A810)</f>
        <v>9.32</v>
      </c>
      <c r="C810" s="46" t="n">
        <f aca="false">C809+B810</f>
        <v>108380.84</v>
      </c>
      <c r="D810" s="50" t="n">
        <f aca="false">C810/SUM(v_valor)</f>
        <v>0.991188115126549</v>
      </c>
      <c r="E810" s="50" t="n">
        <f aca="false">A810/1000</f>
        <v>0.809</v>
      </c>
    </row>
    <row r="811" customFormat="false" ht="15" hidden="false" customHeight="false" outlineLevel="0" collapsed="false">
      <c r="A811" s="48" t="n">
        <v>810</v>
      </c>
      <c r="B811" s="46" t="n">
        <f aca="false">LARGE(v_valor,A811)</f>
        <v>9.32</v>
      </c>
      <c r="C811" s="46" t="n">
        <f aca="false">C810+B811</f>
        <v>108390.16</v>
      </c>
      <c r="D811" s="50" t="n">
        <f aca="false">C811/SUM(v_valor)</f>
        <v>0.991273350424901</v>
      </c>
      <c r="E811" s="50" t="n">
        <f aca="false">A811/1000</f>
        <v>0.81</v>
      </c>
    </row>
    <row r="812" customFormat="false" ht="15" hidden="false" customHeight="false" outlineLevel="0" collapsed="false">
      <c r="A812" s="48" t="n">
        <v>811</v>
      </c>
      <c r="B812" s="46" t="n">
        <f aca="false">LARGE(v_valor,A812)</f>
        <v>9.05</v>
      </c>
      <c r="C812" s="46" t="n">
        <f aca="false">C811+B812</f>
        <v>108399.21</v>
      </c>
      <c r="D812" s="50" t="n">
        <f aca="false">C812/SUM(v_valor)</f>
        <v>0.991356116460317</v>
      </c>
      <c r="E812" s="50" t="n">
        <f aca="false">A812/1000</f>
        <v>0.811</v>
      </c>
    </row>
    <row r="813" customFormat="false" ht="15" hidden="false" customHeight="false" outlineLevel="0" collapsed="false">
      <c r="A813" s="48" t="n">
        <v>812</v>
      </c>
      <c r="B813" s="46" t="n">
        <f aca="false">LARGE(v_valor,A813)</f>
        <v>8.94</v>
      </c>
      <c r="C813" s="46" t="n">
        <f aca="false">C812+B813</f>
        <v>108408.15</v>
      </c>
      <c r="D813" s="50" t="n">
        <f aca="false">C813/SUM(v_valor)</f>
        <v>0.991437876499723</v>
      </c>
      <c r="E813" s="50" t="n">
        <f aca="false">A813/1000</f>
        <v>0.812</v>
      </c>
    </row>
    <row r="814" customFormat="false" ht="15" hidden="false" customHeight="false" outlineLevel="0" collapsed="false">
      <c r="A814" s="48" t="n">
        <v>813</v>
      </c>
      <c r="B814" s="46" t="n">
        <f aca="false">LARGE(v_valor,A814)</f>
        <v>8.92</v>
      </c>
      <c r="C814" s="46" t="n">
        <f aca="false">C813+B814</f>
        <v>108417.07</v>
      </c>
      <c r="D814" s="50" t="n">
        <f aca="false">C814/SUM(v_valor)</f>
        <v>0.991519453630763</v>
      </c>
      <c r="E814" s="50" t="n">
        <f aca="false">A814/1000</f>
        <v>0.813</v>
      </c>
    </row>
    <row r="815" customFormat="false" ht="15" hidden="false" customHeight="false" outlineLevel="0" collapsed="false">
      <c r="A815" s="48" t="n">
        <v>814</v>
      </c>
      <c r="B815" s="46" t="n">
        <f aca="false">LARGE(v_valor,A815)</f>
        <v>8.88</v>
      </c>
      <c r="C815" s="46" t="n">
        <f aca="false">C814+B815</f>
        <v>108425.95</v>
      </c>
      <c r="D815" s="50" t="n">
        <f aca="false">C815/SUM(v_valor)</f>
        <v>0.991600664945072</v>
      </c>
      <c r="E815" s="50" t="n">
        <f aca="false">A815/1000</f>
        <v>0.814</v>
      </c>
    </row>
    <row r="816" customFormat="false" ht="15" hidden="false" customHeight="false" outlineLevel="0" collapsed="false">
      <c r="A816" s="48" t="n">
        <v>815</v>
      </c>
      <c r="B816" s="46" t="n">
        <f aca="false">LARGE(v_valor,A816)</f>
        <v>8.84</v>
      </c>
      <c r="C816" s="46" t="n">
        <f aca="false">C815+B816</f>
        <v>108434.79</v>
      </c>
      <c r="D816" s="50" t="n">
        <f aca="false">C816/SUM(v_valor)</f>
        <v>0.99168151044265</v>
      </c>
      <c r="E816" s="50" t="n">
        <f aca="false">A816/1000</f>
        <v>0.815</v>
      </c>
    </row>
    <row r="817" customFormat="false" ht="15" hidden="false" customHeight="false" outlineLevel="0" collapsed="false">
      <c r="A817" s="48" t="n">
        <v>816</v>
      </c>
      <c r="B817" s="46" t="n">
        <f aca="false">LARGE(v_valor,A817)</f>
        <v>8.82</v>
      </c>
      <c r="C817" s="46" t="n">
        <f aca="false">C816+B817</f>
        <v>108443.61</v>
      </c>
      <c r="D817" s="50" t="n">
        <f aca="false">C817/SUM(v_valor)</f>
        <v>0.991762173031863</v>
      </c>
      <c r="E817" s="50" t="n">
        <f aca="false">A817/1000</f>
        <v>0.816</v>
      </c>
    </row>
    <row r="818" customFormat="false" ht="15" hidden="false" customHeight="false" outlineLevel="0" collapsed="false">
      <c r="A818" s="48" t="n">
        <v>817</v>
      </c>
      <c r="B818" s="46" t="n">
        <f aca="false">LARGE(v_valor,A818)</f>
        <v>8.81</v>
      </c>
      <c r="C818" s="46" t="n">
        <f aca="false">C817+B818</f>
        <v>108452.42</v>
      </c>
      <c r="D818" s="50" t="n">
        <f aca="false">C818/SUM(v_valor)</f>
        <v>0.991842744166892</v>
      </c>
      <c r="E818" s="50" t="n">
        <f aca="false">A818/1000</f>
        <v>0.817</v>
      </c>
    </row>
    <row r="819" customFormat="false" ht="15" hidden="false" customHeight="false" outlineLevel="0" collapsed="false">
      <c r="A819" s="48" t="n">
        <v>818</v>
      </c>
      <c r="B819" s="46" t="n">
        <f aca="false">LARGE(v_valor,A819)</f>
        <v>8.69</v>
      </c>
      <c r="C819" s="46" t="n">
        <f aca="false">C818+B819</f>
        <v>108461.11</v>
      </c>
      <c r="D819" s="50" t="n">
        <f aca="false">C819/SUM(v_valor)</f>
        <v>0.991922217851729</v>
      </c>
      <c r="E819" s="50" t="n">
        <f aca="false">A819/1000</f>
        <v>0.818</v>
      </c>
    </row>
    <row r="820" customFormat="false" ht="15" hidden="false" customHeight="false" outlineLevel="0" collapsed="false">
      <c r="A820" s="48" t="n">
        <v>819</v>
      </c>
      <c r="B820" s="46" t="n">
        <f aca="false">LARGE(v_valor,A820)</f>
        <v>8.67</v>
      </c>
      <c r="C820" s="46" t="n">
        <f aca="false">C819+B820</f>
        <v>108469.78</v>
      </c>
      <c r="D820" s="50" t="n">
        <f aca="false">C820/SUM(v_valor)</f>
        <v>0.992001508628199</v>
      </c>
      <c r="E820" s="50" t="n">
        <f aca="false">A820/1000</f>
        <v>0.819</v>
      </c>
    </row>
    <row r="821" customFormat="false" ht="15" hidden="false" customHeight="false" outlineLevel="0" collapsed="false">
      <c r="A821" s="48" t="n">
        <v>820</v>
      </c>
      <c r="B821" s="46" t="n">
        <f aca="false">LARGE(v_valor,A821)</f>
        <v>8.49</v>
      </c>
      <c r="C821" s="46" t="n">
        <f aca="false">C820+B821</f>
        <v>108478.27</v>
      </c>
      <c r="D821" s="50" t="n">
        <f aca="false">C821/SUM(v_valor)</f>
        <v>0.99207915322938</v>
      </c>
      <c r="E821" s="50" t="n">
        <f aca="false">A821/1000</f>
        <v>0.82</v>
      </c>
    </row>
    <row r="822" customFormat="false" ht="15" hidden="false" customHeight="false" outlineLevel="0" collapsed="false">
      <c r="A822" s="48" t="n">
        <v>821</v>
      </c>
      <c r="B822" s="46" t="n">
        <f aca="false">LARGE(v_valor,A822)</f>
        <v>8.45</v>
      </c>
      <c r="C822" s="46" t="n">
        <f aca="false">C821+B822</f>
        <v>108486.72</v>
      </c>
      <c r="D822" s="50" t="n">
        <f aca="false">C822/SUM(v_valor)</f>
        <v>0.992156432013829</v>
      </c>
      <c r="E822" s="50" t="n">
        <f aca="false">A822/1000</f>
        <v>0.821</v>
      </c>
    </row>
    <row r="823" customFormat="false" ht="15" hidden="false" customHeight="false" outlineLevel="0" collapsed="false">
      <c r="A823" s="48" t="n">
        <v>822</v>
      </c>
      <c r="B823" s="46" t="n">
        <f aca="false">LARGE(v_valor,A823)</f>
        <v>8.32</v>
      </c>
      <c r="C823" s="46" t="n">
        <f aca="false">C822+B823</f>
        <v>108495.04</v>
      </c>
      <c r="D823" s="50" t="n">
        <f aca="false">C823/SUM(v_valor)</f>
        <v>0.992232521893903</v>
      </c>
      <c r="E823" s="50" t="n">
        <f aca="false">A823/1000</f>
        <v>0.822</v>
      </c>
    </row>
    <row r="824" customFormat="false" ht="15" hidden="false" customHeight="false" outlineLevel="0" collapsed="false">
      <c r="A824" s="48" t="n">
        <v>823</v>
      </c>
      <c r="B824" s="46" t="n">
        <f aca="false">LARGE(v_valor,A824)</f>
        <v>8.3</v>
      </c>
      <c r="C824" s="46" t="n">
        <f aca="false">C823+B824</f>
        <v>108503.34</v>
      </c>
      <c r="D824" s="50" t="n">
        <f aca="false">C824/SUM(v_valor)</f>
        <v>0.992308428865611</v>
      </c>
      <c r="E824" s="50" t="n">
        <f aca="false">A824/1000</f>
        <v>0.823</v>
      </c>
    </row>
    <row r="825" customFormat="false" ht="15" hidden="false" customHeight="false" outlineLevel="0" collapsed="false">
      <c r="A825" s="48" t="n">
        <v>824</v>
      </c>
      <c r="B825" s="46" t="n">
        <f aca="false">LARGE(v_valor,A825)</f>
        <v>8.27</v>
      </c>
      <c r="C825" s="46" t="n">
        <f aca="false">C824+B825</f>
        <v>108511.61</v>
      </c>
      <c r="D825" s="50" t="n">
        <f aca="false">C825/SUM(v_valor)</f>
        <v>0.99238406147477</v>
      </c>
      <c r="E825" s="50" t="n">
        <f aca="false">A825/1000</f>
        <v>0.824</v>
      </c>
    </row>
    <row r="826" customFormat="false" ht="15" hidden="false" customHeight="false" outlineLevel="0" collapsed="false">
      <c r="A826" s="48" t="n">
        <v>825</v>
      </c>
      <c r="B826" s="46" t="n">
        <f aca="false">LARGE(v_valor,A826)</f>
        <v>8.23</v>
      </c>
      <c r="C826" s="46" t="n">
        <f aca="false">C825+B826</f>
        <v>108519.84</v>
      </c>
      <c r="D826" s="50" t="n">
        <f aca="false">C826/SUM(v_valor)</f>
        <v>0.992459328267199</v>
      </c>
      <c r="E826" s="50" t="n">
        <f aca="false">A826/1000</f>
        <v>0.825</v>
      </c>
    </row>
    <row r="827" customFormat="false" ht="15" hidden="false" customHeight="false" outlineLevel="0" collapsed="false">
      <c r="A827" s="48" t="n">
        <v>826</v>
      </c>
      <c r="B827" s="46" t="n">
        <f aca="false">LARGE(v_valor,A827)</f>
        <v>8.18</v>
      </c>
      <c r="C827" s="46" t="n">
        <f aca="false">C826+B827</f>
        <v>108528.02</v>
      </c>
      <c r="D827" s="50" t="n">
        <f aca="false">C827/SUM(v_valor)</f>
        <v>0.992534137788713</v>
      </c>
      <c r="E827" s="50" t="n">
        <f aca="false">A827/1000</f>
        <v>0.826</v>
      </c>
    </row>
    <row r="828" customFormat="false" ht="15" hidden="false" customHeight="false" outlineLevel="0" collapsed="false">
      <c r="A828" s="48" t="n">
        <v>827</v>
      </c>
      <c r="B828" s="46" t="n">
        <f aca="false">LARGE(v_valor,A828)</f>
        <v>8.17</v>
      </c>
      <c r="C828" s="46" t="n">
        <f aca="false">C827+B828</f>
        <v>108536.19</v>
      </c>
      <c r="D828" s="50" t="n">
        <f aca="false">C828/SUM(v_valor)</f>
        <v>0.992608855856045</v>
      </c>
      <c r="E828" s="50" t="n">
        <f aca="false">A828/1000</f>
        <v>0.827</v>
      </c>
    </row>
    <row r="829" customFormat="false" ht="15" hidden="false" customHeight="false" outlineLevel="0" collapsed="false">
      <c r="A829" s="48" t="n">
        <v>828</v>
      </c>
      <c r="B829" s="46" t="n">
        <f aca="false">LARGE(v_valor,A829)</f>
        <v>8.16</v>
      </c>
      <c r="C829" s="46" t="n">
        <f aca="false">C828+B829</f>
        <v>108544.35</v>
      </c>
      <c r="D829" s="50" t="n">
        <f aca="false">C829/SUM(v_valor)</f>
        <v>0.992683482469194</v>
      </c>
      <c r="E829" s="50" t="n">
        <f aca="false">A829/1000</f>
        <v>0.828</v>
      </c>
    </row>
    <row r="830" customFormat="false" ht="15" hidden="false" customHeight="false" outlineLevel="0" collapsed="false">
      <c r="A830" s="48" t="n">
        <v>829</v>
      </c>
      <c r="B830" s="46" t="n">
        <f aca="false">LARGE(v_valor,A830)</f>
        <v>8.15</v>
      </c>
      <c r="C830" s="46" t="n">
        <f aca="false">C829+B830</f>
        <v>108552.5</v>
      </c>
      <c r="D830" s="50" t="n">
        <f aca="false">C830/SUM(v_valor)</f>
        <v>0.99275801762816</v>
      </c>
      <c r="E830" s="50" t="n">
        <f aca="false">A830/1000</f>
        <v>0.829</v>
      </c>
    </row>
    <row r="831" customFormat="false" ht="15" hidden="false" customHeight="false" outlineLevel="0" collapsed="false">
      <c r="A831" s="48" t="n">
        <v>830</v>
      </c>
      <c r="B831" s="46" t="n">
        <f aca="false">LARGE(v_valor,A831)</f>
        <v>8.07</v>
      </c>
      <c r="C831" s="46" t="n">
        <f aca="false">C830+B831</f>
        <v>108560.57</v>
      </c>
      <c r="D831" s="50" t="n">
        <f aca="false">C831/SUM(v_valor)</f>
        <v>0.992831821153664</v>
      </c>
      <c r="E831" s="50" t="n">
        <f aca="false">A831/1000</f>
        <v>0.83</v>
      </c>
    </row>
    <row r="832" customFormat="false" ht="15" hidden="false" customHeight="false" outlineLevel="0" collapsed="false">
      <c r="A832" s="48" t="n">
        <v>831</v>
      </c>
      <c r="B832" s="46" t="n">
        <f aca="false">LARGE(v_valor,A832)</f>
        <v>8</v>
      </c>
      <c r="C832" s="46" t="n">
        <f aca="false">C831+B832</f>
        <v>108568.57</v>
      </c>
      <c r="D832" s="50" t="n">
        <f aca="false">C832/SUM(v_valor)</f>
        <v>0.992904984499888</v>
      </c>
      <c r="E832" s="50" t="n">
        <f aca="false">A832/1000</f>
        <v>0.831</v>
      </c>
    </row>
    <row r="833" customFormat="false" ht="15" hidden="false" customHeight="false" outlineLevel="0" collapsed="false">
      <c r="A833" s="48" t="n">
        <v>832</v>
      </c>
      <c r="B833" s="46" t="n">
        <f aca="false">LARGE(v_valor,A833)</f>
        <v>7.95</v>
      </c>
      <c r="C833" s="46" t="n">
        <f aca="false">C832+B833</f>
        <v>108576.52</v>
      </c>
      <c r="D833" s="50" t="n">
        <f aca="false">C833/SUM(v_valor)</f>
        <v>0.992977690575199</v>
      </c>
      <c r="E833" s="50" t="n">
        <f aca="false">A833/1000</f>
        <v>0.832</v>
      </c>
    </row>
    <row r="834" customFormat="false" ht="15" hidden="false" customHeight="false" outlineLevel="0" collapsed="false">
      <c r="A834" s="48" t="n">
        <v>833</v>
      </c>
      <c r="B834" s="46" t="n">
        <f aca="false">LARGE(v_valor,A834)</f>
        <v>7.94</v>
      </c>
      <c r="C834" s="46" t="n">
        <f aca="false">C833+B834</f>
        <v>108584.46</v>
      </c>
      <c r="D834" s="50" t="n">
        <f aca="false">C834/SUM(v_valor)</f>
        <v>0.993050305196326</v>
      </c>
      <c r="E834" s="50" t="n">
        <f aca="false">A834/1000</f>
        <v>0.833</v>
      </c>
    </row>
    <row r="835" customFormat="false" ht="15" hidden="false" customHeight="false" outlineLevel="0" collapsed="false">
      <c r="A835" s="48" t="n">
        <v>834</v>
      </c>
      <c r="B835" s="46" t="n">
        <f aca="false">LARGE(v_valor,A835)</f>
        <v>7.93</v>
      </c>
      <c r="C835" s="46" t="n">
        <f aca="false">C834+B835</f>
        <v>108592.39</v>
      </c>
      <c r="D835" s="50" t="n">
        <f aca="false">C835/SUM(v_valor)</f>
        <v>0.993122828363271</v>
      </c>
      <c r="E835" s="50" t="n">
        <f aca="false">A835/1000</f>
        <v>0.834</v>
      </c>
    </row>
    <row r="836" customFormat="false" ht="15" hidden="false" customHeight="false" outlineLevel="0" collapsed="false">
      <c r="A836" s="48" t="n">
        <v>835</v>
      </c>
      <c r="B836" s="46" t="n">
        <f aca="false">LARGE(v_valor,A836)</f>
        <v>7.89</v>
      </c>
      <c r="C836" s="46" t="n">
        <f aca="false">C835+B836</f>
        <v>108600.28</v>
      </c>
      <c r="D836" s="50" t="n">
        <f aca="false">C836/SUM(v_valor)</f>
        <v>0.993194985713485</v>
      </c>
      <c r="E836" s="50" t="n">
        <f aca="false">A836/1000</f>
        <v>0.835</v>
      </c>
    </row>
    <row r="837" customFormat="false" ht="15" hidden="false" customHeight="false" outlineLevel="0" collapsed="false">
      <c r="A837" s="48" t="n">
        <v>836</v>
      </c>
      <c r="B837" s="46" t="n">
        <f aca="false">LARGE(v_valor,A837)</f>
        <v>7.85</v>
      </c>
      <c r="C837" s="46" t="n">
        <f aca="false">C836+B837</f>
        <v>108608.13</v>
      </c>
      <c r="D837" s="50" t="n">
        <f aca="false">C837/SUM(v_valor)</f>
        <v>0.993266777246968</v>
      </c>
      <c r="E837" s="50" t="n">
        <f aca="false">A837/1000</f>
        <v>0.836</v>
      </c>
    </row>
    <row r="838" customFormat="false" ht="15" hidden="false" customHeight="false" outlineLevel="0" collapsed="false">
      <c r="A838" s="48" t="n">
        <v>837</v>
      </c>
      <c r="B838" s="46" t="n">
        <f aca="false">LARGE(v_valor,A838)</f>
        <v>7.73</v>
      </c>
      <c r="C838" s="46" t="n">
        <f aca="false">C837+B838</f>
        <v>108615.86</v>
      </c>
      <c r="D838" s="50" t="n">
        <f aca="false">C838/SUM(v_valor)</f>
        <v>0.993337471330257</v>
      </c>
      <c r="E838" s="50" t="n">
        <f aca="false">A838/1000</f>
        <v>0.837</v>
      </c>
    </row>
    <row r="839" customFormat="false" ht="15" hidden="false" customHeight="false" outlineLevel="0" collapsed="false">
      <c r="A839" s="48" t="n">
        <v>838</v>
      </c>
      <c r="B839" s="46" t="n">
        <f aca="false">LARGE(v_valor,A839)</f>
        <v>7.73</v>
      </c>
      <c r="C839" s="46" t="n">
        <f aca="false">C838+B839</f>
        <v>108623.59</v>
      </c>
      <c r="D839" s="50" t="n">
        <f aca="false">C839/SUM(v_valor)</f>
        <v>0.993408165413546</v>
      </c>
      <c r="E839" s="50" t="n">
        <f aca="false">A839/1000</f>
        <v>0.838</v>
      </c>
    </row>
    <row r="840" customFormat="false" ht="15" hidden="false" customHeight="false" outlineLevel="0" collapsed="false">
      <c r="A840" s="48" t="n">
        <v>839</v>
      </c>
      <c r="B840" s="46" t="n">
        <f aca="false">LARGE(v_valor,A840)</f>
        <v>7.66</v>
      </c>
      <c r="C840" s="46" t="n">
        <f aca="false">C839+B840</f>
        <v>108631.25</v>
      </c>
      <c r="D840" s="50" t="n">
        <f aca="false">C840/SUM(v_valor)</f>
        <v>0.993478219317556</v>
      </c>
      <c r="E840" s="50" t="n">
        <f aca="false">A840/1000</f>
        <v>0.839</v>
      </c>
    </row>
    <row r="841" customFormat="false" ht="15" hidden="false" customHeight="false" outlineLevel="0" collapsed="false">
      <c r="A841" s="48" t="n">
        <v>840</v>
      </c>
      <c r="B841" s="46" t="n">
        <f aca="false">LARGE(v_valor,A841)</f>
        <v>7.65</v>
      </c>
      <c r="C841" s="46" t="n">
        <f aca="false">C840+B841</f>
        <v>108638.9</v>
      </c>
      <c r="D841" s="50" t="n">
        <f aca="false">C841/SUM(v_valor)</f>
        <v>0.993548181767383</v>
      </c>
      <c r="E841" s="50" t="n">
        <f aca="false">A841/1000</f>
        <v>0.84</v>
      </c>
    </row>
    <row r="842" customFormat="false" ht="15" hidden="false" customHeight="false" outlineLevel="0" collapsed="false">
      <c r="A842" s="48" t="n">
        <v>841</v>
      </c>
      <c r="B842" s="46" t="n">
        <f aca="false">LARGE(v_valor,A842)</f>
        <v>7.62</v>
      </c>
      <c r="C842" s="46" t="n">
        <f aca="false">C841+B842</f>
        <v>108646.52</v>
      </c>
      <c r="D842" s="50" t="n">
        <f aca="false">C842/SUM(v_valor)</f>
        <v>0.993617869854662</v>
      </c>
      <c r="E842" s="50" t="n">
        <f aca="false">A842/1000</f>
        <v>0.841</v>
      </c>
    </row>
    <row r="843" customFormat="false" ht="15" hidden="false" customHeight="false" outlineLevel="0" collapsed="false">
      <c r="A843" s="48" t="n">
        <v>842</v>
      </c>
      <c r="B843" s="46" t="n">
        <f aca="false">LARGE(v_valor,A843)</f>
        <v>7.53</v>
      </c>
      <c r="C843" s="46" t="n">
        <f aca="false">C842+B843</f>
        <v>108654.05</v>
      </c>
      <c r="D843" s="50" t="n">
        <f aca="false">C843/SUM(v_valor)</f>
        <v>0.993686734854296</v>
      </c>
      <c r="E843" s="50" t="n">
        <f aca="false">A843/1000</f>
        <v>0.842</v>
      </c>
    </row>
    <row r="844" customFormat="false" ht="15" hidden="false" customHeight="false" outlineLevel="0" collapsed="false">
      <c r="A844" s="48" t="n">
        <v>843</v>
      </c>
      <c r="B844" s="46" t="n">
        <f aca="false">LARGE(v_valor,A844)</f>
        <v>7.48</v>
      </c>
      <c r="C844" s="46" t="n">
        <f aca="false">C843+B844</f>
        <v>108661.53</v>
      </c>
      <c r="D844" s="50" t="n">
        <f aca="false">C844/SUM(v_valor)</f>
        <v>0.993755142583015</v>
      </c>
      <c r="E844" s="50" t="n">
        <f aca="false">A844/1000</f>
        <v>0.843</v>
      </c>
    </row>
    <row r="845" customFormat="false" ht="15" hidden="false" customHeight="false" outlineLevel="0" collapsed="false">
      <c r="A845" s="48" t="n">
        <v>844</v>
      </c>
      <c r="B845" s="46" t="n">
        <f aca="false">LARGE(v_valor,A845)</f>
        <v>7.45</v>
      </c>
      <c r="C845" s="46" t="n">
        <f aca="false">C844+B845</f>
        <v>108668.98</v>
      </c>
      <c r="D845" s="50" t="n">
        <f aca="false">C845/SUM(v_valor)</f>
        <v>0.993823275949187</v>
      </c>
      <c r="E845" s="50" t="n">
        <f aca="false">A845/1000</f>
        <v>0.844</v>
      </c>
    </row>
    <row r="846" customFormat="false" ht="15" hidden="false" customHeight="false" outlineLevel="0" collapsed="false">
      <c r="A846" s="48" t="n">
        <v>845</v>
      </c>
      <c r="B846" s="46" t="n">
        <f aca="false">LARGE(v_valor,A846)</f>
        <v>7.44</v>
      </c>
      <c r="C846" s="46" t="n">
        <f aca="false">C845+B846</f>
        <v>108676.42</v>
      </c>
      <c r="D846" s="50" t="n">
        <f aca="false">C846/SUM(v_valor)</f>
        <v>0.993891317861176</v>
      </c>
      <c r="E846" s="50" t="n">
        <f aca="false">A846/1000</f>
        <v>0.845</v>
      </c>
    </row>
    <row r="847" customFormat="false" ht="15" hidden="false" customHeight="false" outlineLevel="0" collapsed="false">
      <c r="A847" s="48" t="n">
        <v>846</v>
      </c>
      <c r="B847" s="46" t="n">
        <f aca="false">LARGE(v_valor,A847)</f>
        <v>7.4</v>
      </c>
      <c r="C847" s="46" t="n">
        <f aca="false">C846+B847</f>
        <v>108683.82</v>
      </c>
      <c r="D847" s="50" t="n">
        <f aca="false">C847/SUM(v_valor)</f>
        <v>0.993958993956433</v>
      </c>
      <c r="E847" s="50" t="n">
        <f aca="false">A847/1000</f>
        <v>0.846</v>
      </c>
    </row>
    <row r="848" customFormat="false" ht="15" hidden="false" customHeight="false" outlineLevel="0" collapsed="false">
      <c r="A848" s="48" t="n">
        <v>847</v>
      </c>
      <c r="B848" s="46" t="n">
        <f aca="false">LARGE(v_valor,A848)</f>
        <v>7.38</v>
      </c>
      <c r="C848" s="46" t="n">
        <f aca="false">C847+B848</f>
        <v>108691.2</v>
      </c>
      <c r="D848" s="50" t="n">
        <f aca="false">C848/SUM(v_valor)</f>
        <v>0.994026487143325</v>
      </c>
      <c r="E848" s="50" t="n">
        <f aca="false">A848/1000</f>
        <v>0.847</v>
      </c>
    </row>
    <row r="849" customFormat="false" ht="15" hidden="false" customHeight="false" outlineLevel="0" collapsed="false">
      <c r="A849" s="48" t="n">
        <v>848</v>
      </c>
      <c r="B849" s="46" t="n">
        <f aca="false">LARGE(v_valor,A849)</f>
        <v>7.36</v>
      </c>
      <c r="C849" s="46" t="n">
        <f aca="false">C848+B849</f>
        <v>108698.56</v>
      </c>
      <c r="D849" s="50" t="n">
        <f aca="false">C849/SUM(v_valor)</f>
        <v>0.994093797421852</v>
      </c>
      <c r="E849" s="50" t="n">
        <f aca="false">A849/1000</f>
        <v>0.848</v>
      </c>
    </row>
    <row r="850" customFormat="false" ht="15" hidden="false" customHeight="false" outlineLevel="0" collapsed="false">
      <c r="A850" s="48" t="n">
        <v>849</v>
      </c>
      <c r="B850" s="46" t="n">
        <f aca="false">LARGE(v_valor,A850)</f>
        <v>7.35</v>
      </c>
      <c r="C850" s="46" t="n">
        <f aca="false">C849+B850</f>
        <v>108705.91</v>
      </c>
      <c r="D850" s="50" t="n">
        <f aca="false">C850/SUM(v_valor)</f>
        <v>0.994161016246195</v>
      </c>
      <c r="E850" s="50" t="n">
        <f aca="false">A850/1000</f>
        <v>0.849</v>
      </c>
    </row>
    <row r="851" customFormat="false" ht="15" hidden="false" customHeight="false" outlineLevel="0" collapsed="false">
      <c r="A851" s="48" t="n">
        <v>850</v>
      </c>
      <c r="B851" s="46" t="n">
        <f aca="false">LARGE(v_valor,A851)</f>
        <v>7.27</v>
      </c>
      <c r="C851" s="46" t="n">
        <f aca="false">C850+B851</f>
        <v>108713.18</v>
      </c>
      <c r="D851" s="50" t="n">
        <f aca="false">C851/SUM(v_valor)</f>
        <v>0.994227503437077</v>
      </c>
      <c r="E851" s="50" t="n">
        <f aca="false">A851/1000</f>
        <v>0.85</v>
      </c>
    </row>
    <row r="852" customFormat="false" ht="15" hidden="false" customHeight="false" outlineLevel="0" collapsed="false">
      <c r="A852" s="48" t="n">
        <v>851</v>
      </c>
      <c r="B852" s="46" t="n">
        <f aca="false">LARGE(v_valor,A852)</f>
        <v>7.26</v>
      </c>
      <c r="C852" s="46" t="n">
        <f aca="false">C851+B852</f>
        <v>108720.44</v>
      </c>
      <c r="D852" s="50" t="n">
        <f aca="false">C852/SUM(v_valor)</f>
        <v>0.994293899173775</v>
      </c>
      <c r="E852" s="50" t="n">
        <f aca="false">A852/1000</f>
        <v>0.851</v>
      </c>
    </row>
    <row r="853" customFormat="false" ht="15" hidden="false" customHeight="false" outlineLevel="0" collapsed="false">
      <c r="A853" s="48" t="n">
        <v>852</v>
      </c>
      <c r="B853" s="46" t="n">
        <f aca="false">LARGE(v_valor,A853)</f>
        <v>7.25</v>
      </c>
      <c r="C853" s="46" t="n">
        <f aca="false">C852+B853</f>
        <v>108727.69</v>
      </c>
      <c r="D853" s="50" t="n">
        <f aca="false">C853/SUM(v_valor)</f>
        <v>0.994360203456291</v>
      </c>
      <c r="E853" s="50" t="n">
        <f aca="false">A853/1000</f>
        <v>0.852</v>
      </c>
    </row>
    <row r="854" customFormat="false" ht="15" hidden="false" customHeight="false" outlineLevel="0" collapsed="false">
      <c r="A854" s="48" t="n">
        <v>853</v>
      </c>
      <c r="B854" s="46" t="n">
        <f aca="false">LARGE(v_valor,A854)</f>
        <v>7.2</v>
      </c>
      <c r="C854" s="46" t="n">
        <f aca="false">C853+B854</f>
        <v>108734.89</v>
      </c>
      <c r="D854" s="50" t="n">
        <f aca="false">C854/SUM(v_valor)</f>
        <v>0.994426050467893</v>
      </c>
      <c r="E854" s="50" t="n">
        <f aca="false">A854/1000</f>
        <v>0.853</v>
      </c>
    </row>
    <row r="855" customFormat="false" ht="15" hidden="false" customHeight="false" outlineLevel="0" collapsed="false">
      <c r="A855" s="48" t="n">
        <v>854</v>
      </c>
      <c r="B855" s="46" t="n">
        <f aca="false">LARGE(v_valor,A855)</f>
        <v>7.14</v>
      </c>
      <c r="C855" s="46" t="n">
        <f aca="false">C854+B855</f>
        <v>108742.03</v>
      </c>
      <c r="D855" s="50" t="n">
        <f aca="false">C855/SUM(v_valor)</f>
        <v>0.994491348754399</v>
      </c>
      <c r="E855" s="50" t="n">
        <f aca="false">A855/1000</f>
        <v>0.854</v>
      </c>
    </row>
    <row r="856" customFormat="false" ht="15" hidden="false" customHeight="false" outlineLevel="0" collapsed="false">
      <c r="A856" s="48" t="n">
        <v>855</v>
      </c>
      <c r="B856" s="46" t="n">
        <f aca="false">LARGE(v_valor,A856)</f>
        <v>7.13</v>
      </c>
      <c r="C856" s="46" t="n">
        <f aca="false">C855+B856</f>
        <v>108749.16</v>
      </c>
      <c r="D856" s="50" t="n">
        <f aca="false">C856/SUM(v_valor)</f>
        <v>0.994556555586721</v>
      </c>
      <c r="E856" s="50" t="n">
        <f aca="false">A856/1000</f>
        <v>0.855</v>
      </c>
    </row>
    <row r="857" customFormat="false" ht="15" hidden="false" customHeight="false" outlineLevel="0" collapsed="false">
      <c r="A857" s="48" t="n">
        <v>856</v>
      </c>
      <c r="B857" s="46" t="n">
        <f aca="false">LARGE(v_valor,A857)</f>
        <v>7.1</v>
      </c>
      <c r="C857" s="46" t="n">
        <f aca="false">C856+B857</f>
        <v>108756.26</v>
      </c>
      <c r="D857" s="50" t="n">
        <f aca="false">C857/SUM(v_valor)</f>
        <v>0.994621488056495</v>
      </c>
      <c r="E857" s="50" t="n">
        <f aca="false">A857/1000</f>
        <v>0.856</v>
      </c>
    </row>
    <row r="858" customFormat="false" ht="15" hidden="false" customHeight="false" outlineLevel="0" collapsed="false">
      <c r="A858" s="48" t="n">
        <v>857</v>
      </c>
      <c r="B858" s="46" t="n">
        <f aca="false">LARGE(v_valor,A858)</f>
        <v>7.08</v>
      </c>
      <c r="C858" s="46" t="n">
        <f aca="false">C857+B858</f>
        <v>108763.34</v>
      </c>
      <c r="D858" s="50" t="n">
        <f aca="false">C858/SUM(v_valor)</f>
        <v>0.994686237617904</v>
      </c>
      <c r="E858" s="50" t="n">
        <f aca="false">A858/1000</f>
        <v>0.857</v>
      </c>
    </row>
    <row r="859" customFormat="false" ht="15" hidden="false" customHeight="false" outlineLevel="0" collapsed="false">
      <c r="A859" s="48" t="n">
        <v>858</v>
      </c>
      <c r="B859" s="46" t="n">
        <f aca="false">LARGE(v_valor,A859)</f>
        <v>7.01</v>
      </c>
      <c r="C859" s="46" t="n">
        <f aca="false">C858+B859</f>
        <v>108770.35</v>
      </c>
      <c r="D859" s="50" t="n">
        <f aca="false">C859/SUM(v_valor)</f>
        <v>0.994750347000033</v>
      </c>
      <c r="E859" s="50" t="n">
        <f aca="false">A859/1000</f>
        <v>0.858</v>
      </c>
    </row>
    <row r="860" customFormat="false" ht="15" hidden="false" customHeight="false" outlineLevel="0" collapsed="false">
      <c r="A860" s="48" t="n">
        <v>859</v>
      </c>
      <c r="B860" s="46" t="n">
        <f aca="false">LARGE(v_valor,A860)</f>
        <v>6.88</v>
      </c>
      <c r="C860" s="46" t="n">
        <f aca="false">C859+B860</f>
        <v>108777.23</v>
      </c>
      <c r="D860" s="50" t="n">
        <f aca="false">C860/SUM(v_valor)</f>
        <v>0.994813267477786</v>
      </c>
      <c r="E860" s="50" t="n">
        <f aca="false">A860/1000</f>
        <v>0.859</v>
      </c>
    </row>
    <row r="861" customFormat="false" ht="15" hidden="false" customHeight="false" outlineLevel="0" collapsed="false">
      <c r="A861" s="48" t="n">
        <v>860</v>
      </c>
      <c r="B861" s="46" t="n">
        <f aca="false">LARGE(v_valor,A861)</f>
        <v>6.76</v>
      </c>
      <c r="C861" s="46" t="n">
        <f aca="false">C860+B861</f>
        <v>108783.99</v>
      </c>
      <c r="D861" s="50" t="n">
        <f aca="false">C861/SUM(v_valor)</f>
        <v>0.994875090505346</v>
      </c>
      <c r="E861" s="50" t="n">
        <f aca="false">A861/1000</f>
        <v>0.86</v>
      </c>
    </row>
    <row r="862" customFormat="false" ht="15" hidden="false" customHeight="false" outlineLevel="0" collapsed="false">
      <c r="A862" s="48" t="n">
        <v>861</v>
      </c>
      <c r="B862" s="46" t="n">
        <f aca="false">LARGE(v_valor,A862)</f>
        <v>6.7</v>
      </c>
      <c r="C862" s="46" t="n">
        <f aca="false">C861+B862</f>
        <v>108790.69</v>
      </c>
      <c r="D862" s="50" t="n">
        <f aca="false">C862/SUM(v_valor)</f>
        <v>0.994936364807809</v>
      </c>
      <c r="E862" s="50" t="n">
        <f aca="false">A862/1000</f>
        <v>0.861</v>
      </c>
    </row>
    <row r="863" customFormat="false" ht="15" hidden="false" customHeight="false" outlineLevel="0" collapsed="false">
      <c r="A863" s="48" t="n">
        <v>862</v>
      </c>
      <c r="B863" s="46" t="n">
        <f aca="false">LARGE(v_valor,A863)</f>
        <v>6.64</v>
      </c>
      <c r="C863" s="46" t="n">
        <f aca="false">C862+B863</f>
        <v>108797.33</v>
      </c>
      <c r="D863" s="50" t="n">
        <f aca="false">C863/SUM(v_valor)</f>
        <v>0.994997090385175</v>
      </c>
      <c r="E863" s="50" t="n">
        <f aca="false">A863/1000</f>
        <v>0.862</v>
      </c>
    </row>
    <row r="864" customFormat="false" ht="15" hidden="false" customHeight="false" outlineLevel="0" collapsed="false">
      <c r="A864" s="48" t="n">
        <v>863</v>
      </c>
      <c r="B864" s="46" t="n">
        <f aca="false">LARGE(v_valor,A864)</f>
        <v>6.62</v>
      </c>
      <c r="C864" s="46" t="n">
        <f aca="false">C863+B864</f>
        <v>108803.95</v>
      </c>
      <c r="D864" s="50" t="n">
        <f aca="false">C864/SUM(v_valor)</f>
        <v>0.995057633054175</v>
      </c>
      <c r="E864" s="50" t="n">
        <f aca="false">A864/1000</f>
        <v>0.863</v>
      </c>
    </row>
    <row r="865" customFormat="false" ht="15" hidden="false" customHeight="false" outlineLevel="0" collapsed="false">
      <c r="A865" s="48" t="n">
        <v>864</v>
      </c>
      <c r="B865" s="46" t="n">
        <f aca="false">LARGE(v_valor,A865)</f>
        <v>6.6</v>
      </c>
      <c r="C865" s="46" t="n">
        <f aca="false">C864+B865</f>
        <v>108810.55</v>
      </c>
      <c r="D865" s="50" t="n">
        <f aca="false">C865/SUM(v_valor)</f>
        <v>0.995117992814811</v>
      </c>
      <c r="E865" s="50" t="n">
        <f aca="false">A865/1000</f>
        <v>0.864</v>
      </c>
    </row>
    <row r="866" customFormat="false" ht="15" hidden="false" customHeight="false" outlineLevel="0" collapsed="false">
      <c r="A866" s="48" t="n">
        <v>865</v>
      </c>
      <c r="B866" s="46" t="n">
        <f aca="false">LARGE(v_valor,A866)</f>
        <v>6.57</v>
      </c>
      <c r="C866" s="46" t="n">
        <f aca="false">C865+B866</f>
        <v>108817.12</v>
      </c>
      <c r="D866" s="50" t="n">
        <f aca="false">C866/SUM(v_valor)</f>
        <v>0.995178078212898</v>
      </c>
      <c r="E866" s="50" t="n">
        <f aca="false">A866/1000</f>
        <v>0.865</v>
      </c>
    </row>
    <row r="867" customFormat="false" ht="15" hidden="false" customHeight="false" outlineLevel="0" collapsed="false">
      <c r="A867" s="48" t="n">
        <v>866</v>
      </c>
      <c r="B867" s="46" t="n">
        <f aca="false">LARGE(v_valor,A867)</f>
        <v>6.49</v>
      </c>
      <c r="C867" s="46" t="n">
        <f aca="false">C866+B867</f>
        <v>108823.61</v>
      </c>
      <c r="D867" s="50" t="n">
        <f aca="false">C867/SUM(v_valor)</f>
        <v>0.995237431977522</v>
      </c>
      <c r="E867" s="50" t="n">
        <f aca="false">A867/1000</f>
        <v>0.866</v>
      </c>
    </row>
    <row r="868" customFormat="false" ht="15" hidden="false" customHeight="false" outlineLevel="0" collapsed="false">
      <c r="A868" s="48" t="n">
        <v>867</v>
      </c>
      <c r="B868" s="46" t="n">
        <f aca="false">LARGE(v_valor,A868)</f>
        <v>6.47</v>
      </c>
      <c r="C868" s="46" t="n">
        <f aca="false">C867+B868</f>
        <v>108830.08</v>
      </c>
      <c r="D868" s="50" t="n">
        <f aca="false">C868/SUM(v_valor)</f>
        <v>0.995296602833781</v>
      </c>
      <c r="E868" s="50" t="n">
        <f aca="false">A868/1000</f>
        <v>0.867</v>
      </c>
    </row>
    <row r="869" customFormat="false" ht="15" hidden="false" customHeight="false" outlineLevel="0" collapsed="false">
      <c r="A869" s="48" t="n">
        <v>868</v>
      </c>
      <c r="B869" s="46" t="n">
        <f aca="false">LARGE(v_valor,A869)</f>
        <v>6.4</v>
      </c>
      <c r="C869" s="46" t="n">
        <f aca="false">C868+B869</f>
        <v>108836.48</v>
      </c>
      <c r="D869" s="50" t="n">
        <f aca="false">C869/SUM(v_valor)</f>
        <v>0.995355133510761</v>
      </c>
      <c r="E869" s="50" t="n">
        <f aca="false">A869/1000</f>
        <v>0.868</v>
      </c>
    </row>
    <row r="870" customFormat="false" ht="15" hidden="false" customHeight="false" outlineLevel="0" collapsed="false">
      <c r="A870" s="48" t="n">
        <v>869</v>
      </c>
      <c r="B870" s="46" t="n">
        <f aca="false">LARGE(v_valor,A870)</f>
        <v>6.38</v>
      </c>
      <c r="C870" s="46" t="n">
        <f aca="false">C869+B870</f>
        <v>108842.86</v>
      </c>
      <c r="D870" s="50" t="n">
        <f aca="false">C870/SUM(v_valor)</f>
        <v>0.995413481279375</v>
      </c>
      <c r="E870" s="50" t="n">
        <f aca="false">A870/1000</f>
        <v>0.869</v>
      </c>
    </row>
    <row r="871" customFormat="false" ht="15" hidden="false" customHeight="false" outlineLevel="0" collapsed="false">
      <c r="A871" s="48" t="n">
        <v>870</v>
      </c>
      <c r="B871" s="46" t="n">
        <f aca="false">LARGE(v_valor,A871)</f>
        <v>6.37</v>
      </c>
      <c r="C871" s="46" t="n">
        <f aca="false">C870+B871</f>
        <v>108849.23</v>
      </c>
      <c r="D871" s="50" t="n">
        <f aca="false">C871/SUM(v_valor)</f>
        <v>0.995471737593806</v>
      </c>
      <c r="E871" s="50" t="n">
        <f aca="false">A871/1000</f>
        <v>0.87</v>
      </c>
    </row>
    <row r="872" customFormat="false" ht="15" hidden="false" customHeight="false" outlineLevel="0" collapsed="false">
      <c r="A872" s="48" t="n">
        <v>871</v>
      </c>
      <c r="B872" s="46" t="n">
        <f aca="false">LARGE(v_valor,A872)</f>
        <v>6.32</v>
      </c>
      <c r="C872" s="46" t="n">
        <f aca="false">C871+B872</f>
        <v>108855.55</v>
      </c>
      <c r="D872" s="50" t="n">
        <f aca="false">C872/SUM(v_valor)</f>
        <v>0.995529536637323</v>
      </c>
      <c r="E872" s="50" t="n">
        <f aca="false">A872/1000</f>
        <v>0.871</v>
      </c>
    </row>
    <row r="873" customFormat="false" ht="15" hidden="false" customHeight="false" outlineLevel="0" collapsed="false">
      <c r="A873" s="48" t="n">
        <v>872</v>
      </c>
      <c r="B873" s="46" t="n">
        <f aca="false">LARGE(v_valor,A873)</f>
        <v>6.32</v>
      </c>
      <c r="C873" s="46" t="n">
        <f aca="false">C872+B873</f>
        <v>108861.87</v>
      </c>
      <c r="D873" s="50" t="n">
        <f aca="false">C873/SUM(v_valor)</f>
        <v>0.99558733568084</v>
      </c>
      <c r="E873" s="50" t="n">
        <f aca="false">A873/1000</f>
        <v>0.872</v>
      </c>
    </row>
    <row r="874" customFormat="false" ht="15" hidden="false" customHeight="false" outlineLevel="0" collapsed="false">
      <c r="A874" s="48" t="n">
        <v>873</v>
      </c>
      <c r="B874" s="46" t="n">
        <f aca="false">LARGE(v_valor,A874)</f>
        <v>6.3</v>
      </c>
      <c r="C874" s="46" t="n">
        <f aca="false">C873+B874</f>
        <v>108868.17</v>
      </c>
      <c r="D874" s="50" t="n">
        <f aca="false">C874/SUM(v_valor)</f>
        <v>0.995644951815992</v>
      </c>
      <c r="E874" s="50" t="n">
        <f aca="false">A874/1000</f>
        <v>0.873</v>
      </c>
    </row>
    <row r="875" customFormat="false" ht="15" hidden="false" customHeight="false" outlineLevel="0" collapsed="false">
      <c r="A875" s="48" t="n">
        <v>874</v>
      </c>
      <c r="B875" s="46" t="n">
        <f aca="false">LARGE(v_valor,A875)</f>
        <v>6.28</v>
      </c>
      <c r="C875" s="46" t="n">
        <f aca="false">C874+B875</f>
        <v>108874.45</v>
      </c>
      <c r="D875" s="50" t="n">
        <f aca="false">C875/SUM(v_valor)</f>
        <v>0.995702385042778</v>
      </c>
      <c r="E875" s="50" t="n">
        <f aca="false">A875/1000</f>
        <v>0.874</v>
      </c>
    </row>
    <row r="876" customFormat="false" ht="15" hidden="false" customHeight="false" outlineLevel="0" collapsed="false">
      <c r="A876" s="48" t="n">
        <v>875</v>
      </c>
      <c r="B876" s="46" t="n">
        <f aca="false">LARGE(v_valor,A876)</f>
        <v>6.14</v>
      </c>
      <c r="C876" s="46" t="n">
        <f aca="false">C875+B876</f>
        <v>108880.59</v>
      </c>
      <c r="D876" s="50" t="n">
        <f aca="false">C876/SUM(v_valor)</f>
        <v>0.995758537911006</v>
      </c>
      <c r="E876" s="50" t="n">
        <f aca="false">A876/1000</f>
        <v>0.875</v>
      </c>
    </row>
    <row r="877" customFormat="false" ht="15" hidden="false" customHeight="false" outlineLevel="0" collapsed="false">
      <c r="A877" s="48" t="n">
        <v>876</v>
      </c>
      <c r="B877" s="46" t="n">
        <f aca="false">LARGE(v_valor,A877)</f>
        <v>6.1</v>
      </c>
      <c r="C877" s="46" t="n">
        <f aca="false">C876+B877</f>
        <v>108886.69</v>
      </c>
      <c r="D877" s="50" t="n">
        <f aca="false">C877/SUM(v_valor)</f>
        <v>0.995814324962502</v>
      </c>
      <c r="E877" s="50" t="n">
        <f aca="false">A877/1000</f>
        <v>0.876</v>
      </c>
    </row>
    <row r="878" customFormat="false" ht="15" hidden="false" customHeight="false" outlineLevel="0" collapsed="false">
      <c r="A878" s="48" t="n">
        <v>877</v>
      </c>
      <c r="B878" s="46" t="n">
        <f aca="false">LARGE(v_valor,A878)</f>
        <v>6.07</v>
      </c>
      <c r="C878" s="46" t="n">
        <f aca="false">C877+B878</f>
        <v>108892.76</v>
      </c>
      <c r="D878" s="50" t="n">
        <f aca="false">C878/SUM(v_valor)</f>
        <v>0.99586983765145</v>
      </c>
      <c r="E878" s="50" t="n">
        <f aca="false">A878/1000</f>
        <v>0.877</v>
      </c>
    </row>
    <row r="879" customFormat="false" ht="15" hidden="false" customHeight="false" outlineLevel="0" collapsed="false">
      <c r="A879" s="48" t="n">
        <v>878</v>
      </c>
      <c r="B879" s="46" t="n">
        <f aca="false">LARGE(v_valor,A879)</f>
        <v>6.07</v>
      </c>
      <c r="C879" s="46" t="n">
        <f aca="false">C878+B879</f>
        <v>108898.83</v>
      </c>
      <c r="D879" s="50" t="n">
        <f aca="false">C879/SUM(v_valor)</f>
        <v>0.995925350340397</v>
      </c>
      <c r="E879" s="50" t="n">
        <f aca="false">A879/1000</f>
        <v>0.878</v>
      </c>
    </row>
    <row r="880" customFormat="false" ht="15" hidden="false" customHeight="false" outlineLevel="0" collapsed="false">
      <c r="A880" s="48" t="n">
        <v>879</v>
      </c>
      <c r="B880" s="46" t="n">
        <f aca="false">LARGE(v_valor,A880)</f>
        <v>6.04</v>
      </c>
      <c r="C880" s="46" t="n">
        <f aca="false">C879+B880</f>
        <v>108904.87</v>
      </c>
      <c r="D880" s="50" t="n">
        <f aca="false">C880/SUM(v_valor)</f>
        <v>0.995980588666797</v>
      </c>
      <c r="E880" s="50" t="n">
        <f aca="false">A880/1000</f>
        <v>0.879</v>
      </c>
    </row>
    <row r="881" customFormat="false" ht="15" hidden="false" customHeight="false" outlineLevel="0" collapsed="false">
      <c r="A881" s="48" t="n">
        <v>880</v>
      </c>
      <c r="B881" s="46" t="n">
        <f aca="false">LARGE(v_valor,A881)</f>
        <v>6.04</v>
      </c>
      <c r="C881" s="46" t="n">
        <f aca="false">C880+B881</f>
        <v>108910.91</v>
      </c>
      <c r="D881" s="50" t="n">
        <f aca="false">C881/SUM(v_valor)</f>
        <v>0.996035826993196</v>
      </c>
      <c r="E881" s="50" t="n">
        <f aca="false">A881/1000</f>
        <v>0.88</v>
      </c>
    </row>
    <row r="882" customFormat="false" ht="15" hidden="false" customHeight="false" outlineLevel="0" collapsed="false">
      <c r="A882" s="48" t="n">
        <v>881</v>
      </c>
      <c r="B882" s="46" t="n">
        <f aca="false">LARGE(v_valor,A882)</f>
        <v>6.01</v>
      </c>
      <c r="C882" s="46" t="n">
        <f aca="false">C881+B882</f>
        <v>108916.92</v>
      </c>
      <c r="D882" s="50" t="n">
        <f aca="false">C882/SUM(v_valor)</f>
        <v>0.996090790957047</v>
      </c>
      <c r="E882" s="50" t="n">
        <f aca="false">A882/1000</f>
        <v>0.881</v>
      </c>
    </row>
    <row r="883" customFormat="false" ht="15" hidden="false" customHeight="false" outlineLevel="0" collapsed="false">
      <c r="A883" s="48" t="n">
        <v>882</v>
      </c>
      <c r="B883" s="46" t="n">
        <f aca="false">LARGE(v_valor,A883)</f>
        <v>5.99</v>
      </c>
      <c r="C883" s="46" t="n">
        <f aca="false">C882+B883</f>
        <v>108922.91</v>
      </c>
      <c r="D883" s="50" t="n">
        <f aca="false">C883/SUM(v_valor)</f>
        <v>0.996145572012533</v>
      </c>
      <c r="E883" s="50" t="n">
        <f aca="false">A883/1000</f>
        <v>0.882</v>
      </c>
    </row>
    <row r="884" customFormat="false" ht="15" hidden="false" customHeight="false" outlineLevel="0" collapsed="false">
      <c r="A884" s="48" t="n">
        <v>883</v>
      </c>
      <c r="B884" s="46" t="n">
        <f aca="false">LARGE(v_valor,A884)</f>
        <v>5.99</v>
      </c>
      <c r="C884" s="46" t="n">
        <f aca="false">C883+B884</f>
        <v>108928.9</v>
      </c>
      <c r="D884" s="50" t="n">
        <f aca="false">C884/SUM(v_valor)</f>
        <v>0.996200353068018</v>
      </c>
      <c r="E884" s="50" t="n">
        <f aca="false">A884/1000</f>
        <v>0.883</v>
      </c>
    </row>
    <row r="885" customFormat="false" ht="15" hidden="false" customHeight="false" outlineLevel="0" collapsed="false">
      <c r="A885" s="48" t="n">
        <v>884</v>
      </c>
      <c r="B885" s="46" t="n">
        <f aca="false">LARGE(v_valor,A885)</f>
        <v>5.91</v>
      </c>
      <c r="C885" s="46" t="n">
        <f aca="false">C884+B885</f>
        <v>108934.81</v>
      </c>
      <c r="D885" s="50" t="n">
        <f aca="false">C885/SUM(v_valor)</f>
        <v>0.996254402490042</v>
      </c>
      <c r="E885" s="50" t="n">
        <f aca="false">A885/1000</f>
        <v>0.884</v>
      </c>
    </row>
    <row r="886" customFormat="false" ht="15" hidden="false" customHeight="false" outlineLevel="0" collapsed="false">
      <c r="A886" s="48" t="n">
        <v>885</v>
      </c>
      <c r="B886" s="46" t="n">
        <f aca="false">LARGE(v_valor,A886)</f>
        <v>5.9</v>
      </c>
      <c r="C886" s="46" t="n">
        <f aca="false">C885+B886</f>
        <v>108940.71</v>
      </c>
      <c r="D886" s="50" t="n">
        <f aca="false">C886/SUM(v_valor)</f>
        <v>0.996308360457882</v>
      </c>
      <c r="E886" s="50" t="n">
        <f aca="false">A886/1000</f>
        <v>0.885</v>
      </c>
    </row>
    <row r="887" customFormat="false" ht="15" hidden="false" customHeight="false" outlineLevel="0" collapsed="false">
      <c r="A887" s="48" t="n">
        <v>886</v>
      </c>
      <c r="B887" s="46" t="n">
        <f aca="false">LARGE(v_valor,A887)</f>
        <v>5.88</v>
      </c>
      <c r="C887" s="46" t="n">
        <f aca="false">C886+B887</f>
        <v>108946.59</v>
      </c>
      <c r="D887" s="50" t="n">
        <f aca="false">C887/SUM(v_valor)</f>
        <v>0.996362135517357</v>
      </c>
      <c r="E887" s="50" t="n">
        <f aca="false">A887/1000</f>
        <v>0.886</v>
      </c>
    </row>
    <row r="888" customFormat="false" ht="15" hidden="false" customHeight="false" outlineLevel="0" collapsed="false">
      <c r="A888" s="48" t="n">
        <v>887</v>
      </c>
      <c r="B888" s="46" t="n">
        <f aca="false">LARGE(v_valor,A888)</f>
        <v>5.81</v>
      </c>
      <c r="C888" s="46" t="n">
        <f aca="false">C887+B888</f>
        <v>108952.4</v>
      </c>
      <c r="D888" s="50" t="n">
        <f aca="false">C888/SUM(v_valor)</f>
        <v>0.996415270397553</v>
      </c>
      <c r="E888" s="50" t="n">
        <f aca="false">A888/1000</f>
        <v>0.887</v>
      </c>
    </row>
    <row r="889" customFormat="false" ht="15" hidden="false" customHeight="false" outlineLevel="0" collapsed="false">
      <c r="A889" s="48" t="n">
        <v>888</v>
      </c>
      <c r="B889" s="46" t="n">
        <f aca="false">LARGE(v_valor,A889)</f>
        <v>5.66</v>
      </c>
      <c r="C889" s="46" t="n">
        <f aca="false">C888+B889</f>
        <v>108958.06</v>
      </c>
      <c r="D889" s="50" t="n">
        <f aca="false">C889/SUM(v_valor)</f>
        <v>0.996467033465006</v>
      </c>
      <c r="E889" s="50" t="n">
        <f aca="false">A889/1000</f>
        <v>0.888</v>
      </c>
    </row>
    <row r="890" customFormat="false" ht="15" hidden="false" customHeight="false" outlineLevel="0" collapsed="false">
      <c r="A890" s="48" t="n">
        <v>889</v>
      </c>
      <c r="B890" s="46" t="n">
        <f aca="false">LARGE(v_valor,A890)</f>
        <v>5.59</v>
      </c>
      <c r="C890" s="46" t="n">
        <f aca="false">C889+B890</f>
        <v>108963.65</v>
      </c>
      <c r="D890" s="50" t="n">
        <f aca="false">C890/SUM(v_valor)</f>
        <v>0.996518156353181</v>
      </c>
      <c r="E890" s="50" t="n">
        <f aca="false">A890/1000</f>
        <v>0.889</v>
      </c>
    </row>
    <row r="891" customFormat="false" ht="15" hidden="false" customHeight="false" outlineLevel="0" collapsed="false">
      <c r="A891" s="48" t="n">
        <v>890</v>
      </c>
      <c r="B891" s="46" t="n">
        <f aca="false">LARGE(v_valor,A891)</f>
        <v>5.52</v>
      </c>
      <c r="C891" s="46" t="n">
        <f aca="false">C890+B891</f>
        <v>108969.17</v>
      </c>
      <c r="D891" s="50" t="n">
        <f aca="false">C891/SUM(v_valor)</f>
        <v>0.996568639062076</v>
      </c>
      <c r="E891" s="50" t="n">
        <f aca="false">A891/1000</f>
        <v>0.89</v>
      </c>
    </row>
    <row r="892" customFormat="false" ht="15" hidden="false" customHeight="false" outlineLevel="0" collapsed="false">
      <c r="A892" s="48" t="n">
        <v>891</v>
      </c>
      <c r="B892" s="46" t="n">
        <f aca="false">LARGE(v_valor,A892)</f>
        <v>5.47</v>
      </c>
      <c r="C892" s="46" t="n">
        <f aca="false">C891+B892</f>
        <v>108974.64</v>
      </c>
      <c r="D892" s="50" t="n">
        <f aca="false">C892/SUM(v_valor)</f>
        <v>0.996618664500056</v>
      </c>
      <c r="E892" s="50" t="n">
        <f aca="false">A892/1000</f>
        <v>0.891</v>
      </c>
    </row>
    <row r="893" customFormat="false" ht="15" hidden="false" customHeight="false" outlineLevel="0" collapsed="false">
      <c r="A893" s="48" t="n">
        <v>892</v>
      </c>
      <c r="B893" s="46" t="n">
        <f aca="false">LARGE(v_valor,A893)</f>
        <v>5.45</v>
      </c>
      <c r="C893" s="46" t="n">
        <f aca="false">C892+B893</f>
        <v>108980.09</v>
      </c>
      <c r="D893" s="50" t="n">
        <f aca="false">C893/SUM(v_valor)</f>
        <v>0.996668507029672</v>
      </c>
      <c r="E893" s="50" t="n">
        <f aca="false">A893/1000</f>
        <v>0.892</v>
      </c>
    </row>
    <row r="894" customFormat="false" ht="15" hidden="false" customHeight="false" outlineLevel="0" collapsed="false">
      <c r="A894" s="48" t="n">
        <v>893</v>
      </c>
      <c r="B894" s="46" t="n">
        <f aca="false">LARGE(v_valor,A894)</f>
        <v>5.39</v>
      </c>
      <c r="C894" s="46" t="n">
        <f aca="false">C893+B894</f>
        <v>108985.48</v>
      </c>
      <c r="D894" s="50" t="n">
        <f aca="false">C894/SUM(v_valor)</f>
        <v>0.996717800834191</v>
      </c>
      <c r="E894" s="50" t="n">
        <f aca="false">A894/1000</f>
        <v>0.893</v>
      </c>
    </row>
    <row r="895" customFormat="false" ht="15" hidden="false" customHeight="false" outlineLevel="0" collapsed="false">
      <c r="A895" s="48" t="n">
        <v>894</v>
      </c>
      <c r="B895" s="46" t="n">
        <f aca="false">LARGE(v_valor,A895)</f>
        <v>5.36</v>
      </c>
      <c r="C895" s="46" t="n">
        <f aca="false">C894+B895</f>
        <v>108990.84</v>
      </c>
      <c r="D895" s="50" t="n">
        <f aca="false">C895/SUM(v_valor)</f>
        <v>0.996766820276161</v>
      </c>
      <c r="E895" s="50" t="n">
        <f aca="false">A895/1000</f>
        <v>0.894</v>
      </c>
    </row>
    <row r="896" customFormat="false" ht="15" hidden="false" customHeight="false" outlineLevel="0" collapsed="false">
      <c r="A896" s="48" t="n">
        <v>895</v>
      </c>
      <c r="B896" s="46" t="n">
        <f aca="false">LARGE(v_valor,A896)</f>
        <v>5.29</v>
      </c>
      <c r="C896" s="46" t="n">
        <f aca="false">C895+B896</f>
        <v>108996.13</v>
      </c>
      <c r="D896" s="50" t="n">
        <f aca="false">C896/SUM(v_valor)</f>
        <v>0.996815199538852</v>
      </c>
      <c r="E896" s="50" t="n">
        <f aca="false">A896/1000</f>
        <v>0.895</v>
      </c>
    </row>
    <row r="897" customFormat="false" ht="15" hidden="false" customHeight="false" outlineLevel="0" collapsed="false">
      <c r="A897" s="48" t="n">
        <v>896</v>
      </c>
      <c r="B897" s="46" t="n">
        <f aca="false">LARGE(v_valor,A897)</f>
        <v>5.25</v>
      </c>
      <c r="C897" s="46" t="n">
        <f aca="false">C896+B897</f>
        <v>109001.38</v>
      </c>
      <c r="D897" s="50" t="n">
        <f aca="false">C897/SUM(v_valor)</f>
        <v>0.996863212984811</v>
      </c>
      <c r="E897" s="50" t="n">
        <f aca="false">A897/1000</f>
        <v>0.896</v>
      </c>
    </row>
    <row r="898" customFormat="false" ht="15" hidden="false" customHeight="false" outlineLevel="0" collapsed="false">
      <c r="A898" s="48" t="n">
        <v>897</v>
      </c>
      <c r="B898" s="46" t="n">
        <f aca="false">LARGE(v_valor,A898)</f>
        <v>5.22</v>
      </c>
      <c r="C898" s="46" t="n">
        <f aca="false">C897+B898</f>
        <v>109006.6</v>
      </c>
      <c r="D898" s="50" t="n">
        <f aca="false">C898/SUM(v_valor)</f>
        <v>0.996910952068223</v>
      </c>
      <c r="E898" s="50" t="n">
        <f aca="false">A898/1000</f>
        <v>0.897</v>
      </c>
    </row>
    <row r="899" customFormat="false" ht="15" hidden="false" customHeight="false" outlineLevel="0" collapsed="false">
      <c r="A899" s="48" t="n">
        <v>898</v>
      </c>
      <c r="B899" s="46" t="n">
        <f aca="false">LARGE(v_valor,A899)</f>
        <v>5.21</v>
      </c>
      <c r="C899" s="46" t="n">
        <f aca="false">C898+B899</f>
        <v>109011.81</v>
      </c>
      <c r="D899" s="50" t="n">
        <f aca="false">C899/SUM(v_valor)</f>
        <v>0.996958599697452</v>
      </c>
      <c r="E899" s="50" t="n">
        <f aca="false">A899/1000</f>
        <v>0.898</v>
      </c>
    </row>
    <row r="900" customFormat="false" ht="15" hidden="false" customHeight="false" outlineLevel="0" collapsed="false">
      <c r="A900" s="48" t="n">
        <v>899</v>
      </c>
      <c r="B900" s="46" t="n">
        <f aca="false">LARGE(v_valor,A900)</f>
        <v>5.09</v>
      </c>
      <c r="C900" s="46" t="n">
        <f aca="false">C899+B900</f>
        <v>109016.9</v>
      </c>
      <c r="D900" s="50" t="n">
        <f aca="false">C900/SUM(v_valor)</f>
        <v>0.997005149876487</v>
      </c>
      <c r="E900" s="50" t="n">
        <f aca="false">A900/1000</f>
        <v>0.899</v>
      </c>
    </row>
    <row r="901" customFormat="false" ht="15" hidden="false" customHeight="false" outlineLevel="0" collapsed="false">
      <c r="A901" s="48" t="n">
        <v>900</v>
      </c>
      <c r="B901" s="46" t="n">
        <f aca="false">LARGE(v_valor,A901)</f>
        <v>5.05</v>
      </c>
      <c r="C901" s="46" t="n">
        <f aca="false">C900+B901</f>
        <v>109021.95</v>
      </c>
      <c r="D901" s="50" t="n">
        <f aca="false">C901/SUM(v_valor)</f>
        <v>0.997051334238791</v>
      </c>
      <c r="E901" s="50" t="n">
        <f aca="false">A901/1000</f>
        <v>0.9</v>
      </c>
    </row>
    <row r="902" customFormat="false" ht="15" hidden="false" customHeight="false" outlineLevel="0" collapsed="false">
      <c r="A902" s="48" t="n">
        <v>901</v>
      </c>
      <c r="B902" s="46" t="n">
        <f aca="false">LARGE(v_valor,A902)</f>
        <v>4.99</v>
      </c>
      <c r="C902" s="46" t="n">
        <f aca="false">C901+B902</f>
        <v>109026.94</v>
      </c>
      <c r="D902" s="50" t="n">
        <f aca="false">C902/SUM(v_valor)</f>
        <v>0.997096969875999</v>
      </c>
      <c r="E902" s="50" t="n">
        <f aca="false">A902/1000</f>
        <v>0.901</v>
      </c>
    </row>
    <row r="903" customFormat="false" ht="15" hidden="false" customHeight="false" outlineLevel="0" collapsed="false">
      <c r="A903" s="48" t="n">
        <v>902</v>
      </c>
      <c r="B903" s="46" t="n">
        <f aca="false">LARGE(v_valor,A903)</f>
        <v>4.9</v>
      </c>
      <c r="C903" s="46" t="n">
        <f aca="false">C902+B903</f>
        <v>109031.84</v>
      </c>
      <c r="D903" s="50" t="n">
        <f aca="false">C903/SUM(v_valor)</f>
        <v>0.997141782425561</v>
      </c>
      <c r="E903" s="50" t="n">
        <f aca="false">A903/1000</f>
        <v>0.902</v>
      </c>
    </row>
    <row r="904" customFormat="false" ht="15" hidden="false" customHeight="false" outlineLevel="0" collapsed="false">
      <c r="A904" s="48" t="n">
        <v>903</v>
      </c>
      <c r="B904" s="46" t="n">
        <f aca="false">LARGE(v_valor,A904)</f>
        <v>4.85</v>
      </c>
      <c r="C904" s="46" t="n">
        <f aca="false">C903+B904</f>
        <v>109036.69</v>
      </c>
      <c r="D904" s="50" t="n">
        <f aca="false">C904/SUM(v_valor)</f>
        <v>0.99718613770421</v>
      </c>
      <c r="E904" s="50" t="n">
        <f aca="false">A904/1000</f>
        <v>0.903</v>
      </c>
    </row>
    <row r="905" customFormat="false" ht="15" hidden="false" customHeight="false" outlineLevel="0" collapsed="false">
      <c r="A905" s="48" t="n">
        <v>904</v>
      </c>
      <c r="B905" s="46" t="n">
        <f aca="false">LARGE(v_valor,A905)</f>
        <v>4.84</v>
      </c>
      <c r="C905" s="46" t="n">
        <f aca="false">C904+B905</f>
        <v>109041.53</v>
      </c>
      <c r="D905" s="50" t="n">
        <f aca="false">C905/SUM(v_valor)</f>
        <v>0.997230401528675</v>
      </c>
      <c r="E905" s="50" t="n">
        <f aca="false">A905/1000</f>
        <v>0.904</v>
      </c>
    </row>
    <row r="906" customFormat="false" ht="15" hidden="false" customHeight="false" outlineLevel="0" collapsed="false">
      <c r="A906" s="48" t="n">
        <v>905</v>
      </c>
      <c r="B906" s="46" t="n">
        <f aca="false">LARGE(v_valor,A906)</f>
        <v>4.8</v>
      </c>
      <c r="C906" s="46" t="n">
        <f aca="false">C905+B906</f>
        <v>109046.33</v>
      </c>
      <c r="D906" s="50" t="n">
        <f aca="false">C906/SUM(v_valor)</f>
        <v>0.99727429953641</v>
      </c>
      <c r="E906" s="50" t="n">
        <f aca="false">A906/1000</f>
        <v>0.905</v>
      </c>
    </row>
    <row r="907" customFormat="false" ht="15" hidden="false" customHeight="false" outlineLevel="0" collapsed="false">
      <c r="A907" s="48" t="n">
        <v>906</v>
      </c>
      <c r="B907" s="46" t="n">
        <f aca="false">LARGE(v_valor,A907)</f>
        <v>4.77</v>
      </c>
      <c r="C907" s="46" t="n">
        <f aca="false">C906+B907</f>
        <v>109051.1</v>
      </c>
      <c r="D907" s="50" t="n">
        <f aca="false">C907/SUM(v_valor)</f>
        <v>0.997317923181596</v>
      </c>
      <c r="E907" s="50" t="n">
        <f aca="false">A907/1000</f>
        <v>0.906</v>
      </c>
    </row>
    <row r="908" customFormat="false" ht="15" hidden="false" customHeight="false" outlineLevel="0" collapsed="false">
      <c r="A908" s="48" t="n">
        <v>907</v>
      </c>
      <c r="B908" s="46" t="n">
        <f aca="false">LARGE(v_valor,A908)</f>
        <v>4.75</v>
      </c>
      <c r="C908" s="46" t="n">
        <f aca="false">C907+B908</f>
        <v>109055.85</v>
      </c>
      <c r="D908" s="50" t="n">
        <f aca="false">C908/SUM(v_valor)</f>
        <v>0.997361363918417</v>
      </c>
      <c r="E908" s="50" t="n">
        <f aca="false">A908/1000</f>
        <v>0.907</v>
      </c>
    </row>
    <row r="909" customFormat="false" ht="15" hidden="false" customHeight="false" outlineLevel="0" collapsed="false">
      <c r="A909" s="48" t="n">
        <v>908</v>
      </c>
      <c r="B909" s="46" t="n">
        <f aca="false">LARGE(v_valor,A909)</f>
        <v>4.72</v>
      </c>
      <c r="C909" s="46" t="n">
        <f aca="false">C908+B909</f>
        <v>109060.57</v>
      </c>
      <c r="D909" s="50" t="n">
        <f aca="false">C909/SUM(v_valor)</f>
        <v>0.997404530292689</v>
      </c>
      <c r="E909" s="50" t="n">
        <f aca="false">A909/1000</f>
        <v>0.908</v>
      </c>
    </row>
    <row r="910" customFormat="false" ht="15" hidden="false" customHeight="false" outlineLevel="0" collapsed="false">
      <c r="A910" s="48" t="n">
        <v>909</v>
      </c>
      <c r="B910" s="46" t="n">
        <f aca="false">LARGE(v_valor,A910)</f>
        <v>4.67</v>
      </c>
      <c r="C910" s="46" t="n">
        <f aca="false">C909+B910</f>
        <v>109065.24</v>
      </c>
      <c r="D910" s="50" t="n">
        <f aca="false">C910/SUM(v_valor)</f>
        <v>0.997447239396048</v>
      </c>
      <c r="E910" s="50" t="n">
        <f aca="false">A910/1000</f>
        <v>0.909</v>
      </c>
    </row>
    <row r="911" customFormat="false" ht="15" hidden="false" customHeight="false" outlineLevel="0" collapsed="false">
      <c r="A911" s="48" t="n">
        <v>910</v>
      </c>
      <c r="B911" s="46" t="n">
        <f aca="false">LARGE(v_valor,A911)</f>
        <v>4.65</v>
      </c>
      <c r="C911" s="46" t="n">
        <f aca="false">C910+B911</f>
        <v>109069.89</v>
      </c>
      <c r="D911" s="50" t="n">
        <f aca="false">C911/SUM(v_valor)</f>
        <v>0.997489765591041</v>
      </c>
      <c r="E911" s="50" t="n">
        <f aca="false">A911/1000</f>
        <v>0.91</v>
      </c>
    </row>
    <row r="912" customFormat="false" ht="15" hidden="false" customHeight="false" outlineLevel="0" collapsed="false">
      <c r="A912" s="48" t="n">
        <v>911</v>
      </c>
      <c r="B912" s="46" t="n">
        <f aca="false">LARGE(v_valor,A912)</f>
        <v>4.6</v>
      </c>
      <c r="C912" s="46" t="n">
        <f aca="false">C911+B912</f>
        <v>109074.49</v>
      </c>
      <c r="D912" s="50" t="n">
        <f aca="false">C912/SUM(v_valor)</f>
        <v>0.99753183451512</v>
      </c>
      <c r="E912" s="50" t="n">
        <f aca="false">A912/1000</f>
        <v>0.911</v>
      </c>
    </row>
    <row r="913" customFormat="false" ht="15" hidden="false" customHeight="false" outlineLevel="0" collapsed="false">
      <c r="A913" s="48" t="n">
        <v>912</v>
      </c>
      <c r="B913" s="46" t="n">
        <f aca="false">LARGE(v_valor,A913)</f>
        <v>4.56</v>
      </c>
      <c r="C913" s="46" t="n">
        <f aca="false">C912+B913</f>
        <v>109079.05</v>
      </c>
      <c r="D913" s="50" t="n">
        <f aca="false">C913/SUM(v_valor)</f>
        <v>0.997573537622468</v>
      </c>
      <c r="E913" s="50" t="n">
        <f aca="false">A913/1000</f>
        <v>0.912</v>
      </c>
    </row>
    <row r="914" customFormat="false" ht="15" hidden="false" customHeight="false" outlineLevel="0" collapsed="false">
      <c r="A914" s="48" t="n">
        <v>913</v>
      </c>
      <c r="B914" s="46" t="n">
        <f aca="false">LARGE(v_valor,A914)</f>
        <v>4.54</v>
      </c>
      <c r="C914" s="46" t="n">
        <f aca="false">C913+B914</f>
        <v>109083.59</v>
      </c>
      <c r="D914" s="50" t="n">
        <f aca="false">C914/SUM(v_valor)</f>
        <v>0.99761505782145</v>
      </c>
      <c r="E914" s="50" t="n">
        <f aca="false">A914/1000</f>
        <v>0.913</v>
      </c>
    </row>
    <row r="915" customFormat="false" ht="15" hidden="false" customHeight="false" outlineLevel="0" collapsed="false">
      <c r="A915" s="48" t="n">
        <v>914</v>
      </c>
      <c r="B915" s="46" t="n">
        <f aca="false">LARGE(v_valor,A915)</f>
        <v>4.47</v>
      </c>
      <c r="C915" s="46" t="n">
        <f aca="false">C914+B915</f>
        <v>109088.06</v>
      </c>
      <c r="D915" s="50" t="n">
        <f aca="false">C915/SUM(v_valor)</f>
        <v>0.997655937841153</v>
      </c>
      <c r="E915" s="50" t="n">
        <f aca="false">A915/1000</f>
        <v>0.914</v>
      </c>
    </row>
    <row r="916" customFormat="false" ht="15" hidden="false" customHeight="false" outlineLevel="0" collapsed="false">
      <c r="A916" s="48" t="n">
        <v>915</v>
      </c>
      <c r="B916" s="46" t="n">
        <f aca="false">LARGE(v_valor,A916)</f>
        <v>4.4</v>
      </c>
      <c r="C916" s="46" t="n">
        <f aca="false">C915+B916</f>
        <v>109092.46</v>
      </c>
      <c r="D916" s="50" t="n">
        <f aca="false">C916/SUM(v_valor)</f>
        <v>0.997696177681576</v>
      </c>
      <c r="E916" s="50" t="n">
        <f aca="false">A916/1000</f>
        <v>0.915</v>
      </c>
    </row>
    <row r="917" customFormat="false" ht="15" hidden="false" customHeight="false" outlineLevel="0" collapsed="false">
      <c r="A917" s="48" t="n">
        <v>916</v>
      </c>
      <c r="B917" s="46" t="n">
        <f aca="false">LARGE(v_valor,A917)</f>
        <v>4.35</v>
      </c>
      <c r="C917" s="46" t="n">
        <f aca="false">C916+B917</f>
        <v>109096.81</v>
      </c>
      <c r="D917" s="50" t="n">
        <f aca="false">C917/SUM(v_valor)</f>
        <v>0.997735960251086</v>
      </c>
      <c r="E917" s="50" t="n">
        <f aca="false">A917/1000</f>
        <v>0.916</v>
      </c>
    </row>
    <row r="918" customFormat="false" ht="15" hidden="false" customHeight="false" outlineLevel="0" collapsed="false">
      <c r="A918" s="48" t="n">
        <v>917</v>
      </c>
      <c r="B918" s="46" t="n">
        <f aca="false">LARGE(v_valor,A918)</f>
        <v>4.27</v>
      </c>
      <c r="C918" s="46" t="n">
        <f aca="false">C917+B918</f>
        <v>109101.08</v>
      </c>
      <c r="D918" s="50" t="n">
        <f aca="false">C918/SUM(v_valor)</f>
        <v>0.997775011187133</v>
      </c>
      <c r="E918" s="50" t="n">
        <f aca="false">A918/1000</f>
        <v>0.917</v>
      </c>
    </row>
    <row r="919" customFormat="false" ht="15" hidden="false" customHeight="false" outlineLevel="0" collapsed="false">
      <c r="A919" s="48" t="n">
        <v>918</v>
      </c>
      <c r="B919" s="46" t="n">
        <f aca="false">LARGE(v_valor,A919)</f>
        <v>4.22</v>
      </c>
      <c r="C919" s="46" t="n">
        <f aca="false">C918+B919</f>
        <v>109105.3</v>
      </c>
      <c r="D919" s="50" t="n">
        <f aca="false">C919/SUM(v_valor)</f>
        <v>0.997813604852267</v>
      </c>
      <c r="E919" s="50" t="n">
        <f aca="false">A919/1000</f>
        <v>0.918</v>
      </c>
    </row>
    <row r="920" customFormat="false" ht="15" hidden="false" customHeight="false" outlineLevel="0" collapsed="false">
      <c r="A920" s="48" t="n">
        <v>919</v>
      </c>
      <c r="B920" s="46" t="n">
        <f aca="false">LARGE(v_valor,A920)</f>
        <v>4.19</v>
      </c>
      <c r="C920" s="46" t="n">
        <f aca="false">C919+B920</f>
        <v>109109.49</v>
      </c>
      <c r="D920" s="50" t="n">
        <f aca="false">C920/SUM(v_valor)</f>
        <v>0.997851924154852</v>
      </c>
      <c r="E920" s="50" t="n">
        <f aca="false">A920/1000</f>
        <v>0.919</v>
      </c>
    </row>
    <row r="921" customFormat="false" ht="15" hidden="false" customHeight="false" outlineLevel="0" collapsed="false">
      <c r="A921" s="48" t="n">
        <v>920</v>
      </c>
      <c r="B921" s="46" t="n">
        <f aca="false">LARGE(v_valor,A921)</f>
        <v>4.12</v>
      </c>
      <c r="C921" s="46" t="n">
        <f aca="false">C920+B921</f>
        <v>109113.61</v>
      </c>
      <c r="D921" s="50" t="n">
        <f aca="false">C921/SUM(v_valor)</f>
        <v>0.997889603278157</v>
      </c>
      <c r="E921" s="50" t="n">
        <f aca="false">A921/1000</f>
        <v>0.92</v>
      </c>
    </row>
    <row r="922" customFormat="false" ht="15" hidden="false" customHeight="false" outlineLevel="0" collapsed="false">
      <c r="A922" s="48" t="n">
        <v>921</v>
      </c>
      <c r="B922" s="46" t="n">
        <f aca="false">LARGE(v_valor,A922)</f>
        <v>4.11</v>
      </c>
      <c r="C922" s="46" t="n">
        <f aca="false">C921+B922</f>
        <v>109117.72</v>
      </c>
      <c r="D922" s="50" t="n">
        <f aca="false">C922/SUM(v_valor)</f>
        <v>0.99792719094728</v>
      </c>
      <c r="E922" s="50" t="n">
        <f aca="false">A922/1000</f>
        <v>0.921</v>
      </c>
    </row>
    <row r="923" customFormat="false" ht="15" hidden="false" customHeight="false" outlineLevel="0" collapsed="false">
      <c r="A923" s="48" t="n">
        <v>922</v>
      </c>
      <c r="B923" s="46" t="n">
        <f aca="false">LARGE(v_valor,A923)</f>
        <v>4.08</v>
      </c>
      <c r="C923" s="46" t="n">
        <f aca="false">C922+B923</f>
        <v>109121.8</v>
      </c>
      <c r="D923" s="50" t="n">
        <f aca="false">C923/SUM(v_valor)</f>
        <v>0.997964504253854</v>
      </c>
      <c r="E923" s="50" t="n">
        <f aca="false">A923/1000</f>
        <v>0.922</v>
      </c>
    </row>
    <row r="924" customFormat="false" ht="15" hidden="false" customHeight="false" outlineLevel="0" collapsed="false">
      <c r="A924" s="48" t="n">
        <v>923</v>
      </c>
      <c r="B924" s="46" t="n">
        <f aca="false">LARGE(v_valor,A924)</f>
        <v>4.06</v>
      </c>
      <c r="C924" s="46" t="n">
        <f aca="false">C923+B924</f>
        <v>109125.86</v>
      </c>
      <c r="D924" s="50" t="n">
        <f aca="false">C924/SUM(v_valor)</f>
        <v>0.998001634652063</v>
      </c>
      <c r="E924" s="50" t="n">
        <f aca="false">A924/1000</f>
        <v>0.923</v>
      </c>
    </row>
    <row r="925" customFormat="false" ht="15" hidden="false" customHeight="false" outlineLevel="0" collapsed="false">
      <c r="A925" s="48" t="n">
        <v>924</v>
      </c>
      <c r="B925" s="46" t="n">
        <f aca="false">LARGE(v_valor,A925)</f>
        <v>4.05</v>
      </c>
      <c r="C925" s="46" t="n">
        <f aca="false">C924+B925</f>
        <v>109129.91</v>
      </c>
      <c r="D925" s="50" t="n">
        <f aca="false">C925/SUM(v_valor)</f>
        <v>0.998038673596089</v>
      </c>
      <c r="E925" s="50" t="n">
        <f aca="false">A925/1000</f>
        <v>0.924</v>
      </c>
    </row>
    <row r="926" customFormat="false" ht="15" hidden="false" customHeight="false" outlineLevel="0" collapsed="false">
      <c r="A926" s="48" t="n">
        <v>925</v>
      </c>
      <c r="B926" s="46" t="n">
        <f aca="false">LARGE(v_valor,A926)</f>
        <v>4.05</v>
      </c>
      <c r="C926" s="46" t="n">
        <f aca="false">C925+B926</f>
        <v>109133.96</v>
      </c>
      <c r="D926" s="50" t="n">
        <f aca="false">C926/SUM(v_valor)</f>
        <v>0.998075712540116</v>
      </c>
      <c r="E926" s="50" t="n">
        <f aca="false">A926/1000</f>
        <v>0.925</v>
      </c>
    </row>
    <row r="927" customFormat="false" ht="15" hidden="false" customHeight="false" outlineLevel="0" collapsed="false">
      <c r="A927" s="48" t="n">
        <v>926</v>
      </c>
      <c r="B927" s="46" t="n">
        <f aca="false">LARGE(v_valor,A927)</f>
        <v>4.04</v>
      </c>
      <c r="C927" s="46" t="n">
        <f aca="false">C926+B927</f>
        <v>109138</v>
      </c>
      <c r="D927" s="50" t="n">
        <f aca="false">C927/SUM(v_valor)</f>
        <v>0.998112660029959</v>
      </c>
      <c r="E927" s="50" t="n">
        <f aca="false">A927/1000</f>
        <v>0.926</v>
      </c>
    </row>
    <row r="928" customFormat="false" ht="15" hidden="false" customHeight="false" outlineLevel="0" collapsed="false">
      <c r="A928" s="48" t="n">
        <v>927</v>
      </c>
      <c r="B928" s="46" t="n">
        <f aca="false">LARGE(v_valor,A928)</f>
        <v>4.02</v>
      </c>
      <c r="C928" s="46" t="n">
        <f aca="false">C927+B928</f>
        <v>109142.02</v>
      </c>
      <c r="D928" s="50" t="n">
        <f aca="false">C928/SUM(v_valor)</f>
        <v>0.998149424611437</v>
      </c>
      <c r="E928" s="50" t="n">
        <f aca="false">A928/1000</f>
        <v>0.927</v>
      </c>
    </row>
    <row r="929" customFormat="false" ht="15" hidden="false" customHeight="false" outlineLevel="0" collapsed="false">
      <c r="A929" s="48" t="n">
        <v>928</v>
      </c>
      <c r="B929" s="46" t="n">
        <f aca="false">LARGE(v_valor,A929)</f>
        <v>4.01</v>
      </c>
      <c r="C929" s="46" t="n">
        <f aca="false">C928+B929</f>
        <v>109146.03</v>
      </c>
      <c r="D929" s="50" t="n">
        <f aca="false">C929/SUM(v_valor)</f>
        <v>0.998186097738732</v>
      </c>
      <c r="E929" s="50" t="n">
        <f aca="false">A929/1000</f>
        <v>0.928</v>
      </c>
    </row>
    <row r="930" customFormat="false" ht="15" hidden="false" customHeight="false" outlineLevel="0" collapsed="false">
      <c r="A930" s="48" t="n">
        <v>929</v>
      </c>
      <c r="B930" s="46" t="n">
        <f aca="false">LARGE(v_valor,A930)</f>
        <v>3.97</v>
      </c>
      <c r="C930" s="46" t="n">
        <f aca="false">C929+B930</f>
        <v>109150</v>
      </c>
      <c r="D930" s="50" t="n">
        <f aca="false">C930/SUM(v_valor)</f>
        <v>0.998222405049296</v>
      </c>
      <c r="E930" s="50" t="n">
        <f aca="false">A930/1000</f>
        <v>0.929</v>
      </c>
    </row>
    <row r="931" customFormat="false" ht="15" hidden="false" customHeight="false" outlineLevel="0" collapsed="false">
      <c r="A931" s="48" t="n">
        <v>930</v>
      </c>
      <c r="B931" s="46" t="n">
        <f aca="false">LARGE(v_valor,A931)</f>
        <v>3.95</v>
      </c>
      <c r="C931" s="46" t="n">
        <f aca="false">C930+B931</f>
        <v>109153.95</v>
      </c>
      <c r="D931" s="50" t="n">
        <f aca="false">C931/SUM(v_valor)</f>
        <v>0.998258529451494</v>
      </c>
      <c r="E931" s="50" t="n">
        <f aca="false">A931/1000</f>
        <v>0.93</v>
      </c>
    </row>
    <row r="932" customFormat="false" ht="15" hidden="false" customHeight="false" outlineLevel="0" collapsed="false">
      <c r="A932" s="48" t="n">
        <v>931</v>
      </c>
      <c r="B932" s="46" t="n">
        <f aca="false">LARGE(v_valor,A932)</f>
        <v>3.87</v>
      </c>
      <c r="C932" s="46" t="n">
        <f aca="false">C931+B932</f>
        <v>109157.82</v>
      </c>
      <c r="D932" s="50" t="n">
        <f aca="false">C932/SUM(v_valor)</f>
        <v>0.99829392222023</v>
      </c>
      <c r="E932" s="50" t="n">
        <f aca="false">A932/1000</f>
        <v>0.931</v>
      </c>
    </row>
    <row r="933" customFormat="false" ht="15" hidden="false" customHeight="false" outlineLevel="0" collapsed="false">
      <c r="A933" s="48" t="n">
        <v>932</v>
      </c>
      <c r="B933" s="46" t="n">
        <f aca="false">LARGE(v_valor,A933)</f>
        <v>3.87</v>
      </c>
      <c r="C933" s="46" t="n">
        <f aca="false">C932+B933</f>
        <v>109161.69</v>
      </c>
      <c r="D933" s="50" t="n">
        <f aca="false">C933/SUM(v_valor)</f>
        <v>0.998329314988966</v>
      </c>
      <c r="E933" s="50" t="n">
        <f aca="false">A933/1000</f>
        <v>0.932</v>
      </c>
    </row>
    <row r="934" customFormat="false" ht="15" hidden="false" customHeight="false" outlineLevel="0" collapsed="false">
      <c r="A934" s="48" t="n">
        <v>933</v>
      </c>
      <c r="B934" s="46" t="n">
        <f aca="false">LARGE(v_valor,A934)</f>
        <v>3.86</v>
      </c>
      <c r="C934" s="46" t="n">
        <f aca="false">C933+B934</f>
        <v>109165.55</v>
      </c>
      <c r="D934" s="50" t="n">
        <f aca="false">C934/SUM(v_valor)</f>
        <v>0.998364616303519</v>
      </c>
      <c r="E934" s="50" t="n">
        <f aca="false">A934/1000</f>
        <v>0.933</v>
      </c>
    </row>
    <row r="935" customFormat="false" ht="15" hidden="false" customHeight="false" outlineLevel="0" collapsed="false">
      <c r="A935" s="48" t="n">
        <v>934</v>
      </c>
      <c r="B935" s="46" t="n">
        <f aca="false">LARGE(v_valor,A935)</f>
        <v>3.78</v>
      </c>
      <c r="C935" s="46" t="n">
        <f aca="false">C934+B935</f>
        <v>109169.33</v>
      </c>
      <c r="D935" s="50" t="n">
        <f aca="false">C935/SUM(v_valor)</f>
        <v>0.99839918598461</v>
      </c>
      <c r="E935" s="50" t="n">
        <f aca="false">A935/1000</f>
        <v>0.934</v>
      </c>
    </row>
    <row r="936" customFormat="false" ht="15" hidden="false" customHeight="false" outlineLevel="0" collapsed="false">
      <c r="A936" s="48" t="n">
        <v>935</v>
      </c>
      <c r="B936" s="46" t="n">
        <f aca="false">LARGE(v_valor,A936)</f>
        <v>3.75</v>
      </c>
      <c r="C936" s="46" t="n">
        <f aca="false">C935+B936</f>
        <v>109173.08</v>
      </c>
      <c r="D936" s="50" t="n">
        <f aca="false">C936/SUM(v_valor)</f>
        <v>0.998433481303153</v>
      </c>
      <c r="E936" s="50" t="n">
        <f aca="false">A936/1000</f>
        <v>0.935</v>
      </c>
    </row>
    <row r="937" customFormat="false" ht="15" hidden="false" customHeight="false" outlineLevel="0" collapsed="false">
      <c r="A937" s="48" t="n">
        <v>936</v>
      </c>
      <c r="B937" s="46" t="n">
        <f aca="false">LARGE(v_valor,A937)</f>
        <v>3.72</v>
      </c>
      <c r="C937" s="46" t="n">
        <f aca="false">C936+B937</f>
        <v>109176.8</v>
      </c>
      <c r="D937" s="50" t="n">
        <f aca="false">C937/SUM(v_valor)</f>
        <v>0.998467502259147</v>
      </c>
      <c r="E937" s="50" t="n">
        <f aca="false">A937/1000</f>
        <v>0.936</v>
      </c>
    </row>
    <row r="938" customFormat="false" ht="15" hidden="false" customHeight="false" outlineLevel="0" collapsed="false">
      <c r="A938" s="48" t="n">
        <v>937</v>
      </c>
      <c r="B938" s="46" t="n">
        <f aca="false">LARGE(v_valor,A938)</f>
        <v>3.63</v>
      </c>
      <c r="C938" s="46" t="n">
        <f aca="false">C937+B938</f>
        <v>109180.43</v>
      </c>
      <c r="D938" s="50" t="n">
        <f aca="false">C938/SUM(v_valor)</f>
        <v>0.998500700127497</v>
      </c>
      <c r="E938" s="50" t="n">
        <f aca="false">A938/1000</f>
        <v>0.937</v>
      </c>
    </row>
    <row r="939" customFormat="false" ht="15" hidden="false" customHeight="false" outlineLevel="0" collapsed="false">
      <c r="A939" s="48" t="n">
        <v>938</v>
      </c>
      <c r="B939" s="46" t="n">
        <f aca="false">LARGE(v_valor,A939)</f>
        <v>3.47</v>
      </c>
      <c r="C939" s="46" t="n">
        <f aca="false">C938+B939</f>
        <v>109183.9</v>
      </c>
      <c r="D939" s="50" t="n">
        <f aca="false">C939/SUM(v_valor)</f>
        <v>0.998532434728921</v>
      </c>
      <c r="E939" s="50" t="n">
        <f aca="false">A939/1000</f>
        <v>0.938</v>
      </c>
    </row>
    <row r="940" customFormat="false" ht="15" hidden="false" customHeight="false" outlineLevel="0" collapsed="false">
      <c r="A940" s="48" t="n">
        <v>939</v>
      </c>
      <c r="B940" s="46" t="n">
        <f aca="false">LARGE(v_valor,A940)</f>
        <v>3.41</v>
      </c>
      <c r="C940" s="46" t="n">
        <f aca="false">C939+B940</f>
        <v>109187.31</v>
      </c>
      <c r="D940" s="50" t="n">
        <f aca="false">C940/SUM(v_valor)</f>
        <v>0.99856362060525</v>
      </c>
      <c r="E940" s="50" t="n">
        <f aca="false">A940/1000</f>
        <v>0.939</v>
      </c>
    </row>
    <row r="941" customFormat="false" ht="15" hidden="false" customHeight="false" outlineLevel="0" collapsed="false">
      <c r="A941" s="48" t="n">
        <v>940</v>
      </c>
      <c r="B941" s="46" t="n">
        <f aca="false">LARGE(v_valor,A941)</f>
        <v>3.39</v>
      </c>
      <c r="C941" s="46" t="n">
        <f aca="false">C940+B941</f>
        <v>109190.7</v>
      </c>
      <c r="D941" s="50" t="n">
        <f aca="false">C941/SUM(v_valor)</f>
        <v>0.998594623573212</v>
      </c>
      <c r="E941" s="50" t="n">
        <f aca="false">A941/1000</f>
        <v>0.94</v>
      </c>
    </row>
    <row r="942" customFormat="false" ht="15" hidden="false" customHeight="false" outlineLevel="0" collapsed="false">
      <c r="A942" s="48" t="n">
        <v>941</v>
      </c>
      <c r="B942" s="46" t="n">
        <f aca="false">LARGE(v_valor,A942)</f>
        <v>3.37</v>
      </c>
      <c r="C942" s="46" t="n">
        <f aca="false">C941+B942</f>
        <v>109194.07</v>
      </c>
      <c r="D942" s="50" t="n">
        <f aca="false">C942/SUM(v_valor)</f>
        <v>0.998625443632809</v>
      </c>
      <c r="E942" s="50" t="n">
        <f aca="false">A942/1000</f>
        <v>0.941</v>
      </c>
    </row>
    <row r="943" customFormat="false" ht="15" hidden="false" customHeight="false" outlineLevel="0" collapsed="false">
      <c r="A943" s="48" t="n">
        <v>942</v>
      </c>
      <c r="B943" s="46" t="n">
        <f aca="false">LARGE(v_valor,A943)</f>
        <v>3.26</v>
      </c>
      <c r="C943" s="46" t="n">
        <f aca="false">C942+B943</f>
        <v>109197.33</v>
      </c>
      <c r="D943" s="50" t="n">
        <f aca="false">C943/SUM(v_valor)</f>
        <v>0.998655257696396</v>
      </c>
      <c r="E943" s="50" t="n">
        <f aca="false">A943/1000</f>
        <v>0.942</v>
      </c>
    </row>
    <row r="944" customFormat="false" ht="15" hidden="false" customHeight="false" outlineLevel="0" collapsed="false">
      <c r="A944" s="48" t="n">
        <v>943</v>
      </c>
      <c r="B944" s="46" t="n">
        <f aca="false">LARGE(v_valor,A944)</f>
        <v>3.25</v>
      </c>
      <c r="C944" s="46" t="n">
        <f aca="false">C943+B944</f>
        <v>109200.58</v>
      </c>
      <c r="D944" s="50" t="n">
        <f aca="false">C944/SUM(v_valor)</f>
        <v>0.998684980305799</v>
      </c>
      <c r="E944" s="50" t="n">
        <f aca="false">A944/1000</f>
        <v>0.943</v>
      </c>
    </row>
    <row r="945" customFormat="false" ht="15" hidden="false" customHeight="false" outlineLevel="0" collapsed="false">
      <c r="A945" s="48" t="n">
        <v>944</v>
      </c>
      <c r="B945" s="46" t="n">
        <f aca="false">LARGE(v_valor,A945)</f>
        <v>3.19</v>
      </c>
      <c r="C945" s="46" t="n">
        <f aca="false">C944+B945</f>
        <v>109203.77</v>
      </c>
      <c r="D945" s="50" t="n">
        <f aca="false">C945/SUM(v_valor)</f>
        <v>0.998714154190106</v>
      </c>
      <c r="E945" s="50" t="n">
        <f aca="false">A945/1000</f>
        <v>0.944</v>
      </c>
    </row>
    <row r="946" customFormat="false" ht="15" hidden="false" customHeight="false" outlineLevel="0" collapsed="false">
      <c r="A946" s="48" t="n">
        <v>945</v>
      </c>
      <c r="B946" s="46" t="n">
        <f aca="false">LARGE(v_valor,A946)</f>
        <v>3.18</v>
      </c>
      <c r="C946" s="46" t="n">
        <f aca="false">C945+B946</f>
        <v>109206.95</v>
      </c>
      <c r="D946" s="50" t="n">
        <f aca="false">C946/SUM(v_valor)</f>
        <v>0.99874323662023</v>
      </c>
      <c r="E946" s="50" t="n">
        <f aca="false">A946/1000</f>
        <v>0.945</v>
      </c>
    </row>
    <row r="947" customFormat="false" ht="15" hidden="false" customHeight="false" outlineLevel="0" collapsed="false">
      <c r="A947" s="48" t="n">
        <v>946</v>
      </c>
      <c r="B947" s="46" t="n">
        <f aca="false">LARGE(v_valor,A947)</f>
        <v>3.12</v>
      </c>
      <c r="C947" s="46" t="n">
        <f aca="false">C946+B947</f>
        <v>109210.07</v>
      </c>
      <c r="D947" s="50" t="n">
        <f aca="false">C947/SUM(v_valor)</f>
        <v>0.998771770325258</v>
      </c>
      <c r="E947" s="50" t="n">
        <f aca="false">A947/1000</f>
        <v>0.946</v>
      </c>
    </row>
    <row r="948" customFormat="false" ht="15" hidden="false" customHeight="false" outlineLevel="0" collapsed="false">
      <c r="A948" s="48" t="n">
        <v>947</v>
      </c>
      <c r="B948" s="46" t="n">
        <f aca="false">LARGE(v_valor,A948)</f>
        <v>3.1</v>
      </c>
      <c r="C948" s="46" t="n">
        <f aca="false">C947+B948</f>
        <v>109213.17</v>
      </c>
      <c r="D948" s="50" t="n">
        <f aca="false">C948/SUM(v_valor)</f>
        <v>0.99880012112192</v>
      </c>
      <c r="E948" s="50" t="n">
        <f aca="false">A948/1000</f>
        <v>0.947</v>
      </c>
    </row>
    <row r="949" customFormat="false" ht="15" hidden="false" customHeight="false" outlineLevel="0" collapsed="false">
      <c r="A949" s="48" t="n">
        <v>948</v>
      </c>
      <c r="B949" s="46" t="n">
        <f aca="false">LARGE(v_valor,A949)</f>
        <v>3.08</v>
      </c>
      <c r="C949" s="46" t="n">
        <f aca="false">C948+B949</f>
        <v>109216.25</v>
      </c>
      <c r="D949" s="50" t="n">
        <f aca="false">C949/SUM(v_valor)</f>
        <v>0.998828289010216</v>
      </c>
      <c r="E949" s="50" t="n">
        <f aca="false">A949/1000</f>
        <v>0.948</v>
      </c>
    </row>
    <row r="950" customFormat="false" ht="15" hidden="false" customHeight="false" outlineLevel="0" collapsed="false">
      <c r="A950" s="48" t="n">
        <v>949</v>
      </c>
      <c r="B950" s="46" t="n">
        <f aca="false">LARGE(v_valor,A950)</f>
        <v>3.08</v>
      </c>
      <c r="C950" s="46" t="n">
        <f aca="false">C949+B950</f>
        <v>109219.33</v>
      </c>
      <c r="D950" s="50" t="n">
        <f aca="false">C950/SUM(v_valor)</f>
        <v>0.998856456898513</v>
      </c>
      <c r="E950" s="50" t="n">
        <f aca="false">A950/1000</f>
        <v>0.949</v>
      </c>
    </row>
    <row r="951" customFormat="false" ht="15" hidden="false" customHeight="false" outlineLevel="0" collapsed="false">
      <c r="A951" s="48" t="n">
        <v>950</v>
      </c>
      <c r="B951" s="46" t="n">
        <f aca="false">LARGE(v_valor,A951)</f>
        <v>3.07</v>
      </c>
      <c r="C951" s="46" t="n">
        <f aca="false">C950+B951</f>
        <v>109222.4</v>
      </c>
      <c r="D951" s="50" t="n">
        <f aca="false">C951/SUM(v_valor)</f>
        <v>0.998884533332626</v>
      </c>
      <c r="E951" s="50" t="n">
        <f aca="false">A951/1000</f>
        <v>0.95</v>
      </c>
    </row>
    <row r="952" customFormat="false" ht="15" hidden="false" customHeight="false" outlineLevel="0" collapsed="false">
      <c r="A952" s="48" t="n">
        <v>951</v>
      </c>
      <c r="B952" s="46" t="n">
        <f aca="false">LARGE(v_valor,A952)</f>
        <v>3.06</v>
      </c>
      <c r="C952" s="46" t="n">
        <f aca="false">C951+B952</f>
        <v>109225.46</v>
      </c>
      <c r="D952" s="50" t="n">
        <f aca="false">C952/SUM(v_valor)</f>
        <v>0.998912518312557</v>
      </c>
      <c r="E952" s="50" t="n">
        <f aca="false">A952/1000</f>
        <v>0.951</v>
      </c>
    </row>
    <row r="953" customFormat="false" ht="15" hidden="false" customHeight="false" outlineLevel="0" collapsed="false">
      <c r="A953" s="48" t="n">
        <v>952</v>
      </c>
      <c r="B953" s="46" t="n">
        <f aca="false">LARGE(v_valor,A953)</f>
        <v>3.04</v>
      </c>
      <c r="C953" s="46" t="n">
        <f aca="false">C952+B953</f>
        <v>109228.5</v>
      </c>
      <c r="D953" s="50" t="n">
        <f aca="false">C953/SUM(v_valor)</f>
        <v>0.998940320384122</v>
      </c>
      <c r="E953" s="50" t="n">
        <f aca="false">A953/1000</f>
        <v>0.952</v>
      </c>
    </row>
    <row r="954" customFormat="false" ht="15" hidden="false" customHeight="false" outlineLevel="0" collapsed="false">
      <c r="A954" s="48" t="n">
        <v>953</v>
      </c>
      <c r="B954" s="46" t="n">
        <f aca="false">LARGE(v_valor,A954)</f>
        <v>3.04</v>
      </c>
      <c r="C954" s="46" t="n">
        <f aca="false">C953+B954</f>
        <v>109231.54</v>
      </c>
      <c r="D954" s="50" t="n">
        <f aca="false">C954/SUM(v_valor)</f>
        <v>0.998968122455688</v>
      </c>
      <c r="E954" s="50" t="n">
        <f aca="false">A954/1000</f>
        <v>0.953</v>
      </c>
    </row>
    <row r="955" customFormat="false" ht="15" hidden="false" customHeight="false" outlineLevel="0" collapsed="false">
      <c r="A955" s="48" t="n">
        <v>954</v>
      </c>
      <c r="B955" s="46" t="n">
        <f aca="false">LARGE(v_valor,A955)</f>
        <v>3.02</v>
      </c>
      <c r="C955" s="46" t="n">
        <f aca="false">C954+B955</f>
        <v>109234.56</v>
      </c>
      <c r="D955" s="50" t="n">
        <f aca="false">C955/SUM(v_valor)</f>
        <v>0.998995741618887</v>
      </c>
      <c r="E955" s="50" t="n">
        <f aca="false">A955/1000</f>
        <v>0.954</v>
      </c>
    </row>
    <row r="956" customFormat="false" ht="15" hidden="false" customHeight="false" outlineLevel="0" collapsed="false">
      <c r="A956" s="48" t="n">
        <v>955</v>
      </c>
      <c r="B956" s="46" t="n">
        <f aca="false">LARGE(v_valor,A956)</f>
        <v>3.01</v>
      </c>
      <c r="C956" s="46" t="n">
        <f aca="false">C955+B956</f>
        <v>109237.57</v>
      </c>
      <c r="D956" s="50" t="n">
        <f aca="false">C956/SUM(v_valor)</f>
        <v>0.999023269327904</v>
      </c>
      <c r="E956" s="50" t="n">
        <f aca="false">A956/1000</f>
        <v>0.955</v>
      </c>
    </row>
    <row r="957" customFormat="false" ht="15" hidden="false" customHeight="false" outlineLevel="0" collapsed="false">
      <c r="A957" s="48" t="n">
        <v>956</v>
      </c>
      <c r="B957" s="46" t="n">
        <f aca="false">LARGE(v_valor,A957)</f>
        <v>3.01</v>
      </c>
      <c r="C957" s="46" t="n">
        <f aca="false">C956+B957</f>
        <v>109240.58</v>
      </c>
      <c r="D957" s="50" t="n">
        <f aca="false">C957/SUM(v_valor)</f>
        <v>0.999050797036921</v>
      </c>
      <c r="E957" s="50" t="n">
        <f aca="false">A957/1000</f>
        <v>0.956</v>
      </c>
    </row>
    <row r="958" customFormat="false" ht="15" hidden="false" customHeight="false" outlineLevel="0" collapsed="false">
      <c r="A958" s="48" t="n">
        <v>957</v>
      </c>
      <c r="B958" s="46" t="n">
        <f aca="false">LARGE(v_valor,A958)</f>
        <v>3</v>
      </c>
      <c r="C958" s="46" t="n">
        <f aca="false">C957+B958</f>
        <v>109243.58</v>
      </c>
      <c r="D958" s="50" t="n">
        <f aca="false">C958/SUM(v_valor)</f>
        <v>0.999078233291755</v>
      </c>
      <c r="E958" s="50" t="n">
        <f aca="false">A958/1000</f>
        <v>0.957</v>
      </c>
    </row>
    <row r="959" customFormat="false" ht="15" hidden="false" customHeight="false" outlineLevel="0" collapsed="false">
      <c r="A959" s="48" t="n">
        <v>958</v>
      </c>
      <c r="B959" s="46" t="n">
        <f aca="false">LARGE(v_valor,A959)</f>
        <v>3</v>
      </c>
      <c r="C959" s="46" t="n">
        <f aca="false">C958+B959</f>
        <v>109246.58</v>
      </c>
      <c r="D959" s="50" t="n">
        <f aca="false">C959/SUM(v_valor)</f>
        <v>0.999105669546589</v>
      </c>
      <c r="E959" s="50" t="n">
        <f aca="false">A959/1000</f>
        <v>0.958</v>
      </c>
    </row>
    <row r="960" customFormat="false" ht="15" hidden="false" customHeight="false" outlineLevel="0" collapsed="false">
      <c r="A960" s="48" t="n">
        <v>959</v>
      </c>
      <c r="B960" s="46" t="n">
        <f aca="false">LARGE(v_valor,A960)</f>
        <v>3</v>
      </c>
      <c r="C960" s="46" t="n">
        <f aca="false">C959+B960</f>
        <v>109249.58</v>
      </c>
      <c r="D960" s="50" t="n">
        <f aca="false">C960/SUM(v_valor)</f>
        <v>0.999133105801424</v>
      </c>
      <c r="E960" s="50" t="n">
        <f aca="false">A960/1000</f>
        <v>0.959</v>
      </c>
    </row>
    <row r="961" customFormat="false" ht="15" hidden="false" customHeight="false" outlineLevel="0" collapsed="false">
      <c r="A961" s="48" t="n">
        <v>960</v>
      </c>
      <c r="B961" s="46" t="n">
        <f aca="false">LARGE(v_valor,A961)</f>
        <v>2.99</v>
      </c>
      <c r="C961" s="46" t="n">
        <f aca="false">C960+B961</f>
        <v>109252.57</v>
      </c>
      <c r="D961" s="50" t="n">
        <f aca="false">C961/SUM(v_valor)</f>
        <v>0.999160450602075</v>
      </c>
      <c r="E961" s="50" t="n">
        <f aca="false">A961/1000</f>
        <v>0.96</v>
      </c>
    </row>
    <row r="962" customFormat="false" ht="15" hidden="false" customHeight="false" outlineLevel="0" collapsed="false">
      <c r="A962" s="48" t="n">
        <v>961</v>
      </c>
      <c r="B962" s="46" t="n">
        <f aca="false">LARGE(v_valor,A962)</f>
        <v>2.99</v>
      </c>
      <c r="C962" s="46" t="n">
        <f aca="false">C961+B962</f>
        <v>109255.56</v>
      </c>
      <c r="D962" s="50" t="n">
        <f aca="false">C962/SUM(v_valor)</f>
        <v>0.999187795402726</v>
      </c>
      <c r="E962" s="50" t="n">
        <f aca="false">A962/1000</f>
        <v>0.961</v>
      </c>
    </row>
    <row r="963" customFormat="false" ht="15" hidden="false" customHeight="false" outlineLevel="0" collapsed="false">
      <c r="A963" s="48" t="n">
        <v>962</v>
      </c>
      <c r="B963" s="46" t="n">
        <f aca="false">LARGE(v_valor,A963)</f>
        <v>2.99</v>
      </c>
      <c r="C963" s="46" t="n">
        <f aca="false">C962+B963</f>
        <v>109258.55</v>
      </c>
      <c r="D963" s="50" t="n">
        <f aca="false">C963/SUM(v_valor)</f>
        <v>0.999215140203378</v>
      </c>
      <c r="E963" s="50" t="n">
        <f aca="false">A963/1000</f>
        <v>0.962</v>
      </c>
    </row>
    <row r="964" customFormat="false" ht="15" hidden="false" customHeight="false" outlineLevel="0" collapsed="false">
      <c r="A964" s="48" t="n">
        <v>963</v>
      </c>
      <c r="B964" s="46" t="n">
        <f aca="false">LARGE(v_valor,A964)</f>
        <v>2.98</v>
      </c>
      <c r="C964" s="46" t="n">
        <f aca="false">C963+B964</f>
        <v>109261.53</v>
      </c>
      <c r="D964" s="50" t="n">
        <f aca="false">C964/SUM(v_valor)</f>
        <v>0.999242393549847</v>
      </c>
      <c r="E964" s="50" t="n">
        <f aca="false">A964/1000</f>
        <v>0.963</v>
      </c>
    </row>
    <row r="965" customFormat="false" ht="15" hidden="false" customHeight="false" outlineLevel="0" collapsed="false">
      <c r="A965" s="48" t="n">
        <v>964</v>
      </c>
      <c r="B965" s="46" t="n">
        <f aca="false">LARGE(v_valor,A965)</f>
        <v>2.97</v>
      </c>
      <c r="C965" s="46" t="n">
        <f aca="false">C964+B965</f>
        <v>109264.5</v>
      </c>
      <c r="D965" s="50" t="n">
        <f aca="false">C965/SUM(v_valor)</f>
        <v>0.999269555442132</v>
      </c>
      <c r="E965" s="50" t="n">
        <f aca="false">A965/1000</f>
        <v>0.964</v>
      </c>
    </row>
    <row r="966" customFormat="false" ht="15" hidden="false" customHeight="false" outlineLevel="0" collapsed="false">
      <c r="A966" s="48" t="n">
        <v>965</v>
      </c>
      <c r="B966" s="46" t="n">
        <f aca="false">LARGE(v_valor,A966)</f>
        <v>2.94</v>
      </c>
      <c r="C966" s="46" t="n">
        <f aca="false">C965+B966</f>
        <v>109267.44</v>
      </c>
      <c r="D966" s="50" t="n">
        <f aca="false">C966/SUM(v_valor)</f>
        <v>0.99929644297187</v>
      </c>
      <c r="E966" s="50" t="n">
        <f aca="false">A966/1000</f>
        <v>0.965</v>
      </c>
    </row>
    <row r="967" customFormat="false" ht="15" hidden="false" customHeight="false" outlineLevel="0" collapsed="false">
      <c r="A967" s="48" t="n">
        <v>966</v>
      </c>
      <c r="B967" s="46" t="n">
        <f aca="false">LARGE(v_valor,A967)</f>
        <v>2.94</v>
      </c>
      <c r="C967" s="46" t="n">
        <f aca="false">C966+B967</f>
        <v>109270.38</v>
      </c>
      <c r="D967" s="50" t="n">
        <f aca="false">C967/SUM(v_valor)</f>
        <v>0.999323330501607</v>
      </c>
      <c r="E967" s="50" t="n">
        <f aca="false">A967/1000</f>
        <v>0.966</v>
      </c>
    </row>
    <row r="968" customFormat="false" ht="15" hidden="false" customHeight="false" outlineLevel="0" collapsed="false">
      <c r="A968" s="48" t="n">
        <v>967</v>
      </c>
      <c r="B968" s="46" t="n">
        <f aca="false">LARGE(v_valor,A968)</f>
        <v>2.91</v>
      </c>
      <c r="C968" s="46" t="n">
        <f aca="false">C967+B968</f>
        <v>109273.29</v>
      </c>
      <c r="D968" s="50" t="n">
        <f aca="false">C968/SUM(v_valor)</f>
        <v>0.999349943668796</v>
      </c>
      <c r="E968" s="50" t="n">
        <f aca="false">A968/1000</f>
        <v>0.967</v>
      </c>
    </row>
    <row r="969" customFormat="false" ht="15" hidden="false" customHeight="false" outlineLevel="0" collapsed="false">
      <c r="A969" s="48" t="n">
        <v>968</v>
      </c>
      <c r="B969" s="46" t="n">
        <f aca="false">LARGE(v_valor,A969)</f>
        <v>2.87</v>
      </c>
      <c r="C969" s="46" t="n">
        <f aca="false">C968+B969</f>
        <v>109276.16</v>
      </c>
      <c r="D969" s="50" t="n">
        <f aca="false">C969/SUM(v_valor)</f>
        <v>0.999376191019254</v>
      </c>
      <c r="E969" s="50" t="n">
        <f aca="false">A969/1000</f>
        <v>0.968</v>
      </c>
    </row>
    <row r="970" customFormat="false" ht="15" hidden="false" customHeight="false" outlineLevel="0" collapsed="false">
      <c r="A970" s="48" t="n">
        <v>969</v>
      </c>
      <c r="B970" s="46" t="n">
        <f aca="false">LARGE(v_valor,A970)</f>
        <v>2.86</v>
      </c>
      <c r="C970" s="46" t="n">
        <f aca="false">C969+B970</f>
        <v>109279.02</v>
      </c>
      <c r="D970" s="50" t="n">
        <f aca="false">C970/SUM(v_valor)</f>
        <v>0.99940234691553</v>
      </c>
      <c r="E970" s="50" t="n">
        <f aca="false">A970/1000</f>
        <v>0.969</v>
      </c>
    </row>
    <row r="971" customFormat="false" ht="15" hidden="false" customHeight="false" outlineLevel="0" collapsed="false">
      <c r="A971" s="48" t="n">
        <v>970</v>
      </c>
      <c r="B971" s="46" t="n">
        <f aca="false">LARGE(v_valor,A971)</f>
        <v>2.82</v>
      </c>
      <c r="C971" s="46" t="n">
        <f aca="false">C970+B971</f>
        <v>109281.84</v>
      </c>
      <c r="D971" s="50" t="n">
        <f aca="false">C971/SUM(v_valor)</f>
        <v>0.999428136995074</v>
      </c>
      <c r="E971" s="50" t="n">
        <f aca="false">A971/1000</f>
        <v>0.97</v>
      </c>
    </row>
    <row r="972" customFormat="false" ht="15" hidden="false" customHeight="false" outlineLevel="0" collapsed="false">
      <c r="A972" s="48" t="n">
        <v>971</v>
      </c>
      <c r="B972" s="46" t="n">
        <f aca="false">LARGE(v_valor,A972)</f>
        <v>2.74</v>
      </c>
      <c r="C972" s="46" t="n">
        <f aca="false">C971+B972</f>
        <v>109284.58</v>
      </c>
      <c r="D972" s="50" t="n">
        <f aca="false">C972/SUM(v_valor)</f>
        <v>0.999453195441156</v>
      </c>
      <c r="E972" s="50" t="n">
        <f aca="false">A972/1000</f>
        <v>0.971</v>
      </c>
    </row>
    <row r="973" customFormat="false" ht="15" hidden="false" customHeight="false" outlineLevel="0" collapsed="false">
      <c r="A973" s="48" t="n">
        <v>972</v>
      </c>
      <c r="B973" s="46" t="n">
        <f aca="false">LARGE(v_valor,A973)</f>
        <v>2.73</v>
      </c>
      <c r="C973" s="46" t="n">
        <f aca="false">C972+B973</f>
        <v>109287.31</v>
      </c>
      <c r="D973" s="50" t="n">
        <f aca="false">C973/SUM(v_valor)</f>
        <v>0.999478162433055</v>
      </c>
      <c r="E973" s="50" t="n">
        <f aca="false">A973/1000</f>
        <v>0.972</v>
      </c>
    </row>
    <row r="974" customFormat="false" ht="15" hidden="false" customHeight="false" outlineLevel="0" collapsed="false">
      <c r="A974" s="48" t="n">
        <v>973</v>
      </c>
      <c r="B974" s="46" t="n">
        <f aca="false">LARGE(v_valor,A974)</f>
        <v>2.64</v>
      </c>
      <c r="C974" s="46" t="n">
        <f aca="false">C973+B974</f>
        <v>109289.95</v>
      </c>
      <c r="D974" s="50" t="n">
        <f aca="false">C974/SUM(v_valor)</f>
        <v>0.999502306337309</v>
      </c>
      <c r="E974" s="50" t="n">
        <f aca="false">A974/1000</f>
        <v>0.973</v>
      </c>
    </row>
    <row r="975" customFormat="false" ht="15" hidden="false" customHeight="false" outlineLevel="0" collapsed="false">
      <c r="A975" s="48" t="n">
        <v>974</v>
      </c>
      <c r="B975" s="46" t="n">
        <f aca="false">LARGE(v_valor,A975)</f>
        <v>2.62</v>
      </c>
      <c r="C975" s="46" t="n">
        <f aca="false">C974+B975</f>
        <v>109292.57</v>
      </c>
      <c r="D975" s="50" t="n">
        <f aca="false">C975/SUM(v_valor)</f>
        <v>0.999526267333197</v>
      </c>
      <c r="E975" s="50" t="n">
        <f aca="false">A975/1000</f>
        <v>0.974</v>
      </c>
    </row>
    <row r="976" customFormat="false" ht="15" hidden="false" customHeight="false" outlineLevel="0" collapsed="false">
      <c r="A976" s="48" t="n">
        <v>975</v>
      </c>
      <c r="B976" s="46" t="n">
        <f aca="false">LARGE(v_valor,A976)</f>
        <v>2.57</v>
      </c>
      <c r="C976" s="46" t="n">
        <f aca="false">C975+B976</f>
        <v>109295.14</v>
      </c>
      <c r="D976" s="50" t="n">
        <f aca="false">C976/SUM(v_valor)</f>
        <v>0.999549771058172</v>
      </c>
      <c r="E976" s="50" t="n">
        <f aca="false">A976/1000</f>
        <v>0.975</v>
      </c>
    </row>
    <row r="977" customFormat="false" ht="15" hidden="false" customHeight="false" outlineLevel="0" collapsed="false">
      <c r="A977" s="48" t="n">
        <v>976</v>
      </c>
      <c r="B977" s="46" t="n">
        <f aca="false">LARGE(v_valor,A977)</f>
        <v>2.57</v>
      </c>
      <c r="C977" s="46" t="n">
        <f aca="false">C976+B977</f>
        <v>109297.71</v>
      </c>
      <c r="D977" s="50" t="n">
        <f aca="false">C977/SUM(v_valor)</f>
        <v>0.999573274783147</v>
      </c>
      <c r="E977" s="50" t="n">
        <f aca="false">A977/1000</f>
        <v>0.976</v>
      </c>
    </row>
    <row r="978" customFormat="false" ht="15" hidden="false" customHeight="false" outlineLevel="0" collapsed="false">
      <c r="A978" s="48" t="n">
        <v>977</v>
      </c>
      <c r="B978" s="46" t="n">
        <f aca="false">LARGE(v_valor,A978)</f>
        <v>2.54</v>
      </c>
      <c r="C978" s="46" t="n">
        <f aca="false">C977+B978</f>
        <v>109300.25</v>
      </c>
      <c r="D978" s="50" t="n">
        <f aca="false">C978/SUM(v_valor)</f>
        <v>0.999596504145573</v>
      </c>
      <c r="E978" s="50" t="n">
        <f aca="false">A978/1000</f>
        <v>0.977</v>
      </c>
    </row>
    <row r="979" customFormat="false" ht="15" hidden="false" customHeight="false" outlineLevel="0" collapsed="false">
      <c r="A979" s="48" t="n">
        <v>978</v>
      </c>
      <c r="B979" s="46" t="n">
        <f aca="false">LARGE(v_valor,A979)</f>
        <v>2.53</v>
      </c>
      <c r="C979" s="46" t="n">
        <f aca="false">C978+B979</f>
        <v>109302.78</v>
      </c>
      <c r="D979" s="50" t="n">
        <f aca="false">C979/SUM(v_valor)</f>
        <v>0.999619642053816</v>
      </c>
      <c r="E979" s="50" t="n">
        <f aca="false">A979/1000</f>
        <v>0.978</v>
      </c>
    </row>
    <row r="980" customFormat="false" ht="15" hidden="false" customHeight="false" outlineLevel="0" collapsed="false">
      <c r="A980" s="48" t="n">
        <v>979</v>
      </c>
      <c r="B980" s="46" t="n">
        <f aca="false">LARGE(v_valor,A980)</f>
        <v>2.52</v>
      </c>
      <c r="C980" s="46" t="n">
        <f aca="false">C979+B980</f>
        <v>109305.3</v>
      </c>
      <c r="D980" s="50" t="n">
        <f aca="false">C980/SUM(v_valor)</f>
        <v>0.999642688507877</v>
      </c>
      <c r="E980" s="50" t="n">
        <f aca="false">A980/1000</f>
        <v>0.979</v>
      </c>
    </row>
    <row r="981" customFormat="false" ht="15" hidden="false" customHeight="false" outlineLevel="0" collapsed="false">
      <c r="A981" s="48" t="n">
        <v>980</v>
      </c>
      <c r="B981" s="46" t="n">
        <f aca="false">LARGE(v_valor,A981)</f>
        <v>2.5</v>
      </c>
      <c r="C981" s="46" t="n">
        <f aca="false">C980+B981</f>
        <v>109307.8</v>
      </c>
      <c r="D981" s="50" t="n">
        <f aca="false">C981/SUM(v_valor)</f>
        <v>0.999665552053572</v>
      </c>
      <c r="E981" s="50" t="n">
        <f aca="false">A981/1000</f>
        <v>0.98</v>
      </c>
    </row>
    <row r="982" customFormat="false" ht="15" hidden="false" customHeight="false" outlineLevel="0" collapsed="false">
      <c r="A982" s="48" t="n">
        <v>981</v>
      </c>
      <c r="B982" s="46" t="n">
        <f aca="false">LARGE(v_valor,A982)</f>
        <v>2.47</v>
      </c>
      <c r="C982" s="46" t="n">
        <f aca="false">C981+B982</f>
        <v>109310.27</v>
      </c>
      <c r="D982" s="50" t="n">
        <f aca="false">C982/SUM(v_valor)</f>
        <v>0.999688141236719</v>
      </c>
      <c r="E982" s="50" t="n">
        <f aca="false">A982/1000</f>
        <v>0.981</v>
      </c>
    </row>
    <row r="983" customFormat="false" ht="15" hidden="false" customHeight="false" outlineLevel="0" collapsed="false">
      <c r="A983" s="48" t="n">
        <v>982</v>
      </c>
      <c r="B983" s="46" t="n">
        <f aca="false">LARGE(v_valor,A983)</f>
        <v>2.17</v>
      </c>
      <c r="C983" s="46" t="n">
        <f aca="false">C982+B983</f>
        <v>109312.44</v>
      </c>
      <c r="D983" s="50" t="n">
        <f aca="false">C983/SUM(v_valor)</f>
        <v>0.999707986794382</v>
      </c>
      <c r="E983" s="50" t="n">
        <f aca="false">A983/1000</f>
        <v>0.982</v>
      </c>
    </row>
    <row r="984" customFormat="false" ht="15" hidden="false" customHeight="false" outlineLevel="0" collapsed="false">
      <c r="A984" s="48" t="n">
        <v>983</v>
      </c>
      <c r="B984" s="46" t="n">
        <f aca="false">LARGE(v_valor,A984)</f>
        <v>2.01</v>
      </c>
      <c r="C984" s="46" t="n">
        <f aca="false">C983+B984</f>
        <v>109314.45</v>
      </c>
      <c r="D984" s="50" t="n">
        <f aca="false">C984/SUM(v_valor)</f>
        <v>0.999726369085121</v>
      </c>
      <c r="E984" s="50" t="n">
        <f aca="false">A984/1000</f>
        <v>0.983</v>
      </c>
    </row>
    <row r="985" customFormat="false" ht="15" hidden="false" customHeight="false" outlineLevel="0" collapsed="false">
      <c r="A985" s="48" t="n">
        <v>984</v>
      </c>
      <c r="B985" s="46" t="n">
        <f aca="false">LARGE(v_valor,A985)</f>
        <v>1.98</v>
      </c>
      <c r="C985" s="46" t="n">
        <f aca="false">C984+B985</f>
        <v>109316.43</v>
      </c>
      <c r="D985" s="50" t="n">
        <f aca="false">C985/SUM(v_valor)</f>
        <v>0.999744477013312</v>
      </c>
      <c r="E985" s="50" t="n">
        <f aca="false">A985/1000</f>
        <v>0.984</v>
      </c>
    </row>
    <row r="986" customFormat="false" ht="15" hidden="false" customHeight="false" outlineLevel="0" collapsed="false">
      <c r="A986" s="48" t="n">
        <v>985</v>
      </c>
      <c r="B986" s="46" t="n">
        <f aca="false">LARGE(v_valor,A986)</f>
        <v>1.93</v>
      </c>
      <c r="C986" s="46" t="n">
        <f aca="false">C985+B986</f>
        <v>109318.36</v>
      </c>
      <c r="D986" s="50" t="n">
        <f aca="false">C986/SUM(v_valor)</f>
        <v>0.999762127670588</v>
      </c>
      <c r="E986" s="50" t="n">
        <f aca="false">A986/1000</f>
        <v>0.985</v>
      </c>
    </row>
    <row r="987" customFormat="false" ht="15" hidden="false" customHeight="false" outlineLevel="0" collapsed="false">
      <c r="A987" s="48" t="n">
        <v>986</v>
      </c>
      <c r="B987" s="46" t="n">
        <f aca="false">LARGE(v_valor,A987)</f>
        <v>1.92</v>
      </c>
      <c r="C987" s="46" t="n">
        <f aca="false">C986+B987</f>
        <v>109320.28</v>
      </c>
      <c r="D987" s="50" t="n">
        <f aca="false">C987/SUM(v_valor)</f>
        <v>0.999779686873682</v>
      </c>
      <c r="E987" s="50" t="n">
        <f aca="false">A987/1000</f>
        <v>0.986</v>
      </c>
    </row>
    <row r="988" customFormat="false" ht="15" hidden="false" customHeight="false" outlineLevel="0" collapsed="false">
      <c r="A988" s="48" t="n">
        <v>987</v>
      </c>
      <c r="B988" s="46" t="n">
        <f aca="false">LARGE(v_valor,A988)</f>
        <v>1.91</v>
      </c>
      <c r="C988" s="46" t="n">
        <f aca="false">C987+B988</f>
        <v>109322.19</v>
      </c>
      <c r="D988" s="50" t="n">
        <f aca="false">C988/SUM(v_valor)</f>
        <v>0.999797154622593</v>
      </c>
      <c r="E988" s="50" t="n">
        <f aca="false">A988/1000</f>
        <v>0.987</v>
      </c>
    </row>
    <row r="989" customFormat="false" ht="15" hidden="false" customHeight="false" outlineLevel="0" collapsed="false">
      <c r="A989" s="48" t="n">
        <v>988</v>
      </c>
      <c r="B989" s="46" t="n">
        <f aca="false">LARGE(v_valor,A989)</f>
        <v>1.91</v>
      </c>
      <c r="C989" s="46" t="n">
        <f aca="false">C988+B989</f>
        <v>109324.1</v>
      </c>
      <c r="D989" s="50" t="n">
        <f aca="false">C989/SUM(v_valor)</f>
        <v>0.999814622371504</v>
      </c>
      <c r="E989" s="50" t="n">
        <f aca="false">A989/1000</f>
        <v>0.988</v>
      </c>
    </row>
    <row r="990" customFormat="false" ht="15" hidden="false" customHeight="false" outlineLevel="0" collapsed="false">
      <c r="A990" s="48" t="n">
        <v>989</v>
      </c>
      <c r="B990" s="46" t="n">
        <f aca="false">LARGE(v_valor,A990)</f>
        <v>1.91</v>
      </c>
      <c r="C990" s="46" t="n">
        <f aca="false">C989+B990</f>
        <v>109326.01</v>
      </c>
      <c r="D990" s="50" t="n">
        <f aca="false">C990/SUM(v_valor)</f>
        <v>0.999832090120415</v>
      </c>
      <c r="E990" s="50" t="n">
        <f aca="false">A990/1000</f>
        <v>0.989</v>
      </c>
    </row>
    <row r="991" customFormat="false" ht="15" hidden="false" customHeight="false" outlineLevel="0" collapsed="false">
      <c r="A991" s="48" t="n">
        <v>990</v>
      </c>
      <c r="B991" s="46" t="n">
        <f aca="false">LARGE(v_valor,A991)</f>
        <v>1.9</v>
      </c>
      <c r="C991" s="46" t="n">
        <f aca="false">C990+B991</f>
        <v>109327.91</v>
      </c>
      <c r="D991" s="50" t="n">
        <f aca="false">C991/SUM(v_valor)</f>
        <v>0.999849466415144</v>
      </c>
      <c r="E991" s="50" t="n">
        <f aca="false">A991/1000</f>
        <v>0.99</v>
      </c>
    </row>
    <row r="992" customFormat="false" ht="15" hidden="false" customHeight="false" outlineLevel="0" collapsed="false">
      <c r="A992" s="48" t="n">
        <v>991</v>
      </c>
      <c r="B992" s="46" t="n">
        <f aca="false">LARGE(v_valor,A992)</f>
        <v>1.89</v>
      </c>
      <c r="C992" s="46" t="n">
        <f aca="false">C991+B992</f>
        <v>109329.8</v>
      </c>
      <c r="D992" s="50" t="n">
        <f aca="false">C992/SUM(v_valor)</f>
        <v>0.999866751255689</v>
      </c>
      <c r="E992" s="50" t="n">
        <f aca="false">A992/1000</f>
        <v>0.991</v>
      </c>
    </row>
    <row r="993" customFormat="false" ht="15" hidden="false" customHeight="false" outlineLevel="0" collapsed="false">
      <c r="A993" s="48" t="n">
        <v>992</v>
      </c>
      <c r="B993" s="46" t="n">
        <f aca="false">LARGE(v_valor,A993)</f>
        <v>1.87</v>
      </c>
      <c r="C993" s="46" t="n">
        <f aca="false">C992+B993</f>
        <v>109331.67</v>
      </c>
      <c r="D993" s="50" t="n">
        <f aca="false">C993/SUM(v_valor)</f>
        <v>0.999883853187869</v>
      </c>
      <c r="E993" s="50" t="n">
        <f aca="false">A993/1000</f>
        <v>0.992</v>
      </c>
    </row>
    <row r="994" customFormat="false" ht="15" hidden="false" customHeight="false" outlineLevel="0" collapsed="false">
      <c r="A994" s="48" t="n">
        <v>993</v>
      </c>
      <c r="B994" s="46" t="n">
        <f aca="false">LARGE(v_valor,A994)</f>
        <v>1.77</v>
      </c>
      <c r="C994" s="46" t="n">
        <f aca="false">C993+B994</f>
        <v>109333.44</v>
      </c>
      <c r="D994" s="50" t="n">
        <f aca="false">C994/SUM(v_valor)</f>
        <v>0.999900040578221</v>
      </c>
      <c r="E994" s="50" t="n">
        <f aca="false">A994/1000</f>
        <v>0.993</v>
      </c>
    </row>
    <row r="995" customFormat="false" ht="15" hidden="false" customHeight="false" outlineLevel="0" collapsed="false">
      <c r="A995" s="48" t="n">
        <v>994</v>
      </c>
      <c r="B995" s="46" t="n">
        <f aca="false">LARGE(v_valor,A995)</f>
        <v>1.73</v>
      </c>
      <c r="C995" s="46" t="n">
        <f aca="false">C994+B995</f>
        <v>109335.17</v>
      </c>
      <c r="D995" s="50" t="n">
        <f aca="false">C995/SUM(v_valor)</f>
        <v>0.999915862151842</v>
      </c>
      <c r="E995" s="50" t="n">
        <f aca="false">A995/1000</f>
        <v>0.994</v>
      </c>
    </row>
    <row r="996" customFormat="false" ht="15" hidden="false" customHeight="false" outlineLevel="0" collapsed="false">
      <c r="A996" s="48" t="n">
        <v>995</v>
      </c>
      <c r="B996" s="46" t="n">
        <f aca="false">LARGE(v_valor,A996)</f>
        <v>1.62</v>
      </c>
      <c r="C996" s="46" t="n">
        <f aca="false">C995+B996</f>
        <v>109336.79</v>
      </c>
      <c r="D996" s="50" t="n">
        <f aca="false">C996/SUM(v_valor)</f>
        <v>0.999930677729453</v>
      </c>
      <c r="E996" s="50" t="n">
        <f aca="false">A996/1000</f>
        <v>0.995</v>
      </c>
    </row>
    <row r="997" customFormat="false" ht="15" hidden="false" customHeight="false" outlineLevel="0" collapsed="false">
      <c r="A997" s="48" t="n">
        <v>996</v>
      </c>
      <c r="B997" s="46" t="n">
        <f aca="false">LARGE(v_valor,A997)</f>
        <v>1.6</v>
      </c>
      <c r="C997" s="46" t="n">
        <f aca="false">C996+B997</f>
        <v>109338.39</v>
      </c>
      <c r="D997" s="50" t="n">
        <f aca="false">C997/SUM(v_valor)</f>
        <v>0.999945310398697</v>
      </c>
      <c r="E997" s="50" t="n">
        <f aca="false">A997/1000</f>
        <v>0.996</v>
      </c>
    </row>
    <row r="998" customFormat="false" ht="15" hidden="false" customHeight="false" outlineLevel="0" collapsed="false">
      <c r="A998" s="48" t="n">
        <v>997</v>
      </c>
      <c r="B998" s="46" t="n">
        <f aca="false">LARGE(v_valor,A998)</f>
        <v>1.51</v>
      </c>
      <c r="C998" s="46" t="n">
        <f aca="false">C997+B998</f>
        <v>109339.9</v>
      </c>
      <c r="D998" s="50" t="n">
        <f aca="false">C998/SUM(v_valor)</f>
        <v>0.999959119980297</v>
      </c>
      <c r="E998" s="50" t="n">
        <f aca="false">A998/1000</f>
        <v>0.997</v>
      </c>
    </row>
    <row r="999" customFormat="false" ht="15" hidden="false" customHeight="false" outlineLevel="0" collapsed="false">
      <c r="A999" s="48" t="n">
        <v>998</v>
      </c>
      <c r="B999" s="46" t="n">
        <f aca="false">LARGE(v_valor,A999)</f>
        <v>1.5</v>
      </c>
      <c r="C999" s="46" t="n">
        <f aca="false">C998+B999</f>
        <v>109341.4</v>
      </c>
      <c r="D999" s="50" t="n">
        <f aca="false">C999/SUM(v_valor)</f>
        <v>0.999972838107714</v>
      </c>
      <c r="E999" s="50" t="n">
        <f aca="false">A999/1000</f>
        <v>0.998</v>
      </c>
    </row>
    <row r="1000" customFormat="false" ht="15" hidden="false" customHeight="false" outlineLevel="0" collapsed="false">
      <c r="A1000" s="48" t="n">
        <v>999</v>
      </c>
      <c r="B1000" s="46" t="n">
        <f aca="false">LARGE(v_valor,A1000)</f>
        <v>1.49</v>
      </c>
      <c r="C1000" s="46" t="n">
        <f aca="false">C999+B1000</f>
        <v>109342.89</v>
      </c>
      <c r="D1000" s="50" t="n">
        <f aca="false">C1000/SUM(v_valor)</f>
        <v>0.999986464780949</v>
      </c>
      <c r="E1000" s="50" t="n">
        <f aca="false">A1000/1000</f>
        <v>0.999</v>
      </c>
    </row>
    <row r="1001" customFormat="false" ht="15" hidden="false" customHeight="false" outlineLevel="0" collapsed="false">
      <c r="A1001" s="48" t="n">
        <v>1000</v>
      </c>
      <c r="B1001" s="46" t="n">
        <f aca="false">LARGE(v_valor,A1001)</f>
        <v>1.48</v>
      </c>
      <c r="C1001" s="46" t="n">
        <f aca="false">C1000+B1001</f>
        <v>109344.37</v>
      </c>
      <c r="D1001" s="50" t="n">
        <f aca="false">C1001/SUM(v_valor)</f>
        <v>1</v>
      </c>
      <c r="E1001" s="50" t="n">
        <f aca="false">A1001/1000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2026-10-28T02:41:07Z</dcterms:created>
  <dc:creator>openpyxl</dc:creator>
  <dc:description/>
  <dc:language>en-US</dc:language>
  <cp:lastModifiedBy/>
  <dcterms:modified xsi:type="dcterms:W3CDTF">2026-10-27T23:41:10Z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